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nm1\Proyecto-077\backend\tests\oraculo\"/>
    </mc:Choice>
  </mc:AlternateContent>
  <xr:revisionPtr revIDLastSave="0" documentId="13_ncr:1_{58D4EA67-4DDC-4D29-AF37-E7562743B9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éeme" sheetId="1" r:id="rId1"/>
    <sheet name="Entradas" sheetId="2" r:id="rId2"/>
    <sheet name="Transacciones" sheetId="3" r:id="rId3"/>
    <sheet name="Precios" sheetId="4" r:id="rId4"/>
    <sheet name="Tasas" sheetId="5" r:id="rId5"/>
    <sheet name="CETES" sheetId="6" r:id="rId6"/>
    <sheet name="Valuación diaria" sheetId="7" r:id="rId7"/>
    <sheet name="Posiciones" sheetId="8" r:id="rId8"/>
    <sheet name="Serie" sheetId="9" r:id="rId9"/>
    <sheet name="Periodos" sheetId="10" r:id="rId10"/>
    <sheet name="Rechazos" sheetId="11" r:id="rId11"/>
    <sheet name="Comprobaciones" sheetId="12" r:id="rId12"/>
    <sheet name="Esperado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6" i="13" l="1"/>
  <c r="A522" i="13"/>
  <c r="A521" i="13"/>
  <c r="A520" i="13"/>
  <c r="A519" i="13"/>
  <c r="A518" i="13"/>
  <c r="A517" i="13"/>
  <c r="A516" i="13"/>
  <c r="A515" i="13"/>
  <c r="B379" i="13"/>
  <c r="A379" i="13"/>
  <c r="B378" i="13"/>
  <c r="A378" i="13"/>
  <c r="B377" i="13"/>
  <c r="A377" i="13"/>
  <c r="B376" i="13"/>
  <c r="A376" i="13"/>
  <c r="B375" i="13"/>
  <c r="A375" i="13"/>
  <c r="B374" i="13"/>
  <c r="A374" i="13"/>
  <c r="B373" i="13"/>
  <c r="A373" i="13"/>
  <c r="B372" i="13"/>
  <c r="A372" i="13"/>
  <c r="B371" i="13"/>
  <c r="A371" i="13"/>
  <c r="B370" i="13"/>
  <c r="A370" i="13"/>
  <c r="B369" i="13"/>
  <c r="A369" i="13"/>
  <c r="B368" i="13"/>
  <c r="A368" i="13"/>
  <c r="B367" i="13"/>
  <c r="A367" i="13"/>
  <c r="B366" i="13"/>
  <c r="A366" i="13"/>
  <c r="B365" i="13"/>
  <c r="A365" i="13"/>
  <c r="B364" i="13"/>
  <c r="A364" i="13"/>
  <c r="B363" i="13"/>
  <c r="A363" i="13"/>
  <c r="B362" i="13"/>
  <c r="A362" i="13"/>
  <c r="B361" i="13"/>
  <c r="A361" i="13"/>
  <c r="B360" i="13"/>
  <c r="A360" i="13"/>
  <c r="B359" i="13"/>
  <c r="A359" i="13"/>
  <c r="B358" i="13"/>
  <c r="A358" i="13"/>
  <c r="B357" i="13"/>
  <c r="A357" i="13"/>
  <c r="B356" i="13"/>
  <c r="A356" i="13"/>
  <c r="B355" i="13"/>
  <c r="A355" i="13"/>
  <c r="B354" i="13"/>
  <c r="A354" i="13"/>
  <c r="B353" i="13"/>
  <c r="A353" i="13"/>
  <c r="B352" i="13"/>
  <c r="A352" i="13"/>
  <c r="B351" i="13"/>
  <c r="A351" i="13"/>
  <c r="B350" i="13"/>
  <c r="A350" i="13"/>
  <c r="B349" i="13"/>
  <c r="A349" i="13"/>
  <c r="B348" i="13"/>
  <c r="A348" i="13"/>
  <c r="B347" i="13"/>
  <c r="A347" i="13"/>
  <c r="B346" i="13"/>
  <c r="A346" i="13"/>
  <c r="B345" i="13"/>
  <c r="A345" i="13"/>
  <c r="B344" i="13"/>
  <c r="A344" i="13"/>
  <c r="B343" i="13"/>
  <c r="A343" i="13"/>
  <c r="B342" i="13"/>
  <c r="A342" i="13"/>
  <c r="B341" i="13"/>
  <c r="A341" i="13"/>
  <c r="B340" i="13"/>
  <c r="A340" i="13"/>
  <c r="B339" i="13"/>
  <c r="A339" i="13"/>
  <c r="B338" i="13"/>
  <c r="A338" i="13"/>
  <c r="B337" i="13"/>
  <c r="A337" i="13"/>
  <c r="B336" i="13"/>
  <c r="A336" i="13"/>
  <c r="B335" i="13"/>
  <c r="A335" i="13"/>
  <c r="B334" i="13"/>
  <c r="A334" i="13"/>
  <c r="B333" i="13"/>
  <c r="A333" i="13"/>
  <c r="B332" i="13"/>
  <c r="A332" i="13"/>
  <c r="B331" i="13"/>
  <c r="A331" i="13"/>
  <c r="B330" i="13"/>
  <c r="A330" i="13"/>
  <c r="B329" i="13"/>
  <c r="A329" i="13"/>
  <c r="B328" i="13"/>
  <c r="A328" i="13"/>
  <c r="B327" i="13"/>
  <c r="A327" i="13"/>
  <c r="B326" i="13"/>
  <c r="A326" i="13"/>
  <c r="B325" i="13"/>
  <c r="A325" i="13"/>
  <c r="B324" i="13"/>
  <c r="A324" i="13"/>
  <c r="B323" i="13"/>
  <c r="A323" i="13"/>
  <c r="B322" i="13"/>
  <c r="A322" i="13"/>
  <c r="B321" i="13"/>
  <c r="A321" i="13"/>
  <c r="B320" i="13"/>
  <c r="A320" i="13"/>
  <c r="B319" i="13"/>
  <c r="A319" i="13"/>
  <c r="B318" i="13"/>
  <c r="A318" i="13"/>
  <c r="B317" i="13"/>
  <c r="A317" i="13"/>
  <c r="B316" i="13"/>
  <c r="A316" i="13"/>
  <c r="B315" i="13"/>
  <c r="A315" i="13"/>
  <c r="B314" i="13"/>
  <c r="A314" i="13"/>
  <c r="B313" i="13"/>
  <c r="A313" i="13"/>
  <c r="B312" i="13"/>
  <c r="A312" i="13"/>
  <c r="B311" i="13"/>
  <c r="A311" i="13"/>
  <c r="B310" i="13"/>
  <c r="A310" i="13"/>
  <c r="C306" i="13"/>
  <c r="B306" i="13"/>
  <c r="C305" i="13"/>
  <c r="B305" i="13"/>
  <c r="C304" i="13"/>
  <c r="B304" i="13"/>
  <c r="C303" i="13"/>
  <c r="B303" i="13"/>
  <c r="C302" i="13"/>
  <c r="B302" i="13"/>
  <c r="C301" i="13"/>
  <c r="B301" i="13"/>
  <c r="C300" i="13"/>
  <c r="B300" i="13"/>
  <c r="C299" i="13"/>
  <c r="B299" i="13"/>
  <c r="D298" i="13"/>
  <c r="C298" i="13"/>
  <c r="B298" i="13"/>
  <c r="D297" i="13"/>
  <c r="C297" i="13"/>
  <c r="B297" i="13"/>
  <c r="D296" i="13"/>
  <c r="C296" i="13"/>
  <c r="B296" i="13"/>
  <c r="D295" i="13"/>
  <c r="C295" i="13"/>
  <c r="B295" i="13"/>
  <c r="D294" i="13"/>
  <c r="C294" i="13"/>
  <c r="B294" i="13"/>
  <c r="D293" i="13"/>
  <c r="C293" i="13"/>
  <c r="B293" i="13"/>
  <c r="D292" i="13"/>
  <c r="C292" i="13"/>
  <c r="B292" i="13"/>
  <c r="D291" i="13"/>
  <c r="C291" i="13"/>
  <c r="B291" i="13"/>
  <c r="D290" i="13"/>
  <c r="C290" i="13"/>
  <c r="B290" i="13"/>
  <c r="D289" i="13"/>
  <c r="C289" i="13"/>
  <c r="B289" i="13"/>
  <c r="D288" i="13"/>
  <c r="C288" i="13"/>
  <c r="B288" i="13"/>
  <c r="D287" i="13"/>
  <c r="C287" i="13"/>
  <c r="B287" i="13"/>
  <c r="D286" i="13"/>
  <c r="C286" i="13"/>
  <c r="B286" i="13"/>
  <c r="D285" i="13"/>
  <c r="C285" i="13"/>
  <c r="B285" i="13"/>
  <c r="D284" i="13"/>
  <c r="C284" i="13"/>
  <c r="B284" i="13"/>
  <c r="D283" i="13"/>
  <c r="C283" i="13"/>
  <c r="B283" i="13"/>
  <c r="D282" i="13"/>
  <c r="C282" i="13"/>
  <c r="B282" i="13"/>
  <c r="D281" i="13"/>
  <c r="C281" i="13"/>
  <c r="B281" i="13"/>
  <c r="D280" i="13"/>
  <c r="C280" i="13"/>
  <c r="B280" i="13"/>
  <c r="D279" i="13"/>
  <c r="C279" i="13"/>
  <c r="B279" i="13"/>
  <c r="D278" i="13"/>
  <c r="C278" i="13"/>
  <c r="B278" i="13"/>
  <c r="D277" i="13"/>
  <c r="C277" i="13"/>
  <c r="B277" i="13"/>
  <c r="D276" i="13"/>
  <c r="C276" i="13"/>
  <c r="B276" i="13"/>
  <c r="D275" i="13"/>
  <c r="C275" i="13"/>
  <c r="B275" i="13"/>
  <c r="D274" i="13"/>
  <c r="C274" i="13"/>
  <c r="B274" i="13"/>
  <c r="D273" i="13"/>
  <c r="C273" i="13"/>
  <c r="B273" i="13"/>
  <c r="D272" i="13"/>
  <c r="C272" i="13"/>
  <c r="B272" i="13"/>
  <c r="D271" i="13"/>
  <c r="C271" i="13"/>
  <c r="B271" i="13"/>
  <c r="D270" i="13"/>
  <c r="C270" i="13"/>
  <c r="B270" i="13"/>
  <c r="D269" i="13"/>
  <c r="C269" i="13"/>
  <c r="B269" i="13"/>
  <c r="D268" i="13"/>
  <c r="C268" i="13"/>
  <c r="B268" i="13"/>
  <c r="D267" i="13"/>
  <c r="C267" i="13"/>
  <c r="B267" i="13"/>
  <c r="E266" i="13"/>
  <c r="D266" i="13"/>
  <c r="C266" i="13"/>
  <c r="B266" i="13"/>
  <c r="E265" i="13"/>
  <c r="D265" i="13"/>
  <c r="C265" i="13"/>
  <c r="B265" i="13"/>
  <c r="E264" i="13"/>
  <c r="D264" i="13"/>
  <c r="C264" i="13"/>
  <c r="B264" i="13"/>
  <c r="E263" i="13"/>
  <c r="D263" i="13"/>
  <c r="C263" i="13"/>
  <c r="B263" i="13"/>
  <c r="E262" i="13"/>
  <c r="D262" i="13"/>
  <c r="C262" i="13"/>
  <c r="B262" i="13"/>
  <c r="E261" i="13"/>
  <c r="D261" i="13"/>
  <c r="C261" i="13"/>
  <c r="B261" i="13"/>
  <c r="E260" i="13"/>
  <c r="D260" i="13"/>
  <c r="C260" i="13"/>
  <c r="B260" i="13"/>
  <c r="E259" i="13"/>
  <c r="D259" i="13"/>
  <c r="C259" i="13"/>
  <c r="B259" i="13"/>
  <c r="E258" i="13"/>
  <c r="D258" i="13"/>
  <c r="C258" i="13"/>
  <c r="B258" i="13"/>
  <c r="E257" i="13"/>
  <c r="D257" i="13"/>
  <c r="C257" i="13"/>
  <c r="B257" i="13"/>
  <c r="E256" i="13"/>
  <c r="D256" i="13"/>
  <c r="C256" i="13"/>
  <c r="B256" i="13"/>
  <c r="E255" i="13"/>
  <c r="D255" i="13"/>
  <c r="C255" i="13"/>
  <c r="B255" i="13"/>
  <c r="E254" i="13"/>
  <c r="D254" i="13"/>
  <c r="C254" i="13"/>
  <c r="B254" i="13"/>
  <c r="E253" i="13"/>
  <c r="D253" i="13"/>
  <c r="C253" i="13"/>
  <c r="B253" i="13"/>
  <c r="E252" i="13"/>
  <c r="D252" i="13"/>
  <c r="C252" i="13"/>
  <c r="B252" i="13"/>
  <c r="E251" i="13"/>
  <c r="D251" i="13"/>
  <c r="C251" i="13"/>
  <c r="B251" i="13"/>
  <c r="E250" i="13"/>
  <c r="D250" i="13"/>
  <c r="C250" i="13"/>
  <c r="B250" i="13"/>
  <c r="E249" i="13"/>
  <c r="D249" i="13"/>
  <c r="C249" i="13"/>
  <c r="B249" i="13"/>
  <c r="E248" i="13"/>
  <c r="D248" i="13"/>
  <c r="C248" i="13"/>
  <c r="B248" i="13"/>
  <c r="E247" i="13"/>
  <c r="D247" i="13"/>
  <c r="C247" i="13"/>
  <c r="B247" i="13"/>
  <c r="E246" i="13"/>
  <c r="D246" i="13"/>
  <c r="C246" i="13"/>
  <c r="B246" i="13"/>
  <c r="E245" i="13"/>
  <c r="D245" i="13"/>
  <c r="C245" i="13"/>
  <c r="B245" i="13"/>
  <c r="E244" i="13"/>
  <c r="D244" i="13"/>
  <c r="C244" i="13"/>
  <c r="B244" i="13"/>
  <c r="E243" i="13"/>
  <c r="D243" i="13"/>
  <c r="C243" i="13"/>
  <c r="B243" i="13"/>
  <c r="E242" i="13"/>
  <c r="D242" i="13"/>
  <c r="C242" i="13"/>
  <c r="B242" i="13"/>
  <c r="E241" i="13"/>
  <c r="D241" i="13"/>
  <c r="C241" i="13"/>
  <c r="B241" i="13"/>
  <c r="E240" i="13"/>
  <c r="D240" i="13"/>
  <c r="C240" i="13"/>
  <c r="B240" i="13"/>
  <c r="E239" i="13"/>
  <c r="D239" i="13"/>
  <c r="C239" i="13"/>
  <c r="B239" i="13"/>
  <c r="E238" i="13"/>
  <c r="D238" i="13"/>
  <c r="C238" i="13"/>
  <c r="B238" i="13"/>
  <c r="E237" i="13"/>
  <c r="D237" i="13"/>
  <c r="C237" i="13"/>
  <c r="B237" i="13"/>
  <c r="E236" i="13"/>
  <c r="D236" i="13"/>
  <c r="C236" i="13"/>
  <c r="B236" i="13"/>
  <c r="E235" i="13"/>
  <c r="D235" i="13"/>
  <c r="C235" i="13"/>
  <c r="B235" i="13"/>
  <c r="E234" i="13"/>
  <c r="D234" i="13"/>
  <c r="C234" i="13"/>
  <c r="B234" i="13"/>
  <c r="E233" i="13"/>
  <c r="D233" i="13"/>
  <c r="C233" i="13"/>
  <c r="B233" i="13"/>
  <c r="E232" i="13"/>
  <c r="D232" i="13"/>
  <c r="C232" i="13"/>
  <c r="B232" i="13"/>
  <c r="E231" i="13"/>
  <c r="D231" i="13"/>
  <c r="C231" i="13"/>
  <c r="B231" i="13"/>
  <c r="E230" i="13"/>
  <c r="D230" i="13"/>
  <c r="C230" i="13"/>
  <c r="B230" i="13"/>
  <c r="E229" i="13"/>
  <c r="D229" i="13"/>
  <c r="C229" i="13"/>
  <c r="B229" i="13"/>
  <c r="E228" i="13"/>
  <c r="D228" i="13"/>
  <c r="C228" i="13"/>
  <c r="B228" i="13"/>
  <c r="E227" i="13"/>
  <c r="D227" i="13"/>
  <c r="C227" i="13"/>
  <c r="B227" i="13"/>
  <c r="B223" i="13"/>
  <c r="A223" i="13"/>
  <c r="B222" i="13"/>
  <c r="A222" i="13"/>
  <c r="B221" i="13"/>
  <c r="A221" i="13"/>
  <c r="B220" i="13"/>
  <c r="A220" i="13"/>
  <c r="B219" i="13"/>
  <c r="A219" i="13"/>
  <c r="B218" i="13"/>
  <c r="A218" i="13"/>
  <c r="B217" i="13"/>
  <c r="A217" i="13"/>
  <c r="B216" i="13"/>
  <c r="A216" i="13"/>
  <c r="B215" i="13"/>
  <c r="A215" i="13"/>
  <c r="B214" i="13"/>
  <c r="A214" i="13"/>
  <c r="B213" i="13"/>
  <c r="A213" i="13"/>
  <c r="B212" i="13"/>
  <c r="A212" i="13"/>
  <c r="B211" i="13"/>
  <c r="A211" i="13"/>
  <c r="B210" i="13"/>
  <c r="A210" i="13"/>
  <c r="B209" i="13"/>
  <c r="A209" i="13"/>
  <c r="B208" i="13"/>
  <c r="A208" i="13"/>
  <c r="B207" i="13"/>
  <c r="A207" i="13"/>
  <c r="B206" i="13"/>
  <c r="A206" i="13"/>
  <c r="B205" i="13"/>
  <c r="A205" i="13"/>
  <c r="B204" i="13"/>
  <c r="A204" i="13"/>
  <c r="B203" i="13"/>
  <c r="A203" i="13"/>
  <c r="B202" i="13"/>
  <c r="A202" i="13"/>
  <c r="B201" i="13"/>
  <c r="A201" i="13"/>
  <c r="B200" i="13"/>
  <c r="A200" i="13"/>
  <c r="B199" i="13"/>
  <c r="A199" i="13"/>
  <c r="B198" i="13"/>
  <c r="A198" i="13"/>
  <c r="B197" i="13"/>
  <c r="A197" i="13"/>
  <c r="B196" i="13"/>
  <c r="A196" i="13"/>
  <c r="B195" i="13"/>
  <c r="A195" i="13"/>
  <c r="B194" i="13"/>
  <c r="A194" i="13"/>
  <c r="B193" i="13"/>
  <c r="A193" i="13"/>
  <c r="B192" i="13"/>
  <c r="A192" i="13"/>
  <c r="B191" i="13"/>
  <c r="A191" i="13"/>
  <c r="B190" i="13"/>
  <c r="A190" i="13"/>
  <c r="B189" i="13"/>
  <c r="A189" i="13"/>
  <c r="B188" i="13"/>
  <c r="A188" i="13"/>
  <c r="B187" i="13"/>
  <c r="A187" i="13"/>
  <c r="B186" i="13"/>
  <c r="A186" i="13"/>
  <c r="B185" i="13"/>
  <c r="A185" i="13"/>
  <c r="B184" i="13"/>
  <c r="A184" i="13"/>
  <c r="B183" i="13"/>
  <c r="A183" i="13"/>
  <c r="B182" i="13"/>
  <c r="A182" i="13"/>
  <c r="B181" i="13"/>
  <c r="A181" i="13"/>
  <c r="B180" i="13"/>
  <c r="A180" i="13"/>
  <c r="B179" i="13"/>
  <c r="A179" i="13"/>
  <c r="B178" i="13"/>
  <c r="A178" i="13"/>
  <c r="B177" i="13"/>
  <c r="A177" i="13"/>
  <c r="B176" i="13"/>
  <c r="A176" i="13"/>
  <c r="B175" i="13"/>
  <c r="A175" i="13"/>
  <c r="B174" i="13"/>
  <c r="A174" i="13"/>
  <c r="B173" i="13"/>
  <c r="A173" i="13"/>
  <c r="B172" i="13"/>
  <c r="A172" i="13"/>
  <c r="B171" i="13"/>
  <c r="A171" i="13"/>
  <c r="B170" i="13"/>
  <c r="A170" i="13"/>
  <c r="B169" i="13"/>
  <c r="A169" i="13"/>
  <c r="B168" i="13"/>
  <c r="A168" i="13"/>
  <c r="B167" i="13"/>
  <c r="A167" i="13"/>
  <c r="B166" i="13"/>
  <c r="A166" i="13"/>
  <c r="B165" i="13"/>
  <c r="A165" i="13"/>
  <c r="B164" i="13"/>
  <c r="A164" i="13"/>
  <c r="B163" i="13"/>
  <c r="A163" i="13"/>
  <c r="B162" i="13"/>
  <c r="A162" i="13"/>
  <c r="B161" i="13"/>
  <c r="A161" i="13"/>
  <c r="B160" i="13"/>
  <c r="A160" i="13"/>
  <c r="B159" i="13"/>
  <c r="A159" i="13"/>
  <c r="B158" i="13"/>
  <c r="A158" i="13"/>
  <c r="B157" i="13"/>
  <c r="A157" i="13"/>
  <c r="B156" i="13"/>
  <c r="A156" i="13"/>
  <c r="B155" i="13"/>
  <c r="A155" i="13"/>
  <c r="B154" i="13"/>
  <c r="A154" i="13"/>
  <c r="B153" i="13"/>
  <c r="A153" i="13"/>
  <c r="B152" i="13"/>
  <c r="A152" i="13"/>
  <c r="B151" i="13"/>
  <c r="A151" i="13"/>
  <c r="B150" i="13"/>
  <c r="A150" i="13"/>
  <c r="B149" i="13"/>
  <c r="A149" i="13"/>
  <c r="B148" i="13"/>
  <c r="A148" i="13"/>
  <c r="B147" i="13"/>
  <c r="A147" i="13"/>
  <c r="B146" i="13"/>
  <c r="A146" i="13"/>
  <c r="B145" i="13"/>
  <c r="A145" i="13"/>
  <c r="B144" i="13"/>
  <c r="A144" i="13"/>
  <c r="B143" i="13"/>
  <c r="A143" i="13"/>
  <c r="B142" i="13"/>
  <c r="A142" i="13"/>
  <c r="B141" i="13"/>
  <c r="A141" i="13"/>
  <c r="B140" i="13"/>
  <c r="A140" i="13"/>
  <c r="B139" i="13"/>
  <c r="A139" i="13"/>
  <c r="B138" i="13"/>
  <c r="A138" i="13"/>
  <c r="B137" i="13"/>
  <c r="A137" i="13"/>
  <c r="B136" i="13"/>
  <c r="A136" i="13"/>
  <c r="B135" i="13"/>
  <c r="A135" i="13"/>
  <c r="B134" i="13"/>
  <c r="A134" i="13"/>
  <c r="B133" i="13"/>
  <c r="A133" i="13"/>
  <c r="B132" i="13"/>
  <c r="A132" i="13"/>
  <c r="B131" i="13"/>
  <c r="A131" i="13"/>
  <c r="B130" i="13"/>
  <c r="A130" i="13"/>
  <c r="B129" i="13"/>
  <c r="A129" i="13"/>
  <c r="B128" i="13"/>
  <c r="A128" i="13"/>
  <c r="B127" i="13"/>
  <c r="A127" i="13"/>
  <c r="B126" i="13"/>
  <c r="A126" i="13"/>
  <c r="B125" i="13"/>
  <c r="A125" i="13"/>
  <c r="B124" i="13"/>
  <c r="A124" i="13"/>
  <c r="B123" i="13"/>
  <c r="A123" i="13"/>
  <c r="B122" i="13"/>
  <c r="A122" i="13"/>
  <c r="B121" i="13"/>
  <c r="A121" i="13"/>
  <c r="B120" i="13"/>
  <c r="A120" i="13"/>
  <c r="B119" i="13"/>
  <c r="A119" i="13"/>
  <c r="B115" i="13"/>
  <c r="A115" i="13"/>
  <c r="B114" i="13"/>
  <c r="A114" i="13"/>
  <c r="B113" i="13"/>
  <c r="A113" i="13"/>
  <c r="B112" i="13"/>
  <c r="A112" i="13"/>
  <c r="B111" i="13"/>
  <c r="A111" i="13"/>
  <c r="B110" i="13"/>
  <c r="A110" i="13"/>
  <c r="B109" i="13"/>
  <c r="A109" i="13"/>
  <c r="B108" i="13"/>
  <c r="A108" i="13"/>
  <c r="B107" i="13"/>
  <c r="A107" i="13"/>
  <c r="B106" i="13"/>
  <c r="A106" i="13"/>
  <c r="B105" i="13"/>
  <c r="A105" i="13"/>
  <c r="B104" i="13"/>
  <c r="A104" i="13"/>
  <c r="B103" i="13"/>
  <c r="A103" i="13"/>
  <c r="B102" i="13"/>
  <c r="A102" i="13"/>
  <c r="B101" i="13"/>
  <c r="A101" i="13"/>
  <c r="B100" i="13"/>
  <c r="A100" i="13"/>
  <c r="B99" i="13"/>
  <c r="A99" i="13"/>
  <c r="B98" i="13"/>
  <c r="A98" i="13"/>
  <c r="B97" i="13"/>
  <c r="A97" i="13"/>
  <c r="B96" i="13"/>
  <c r="A96" i="13"/>
  <c r="B95" i="13"/>
  <c r="A95" i="13"/>
  <c r="B94" i="13"/>
  <c r="A94" i="13"/>
  <c r="B93" i="13"/>
  <c r="A93" i="13"/>
  <c r="B92" i="13"/>
  <c r="A92" i="13"/>
  <c r="B91" i="13"/>
  <c r="A91" i="13"/>
  <c r="B90" i="13"/>
  <c r="A90" i="13"/>
  <c r="B89" i="13"/>
  <c r="A89" i="13"/>
  <c r="B88" i="13"/>
  <c r="A88" i="13"/>
  <c r="B87" i="13"/>
  <c r="A87" i="13"/>
  <c r="B86" i="13"/>
  <c r="A86" i="13"/>
  <c r="B85" i="13"/>
  <c r="A85" i="13"/>
  <c r="B84" i="13"/>
  <c r="A84" i="13"/>
  <c r="B83" i="13"/>
  <c r="A83" i="13"/>
  <c r="B82" i="13"/>
  <c r="A82" i="13"/>
  <c r="B81" i="13"/>
  <c r="A81" i="13"/>
  <c r="B80" i="13"/>
  <c r="A80" i="13"/>
  <c r="B79" i="13"/>
  <c r="A79" i="13"/>
  <c r="B78" i="13"/>
  <c r="A78" i="13"/>
  <c r="B77" i="13"/>
  <c r="A77" i="13"/>
  <c r="B76" i="13"/>
  <c r="A76" i="13"/>
  <c r="B75" i="13"/>
  <c r="A75" i="13"/>
  <c r="B74" i="13"/>
  <c r="A74" i="13"/>
  <c r="B73" i="13"/>
  <c r="A73" i="13"/>
  <c r="B72" i="13"/>
  <c r="A72" i="13"/>
  <c r="B71" i="13"/>
  <c r="A71" i="13"/>
  <c r="B70" i="13"/>
  <c r="A70" i="13"/>
  <c r="B69" i="13"/>
  <c r="A69" i="13"/>
  <c r="B68" i="13"/>
  <c r="A68" i="13"/>
  <c r="B67" i="13"/>
  <c r="A67" i="13"/>
  <c r="B66" i="13"/>
  <c r="A66" i="13"/>
  <c r="B65" i="13"/>
  <c r="A65" i="13"/>
  <c r="B64" i="13"/>
  <c r="A64" i="13"/>
  <c r="B63" i="13"/>
  <c r="A63" i="13"/>
  <c r="B62" i="13"/>
  <c r="A62" i="13"/>
  <c r="B61" i="13"/>
  <c r="A61" i="13"/>
  <c r="B60" i="13"/>
  <c r="A60" i="13"/>
  <c r="B59" i="13"/>
  <c r="A59" i="13"/>
  <c r="B58" i="13"/>
  <c r="A58" i="13"/>
  <c r="B57" i="13"/>
  <c r="A57" i="13"/>
  <c r="B56" i="13"/>
  <c r="A56" i="13"/>
  <c r="B55" i="13"/>
  <c r="A55" i="13"/>
  <c r="B54" i="13"/>
  <c r="A54" i="13"/>
  <c r="B53" i="13"/>
  <c r="A53" i="13"/>
  <c r="B52" i="13"/>
  <c r="A52" i="13"/>
  <c r="B51" i="13"/>
  <c r="A51" i="13"/>
  <c r="B50" i="13"/>
  <c r="A50" i="13"/>
  <c r="B49" i="13"/>
  <c r="A49" i="13"/>
  <c r="B48" i="13"/>
  <c r="A48" i="13"/>
  <c r="B47" i="13"/>
  <c r="A47" i="13"/>
  <c r="B46" i="13"/>
  <c r="A46" i="13"/>
  <c r="B45" i="13"/>
  <c r="A45" i="13"/>
  <c r="B44" i="13"/>
  <c r="A44" i="13"/>
  <c r="B43" i="13"/>
  <c r="A43" i="13"/>
  <c r="B42" i="13"/>
  <c r="A42" i="13"/>
  <c r="B41" i="13"/>
  <c r="A41" i="13"/>
  <c r="B40" i="13"/>
  <c r="A40" i="13"/>
  <c r="B39" i="13"/>
  <c r="A39" i="13"/>
  <c r="B38" i="13"/>
  <c r="A38" i="13"/>
  <c r="B37" i="13"/>
  <c r="A37" i="13"/>
  <c r="B36" i="13"/>
  <c r="A36" i="13"/>
  <c r="B35" i="13"/>
  <c r="A35" i="13"/>
  <c r="B34" i="13"/>
  <c r="A34" i="13"/>
  <c r="B33" i="13"/>
  <c r="A33" i="13"/>
  <c r="B32" i="13"/>
  <c r="A32" i="13"/>
  <c r="B31" i="13"/>
  <c r="A31" i="13"/>
  <c r="B30" i="13"/>
  <c r="A30" i="13"/>
  <c r="B29" i="13"/>
  <c r="A29" i="13"/>
  <c r="B28" i="13"/>
  <c r="A28" i="13"/>
  <c r="B27" i="13"/>
  <c r="A27" i="13"/>
  <c r="B26" i="13"/>
  <c r="A26" i="13"/>
  <c r="B25" i="13"/>
  <c r="A25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C46" i="12"/>
  <c r="C44" i="12"/>
  <c r="D40" i="12"/>
  <c r="C40" i="12"/>
  <c r="D39" i="12"/>
  <c r="C39" i="12"/>
  <c r="C32" i="12"/>
  <c r="C31" i="12"/>
  <c r="C26" i="12"/>
  <c r="C25" i="12"/>
  <c r="C24" i="12"/>
  <c r="E15" i="12"/>
  <c r="D14" i="12"/>
  <c r="G17" i="11"/>
  <c r="F17" i="11"/>
  <c r="E17" i="11"/>
  <c r="D17" i="11"/>
  <c r="I17" i="11" s="1"/>
  <c r="AL12" i="11"/>
  <c r="C522" i="13" s="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AL11" i="11"/>
  <c r="AN11" i="11" s="1"/>
  <c r="D521" i="13" s="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R10" i="11"/>
  <c r="Q10" i="11"/>
  <c r="AL10" i="11" s="1"/>
  <c r="P10" i="11"/>
  <c r="O10" i="11"/>
  <c r="AN9" i="11"/>
  <c r="D519" i="13" s="1"/>
  <c r="R9" i="11"/>
  <c r="Q9" i="11"/>
  <c r="AL9" i="11" s="1"/>
  <c r="AO9" i="11" s="1"/>
  <c r="E519" i="13" s="1"/>
  <c r="P9" i="11"/>
  <c r="O9" i="11"/>
  <c r="R8" i="11"/>
  <c r="Q8" i="11"/>
  <c r="AL8" i="11" s="1"/>
  <c r="C518" i="13" s="1"/>
  <c r="P8" i="11"/>
  <c r="O8" i="11"/>
  <c r="R7" i="11"/>
  <c r="Q7" i="11"/>
  <c r="P7" i="11"/>
  <c r="O7" i="11"/>
  <c r="R6" i="11"/>
  <c r="Q6" i="11"/>
  <c r="P6" i="11"/>
  <c r="O6" i="11"/>
  <c r="R5" i="11"/>
  <c r="Q5" i="11"/>
  <c r="P5" i="11"/>
  <c r="O5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D10" i="10"/>
  <c r="D511" i="13" s="1"/>
  <c r="C10" i="10"/>
  <c r="B10" i="10"/>
  <c r="A10" i="10"/>
  <c r="E9" i="10"/>
  <c r="E510" i="13" s="1"/>
  <c r="D9" i="10"/>
  <c r="E6" i="12" s="1"/>
  <c r="C9" i="10"/>
  <c r="B9" i="10"/>
  <c r="B510" i="13" s="1"/>
  <c r="A9" i="10"/>
  <c r="A456" i="13" s="1"/>
  <c r="D8" i="10"/>
  <c r="C8" i="10"/>
  <c r="C509" i="13" s="1"/>
  <c r="B8" i="10"/>
  <c r="B509" i="13" s="1"/>
  <c r="A8" i="10"/>
  <c r="D7" i="10"/>
  <c r="D508" i="13" s="1"/>
  <c r="C7" i="10"/>
  <c r="C508" i="13" s="1"/>
  <c r="B7" i="10"/>
  <c r="B508" i="13" s="1"/>
  <c r="A7" i="10"/>
  <c r="D6" i="10"/>
  <c r="D507" i="13" s="1"/>
  <c r="C6" i="10"/>
  <c r="A53" i="10" s="1"/>
  <c r="B6" i="10"/>
  <c r="B507" i="13" s="1"/>
  <c r="A6" i="10"/>
  <c r="A507" i="13" s="1"/>
  <c r="D5" i="10"/>
  <c r="C5" i="10"/>
  <c r="B5" i="10"/>
  <c r="B506" i="13" s="1"/>
  <c r="A5" i="10"/>
  <c r="A397" i="13" s="1"/>
  <c r="F74" i="9"/>
  <c r="E74" i="9"/>
  <c r="D379" i="13" s="1"/>
  <c r="C74" i="9"/>
  <c r="F73" i="9"/>
  <c r="E378" i="13" s="1"/>
  <c r="E73" i="9"/>
  <c r="D378" i="13" s="1"/>
  <c r="C73" i="9"/>
  <c r="F72" i="9"/>
  <c r="E377" i="13" s="1"/>
  <c r="E72" i="9"/>
  <c r="D377" i="13" s="1"/>
  <c r="C72" i="9"/>
  <c r="F71" i="9"/>
  <c r="E71" i="9"/>
  <c r="D376" i="13" s="1"/>
  <c r="C71" i="9"/>
  <c r="F70" i="9"/>
  <c r="E375" i="13" s="1"/>
  <c r="E70" i="9"/>
  <c r="D375" i="13" s="1"/>
  <c r="C70" i="9"/>
  <c r="F69" i="9"/>
  <c r="E69" i="9"/>
  <c r="D374" i="13" s="1"/>
  <c r="C69" i="9"/>
  <c r="F68" i="9"/>
  <c r="E373" i="13" s="1"/>
  <c r="E68" i="9"/>
  <c r="D373" i="13" s="1"/>
  <c r="C68" i="9"/>
  <c r="F67" i="9"/>
  <c r="E372" i="13" s="1"/>
  <c r="E67" i="9"/>
  <c r="D372" i="13" s="1"/>
  <c r="C67" i="9"/>
  <c r="F66" i="9"/>
  <c r="E371" i="13" s="1"/>
  <c r="E66" i="9"/>
  <c r="D371" i="13" s="1"/>
  <c r="C66" i="9"/>
  <c r="F65" i="9"/>
  <c r="E370" i="13" s="1"/>
  <c r="E65" i="9"/>
  <c r="D370" i="13" s="1"/>
  <c r="C65" i="9"/>
  <c r="F64" i="9"/>
  <c r="E369" i="13" s="1"/>
  <c r="E64" i="9"/>
  <c r="D369" i="13" s="1"/>
  <c r="C64" i="9"/>
  <c r="F63" i="9"/>
  <c r="E368" i="13" s="1"/>
  <c r="E63" i="9"/>
  <c r="D368" i="13" s="1"/>
  <c r="C63" i="9"/>
  <c r="F62" i="9"/>
  <c r="E367" i="13" s="1"/>
  <c r="E62" i="9"/>
  <c r="D367" i="13" s="1"/>
  <c r="C62" i="9"/>
  <c r="F61" i="9"/>
  <c r="E366" i="13" s="1"/>
  <c r="E61" i="9"/>
  <c r="D366" i="13" s="1"/>
  <c r="C61" i="9"/>
  <c r="F60" i="9"/>
  <c r="E60" i="9"/>
  <c r="D365" i="13" s="1"/>
  <c r="C60" i="9"/>
  <c r="F59" i="9"/>
  <c r="E364" i="13" s="1"/>
  <c r="E59" i="9"/>
  <c r="D364" i="13" s="1"/>
  <c r="C59" i="9"/>
  <c r="F58" i="9"/>
  <c r="E58" i="9"/>
  <c r="D363" i="13" s="1"/>
  <c r="C58" i="9"/>
  <c r="F57" i="9"/>
  <c r="E362" i="13" s="1"/>
  <c r="E57" i="9"/>
  <c r="D362" i="13" s="1"/>
  <c r="C57" i="9"/>
  <c r="F56" i="9"/>
  <c r="E56" i="9"/>
  <c r="D361" i="13" s="1"/>
  <c r="C56" i="9"/>
  <c r="F55" i="9"/>
  <c r="E55" i="9"/>
  <c r="D360" i="13" s="1"/>
  <c r="C55" i="9"/>
  <c r="F54" i="9"/>
  <c r="E359" i="13" s="1"/>
  <c r="E54" i="9"/>
  <c r="D359" i="13" s="1"/>
  <c r="C54" i="9"/>
  <c r="F53" i="9"/>
  <c r="E358" i="13" s="1"/>
  <c r="E53" i="9"/>
  <c r="D358" i="13" s="1"/>
  <c r="C53" i="9"/>
  <c r="F52" i="9"/>
  <c r="E357" i="13" s="1"/>
  <c r="E52" i="9"/>
  <c r="D357" i="13" s="1"/>
  <c r="C52" i="9"/>
  <c r="F51" i="9"/>
  <c r="E356" i="13" s="1"/>
  <c r="E51" i="9"/>
  <c r="D356" i="13" s="1"/>
  <c r="C51" i="9"/>
  <c r="F50" i="9"/>
  <c r="E355" i="13" s="1"/>
  <c r="E50" i="9"/>
  <c r="D355" i="13" s="1"/>
  <c r="C50" i="9"/>
  <c r="F49" i="9"/>
  <c r="E354" i="13" s="1"/>
  <c r="E49" i="9"/>
  <c r="D354" i="13" s="1"/>
  <c r="C49" i="9"/>
  <c r="F48" i="9"/>
  <c r="E353" i="13" s="1"/>
  <c r="E48" i="9"/>
  <c r="D353" i="13" s="1"/>
  <c r="C48" i="9"/>
  <c r="F47" i="9"/>
  <c r="E352" i="13" s="1"/>
  <c r="E47" i="9"/>
  <c r="D352" i="13" s="1"/>
  <c r="C47" i="9"/>
  <c r="F46" i="9"/>
  <c r="E351" i="13" s="1"/>
  <c r="E46" i="9"/>
  <c r="D351" i="13" s="1"/>
  <c r="C46" i="9"/>
  <c r="F45" i="9"/>
  <c r="E45" i="9"/>
  <c r="D350" i="13" s="1"/>
  <c r="C45" i="9"/>
  <c r="C44" i="9"/>
  <c r="F43" i="9"/>
  <c r="E43" i="9"/>
  <c r="D348" i="13" s="1"/>
  <c r="C43" i="9"/>
  <c r="F42" i="9"/>
  <c r="E42" i="9"/>
  <c r="D347" i="13" s="1"/>
  <c r="C42" i="9"/>
  <c r="F41" i="9"/>
  <c r="E346" i="13" s="1"/>
  <c r="E41" i="9"/>
  <c r="D346" i="13" s="1"/>
  <c r="C41" i="9"/>
  <c r="N40" i="9"/>
  <c r="K345" i="13" s="1"/>
  <c r="M40" i="9"/>
  <c r="J345" i="13" s="1"/>
  <c r="L40" i="9"/>
  <c r="I345" i="13" s="1"/>
  <c r="K40" i="9"/>
  <c r="H345" i="13" s="1"/>
  <c r="J40" i="9"/>
  <c r="I40" i="9"/>
  <c r="F40" i="9"/>
  <c r="E40" i="9"/>
  <c r="D345" i="13" s="1"/>
  <c r="C40" i="9"/>
  <c r="F39" i="9"/>
  <c r="E39" i="9"/>
  <c r="D344" i="13" s="1"/>
  <c r="C39" i="9"/>
  <c r="F38" i="9"/>
  <c r="E343" i="13" s="1"/>
  <c r="E38" i="9"/>
  <c r="D343" i="13" s="1"/>
  <c r="C38" i="9"/>
  <c r="F37" i="9"/>
  <c r="E342" i="13" s="1"/>
  <c r="E37" i="9"/>
  <c r="D342" i="13" s="1"/>
  <c r="C37" i="9"/>
  <c r="F36" i="9"/>
  <c r="E341" i="13" s="1"/>
  <c r="E36" i="9"/>
  <c r="D341" i="13" s="1"/>
  <c r="C36" i="9"/>
  <c r="F35" i="9"/>
  <c r="E340" i="13" s="1"/>
  <c r="E35" i="9"/>
  <c r="D340" i="13" s="1"/>
  <c r="C35" i="9"/>
  <c r="F34" i="9"/>
  <c r="E339" i="13" s="1"/>
  <c r="E34" i="9"/>
  <c r="D339" i="13" s="1"/>
  <c r="C34" i="9"/>
  <c r="C33" i="9"/>
  <c r="F32" i="9"/>
  <c r="E337" i="13" s="1"/>
  <c r="E32" i="9"/>
  <c r="D337" i="13" s="1"/>
  <c r="C32" i="9"/>
  <c r="F31" i="9"/>
  <c r="E31" i="9"/>
  <c r="D336" i="13" s="1"/>
  <c r="C31" i="9"/>
  <c r="C30" i="9"/>
  <c r="F29" i="9"/>
  <c r="E334" i="13" s="1"/>
  <c r="E29" i="9"/>
  <c r="D334" i="13" s="1"/>
  <c r="C29" i="9"/>
  <c r="F28" i="9"/>
  <c r="E333" i="13" s="1"/>
  <c r="E28" i="9"/>
  <c r="D333" i="13" s="1"/>
  <c r="C28" i="9"/>
  <c r="C27" i="9"/>
  <c r="C26" i="9"/>
  <c r="F25" i="9"/>
  <c r="E330" i="13" s="1"/>
  <c r="E25" i="9"/>
  <c r="D330" i="13" s="1"/>
  <c r="C25" i="9"/>
  <c r="F24" i="9"/>
  <c r="E24" i="9"/>
  <c r="D329" i="13" s="1"/>
  <c r="C24" i="9"/>
  <c r="F23" i="9"/>
  <c r="E328" i="13" s="1"/>
  <c r="E23" i="9"/>
  <c r="D328" i="13" s="1"/>
  <c r="C23" i="9"/>
  <c r="F22" i="9"/>
  <c r="E22" i="9"/>
  <c r="D327" i="13" s="1"/>
  <c r="C22" i="9"/>
  <c r="F21" i="9"/>
  <c r="E326" i="13" s="1"/>
  <c r="E21" i="9"/>
  <c r="D326" i="13" s="1"/>
  <c r="C21" i="9"/>
  <c r="C20" i="9"/>
  <c r="F19" i="9"/>
  <c r="E324" i="13" s="1"/>
  <c r="E19" i="9"/>
  <c r="D324" i="13" s="1"/>
  <c r="C19" i="9"/>
  <c r="F18" i="9"/>
  <c r="E323" i="13" s="1"/>
  <c r="E18" i="9"/>
  <c r="D323" i="13" s="1"/>
  <c r="C18" i="9"/>
  <c r="C17" i="9"/>
  <c r="F16" i="9"/>
  <c r="E16" i="9"/>
  <c r="D321" i="13" s="1"/>
  <c r="C16" i="9"/>
  <c r="F15" i="9"/>
  <c r="E320" i="13" s="1"/>
  <c r="E15" i="9"/>
  <c r="D320" i="13" s="1"/>
  <c r="C15" i="9"/>
  <c r="F14" i="9"/>
  <c r="E319" i="13" s="1"/>
  <c r="E14" i="9"/>
  <c r="D319" i="13" s="1"/>
  <c r="C14" i="9"/>
  <c r="F13" i="9"/>
  <c r="E13" i="9"/>
  <c r="D318" i="13" s="1"/>
  <c r="C13" i="9"/>
  <c r="C12" i="9"/>
  <c r="F11" i="9"/>
  <c r="E316" i="13" s="1"/>
  <c r="E11" i="9"/>
  <c r="D316" i="13" s="1"/>
  <c r="C11" i="9"/>
  <c r="F10" i="9"/>
  <c r="E315" i="13" s="1"/>
  <c r="E10" i="9"/>
  <c r="D315" i="13" s="1"/>
  <c r="C10" i="9"/>
  <c r="C9" i="9"/>
  <c r="F8" i="9"/>
  <c r="E8" i="9"/>
  <c r="D313" i="13" s="1"/>
  <c r="C8" i="9"/>
  <c r="F7" i="9"/>
  <c r="E312" i="13" s="1"/>
  <c r="E7" i="9"/>
  <c r="D312" i="13" s="1"/>
  <c r="C7" i="9"/>
  <c r="C6" i="9"/>
  <c r="N5" i="9"/>
  <c r="M5" i="9"/>
  <c r="L5" i="9"/>
  <c r="I310" i="13" s="1"/>
  <c r="K5" i="9"/>
  <c r="H310" i="13" s="1"/>
  <c r="J5" i="9"/>
  <c r="I5" i="9"/>
  <c r="C5" i="9"/>
  <c r="P44" i="8"/>
  <c r="O266" i="13" s="1"/>
  <c r="L44" i="8"/>
  <c r="O44" i="8" s="1"/>
  <c r="N266" i="13" s="1"/>
  <c r="L43" i="8"/>
  <c r="L42" i="8"/>
  <c r="L41" i="8"/>
  <c r="L40" i="8"/>
  <c r="P40" i="8" s="1"/>
  <c r="O262" i="13" s="1"/>
  <c r="L39" i="8"/>
  <c r="L38" i="8"/>
  <c r="P38" i="8" s="1"/>
  <c r="O260" i="13" s="1"/>
  <c r="P37" i="8"/>
  <c r="O259" i="13" s="1"/>
  <c r="O37" i="8"/>
  <c r="N259" i="13" s="1"/>
  <c r="L37" i="8"/>
  <c r="N37" i="8" s="1"/>
  <c r="M259" i="13" s="1"/>
  <c r="M36" i="8"/>
  <c r="L258" i="13" s="1"/>
  <c r="L36" i="8"/>
  <c r="O36" i="8" s="1"/>
  <c r="N258" i="13" s="1"/>
  <c r="L35" i="8"/>
  <c r="O35" i="8" s="1"/>
  <c r="N257" i="13" s="1"/>
  <c r="L34" i="8"/>
  <c r="M34" i="8" s="1"/>
  <c r="L256" i="13" s="1"/>
  <c r="L33" i="8"/>
  <c r="L32" i="8"/>
  <c r="L31" i="8"/>
  <c r="L30" i="8"/>
  <c r="P30" i="8" s="1"/>
  <c r="O252" i="13" s="1"/>
  <c r="P29" i="8"/>
  <c r="O251" i="13" s="1"/>
  <c r="O29" i="8"/>
  <c r="N251" i="13" s="1"/>
  <c r="L29" i="8"/>
  <c r="N29" i="8" s="1"/>
  <c r="M251" i="13" s="1"/>
  <c r="P28" i="8"/>
  <c r="O250" i="13" s="1"/>
  <c r="L28" i="8"/>
  <c r="O28" i="8" s="1"/>
  <c r="N250" i="13" s="1"/>
  <c r="L27" i="8"/>
  <c r="P27" i="8" s="1"/>
  <c r="O249" i="13" s="1"/>
  <c r="L26" i="8"/>
  <c r="L25" i="8"/>
  <c r="L24" i="8"/>
  <c r="P24" i="8" s="1"/>
  <c r="O246" i="13" s="1"/>
  <c r="L23" i="8"/>
  <c r="M23" i="8" s="1"/>
  <c r="L245" i="13" s="1"/>
  <c r="L22" i="8"/>
  <c r="P22" i="8" s="1"/>
  <c r="O244" i="13" s="1"/>
  <c r="P21" i="8"/>
  <c r="O243" i="13" s="1"/>
  <c r="O21" i="8"/>
  <c r="N243" i="13" s="1"/>
  <c r="L21" i="8"/>
  <c r="N21" i="8" s="1"/>
  <c r="M243" i="13" s="1"/>
  <c r="L20" i="8"/>
  <c r="L19" i="8"/>
  <c r="P18" i="8"/>
  <c r="O240" i="13" s="1"/>
  <c r="O18" i="8"/>
  <c r="N240" i="13" s="1"/>
  <c r="N18" i="8"/>
  <c r="M240" i="13" s="1"/>
  <c r="L18" i="8"/>
  <c r="M18" i="8" s="1"/>
  <c r="L240" i="13" s="1"/>
  <c r="L17" i="8"/>
  <c r="M16" i="8"/>
  <c r="L238" i="13" s="1"/>
  <c r="L16" i="8"/>
  <c r="L15" i="8"/>
  <c r="M15" i="8" s="1"/>
  <c r="L237" i="13" s="1"/>
  <c r="L14" i="8"/>
  <c r="P14" i="8" s="1"/>
  <c r="O236" i="13" s="1"/>
  <c r="P13" i="8"/>
  <c r="O235" i="13" s="1"/>
  <c r="O13" i="8"/>
  <c r="N235" i="13" s="1"/>
  <c r="L13" i="8"/>
  <c r="N13" i="8" s="1"/>
  <c r="M235" i="13" s="1"/>
  <c r="P12" i="8"/>
  <c r="O234" i="13" s="1"/>
  <c r="O12" i="8"/>
  <c r="N234" i="13" s="1"/>
  <c r="N12" i="8"/>
  <c r="M234" i="13" s="1"/>
  <c r="M12" i="8"/>
  <c r="L234" i="13" s="1"/>
  <c r="L12" i="8"/>
  <c r="L11" i="8"/>
  <c r="L10" i="8"/>
  <c r="L9" i="8"/>
  <c r="O8" i="8"/>
  <c r="N230" i="13" s="1"/>
  <c r="L8" i="8"/>
  <c r="P8" i="8" s="1"/>
  <c r="O230" i="13" s="1"/>
  <c r="L7" i="8"/>
  <c r="M7" i="8" s="1"/>
  <c r="L229" i="13" s="1"/>
  <c r="L6" i="8"/>
  <c r="P6" i="8" s="1"/>
  <c r="O228" i="13" s="1"/>
  <c r="O5" i="8"/>
  <c r="N227" i="13" s="1"/>
  <c r="L5" i="8"/>
  <c r="R354" i="7"/>
  <c r="F354" i="7"/>
  <c r="Q354" i="7" s="1"/>
  <c r="G74" i="9" s="1"/>
  <c r="F379" i="13" s="1"/>
  <c r="E354" i="7"/>
  <c r="R353" i="7"/>
  <c r="F353" i="7"/>
  <c r="M353" i="7" s="1"/>
  <c r="E353" i="7"/>
  <c r="S353" i="7" s="1"/>
  <c r="R352" i="7"/>
  <c r="F352" i="7"/>
  <c r="M352" i="7" s="1"/>
  <c r="E352" i="7"/>
  <c r="S352" i="7" s="1"/>
  <c r="R351" i="7"/>
  <c r="F351" i="7"/>
  <c r="M351" i="7" s="1"/>
  <c r="E351" i="7"/>
  <c r="R350" i="7"/>
  <c r="F350" i="7"/>
  <c r="N350" i="7" s="1"/>
  <c r="E350" i="7"/>
  <c r="S350" i="7" s="1"/>
  <c r="R349" i="7"/>
  <c r="N349" i="7"/>
  <c r="F349" i="7"/>
  <c r="H349" i="7" s="1"/>
  <c r="E349" i="7"/>
  <c r="S349" i="7" s="1"/>
  <c r="R348" i="7"/>
  <c r="H348" i="7"/>
  <c r="F348" i="7"/>
  <c r="Q348" i="7" s="1"/>
  <c r="E348" i="7"/>
  <c r="S348" i="7" s="1"/>
  <c r="R347" i="7"/>
  <c r="Q347" i="7"/>
  <c r="F347" i="7"/>
  <c r="H347" i="7" s="1"/>
  <c r="E347" i="7"/>
  <c r="S347" i="7" s="1"/>
  <c r="R346" i="7"/>
  <c r="H346" i="7"/>
  <c r="F346" i="7"/>
  <c r="Q346" i="7" s="1"/>
  <c r="E346" i="7"/>
  <c r="S346" i="7" s="1"/>
  <c r="R345" i="7"/>
  <c r="F345" i="7"/>
  <c r="E345" i="7"/>
  <c r="S345" i="7" s="1"/>
  <c r="R344" i="7"/>
  <c r="F344" i="7"/>
  <c r="E344" i="7"/>
  <c r="S343" i="7"/>
  <c r="R343" i="7"/>
  <c r="F343" i="7"/>
  <c r="M343" i="7" s="1"/>
  <c r="E343" i="7"/>
  <c r="R342" i="7"/>
  <c r="H342" i="7"/>
  <c r="F342" i="7"/>
  <c r="G342" i="7" s="1"/>
  <c r="E342" i="7"/>
  <c r="S342" i="7" s="1"/>
  <c r="R341" i="7"/>
  <c r="F341" i="7"/>
  <c r="G341" i="7" s="1"/>
  <c r="E341" i="7"/>
  <c r="S341" i="7" s="1"/>
  <c r="R340" i="7"/>
  <c r="F340" i="7"/>
  <c r="G340" i="7" s="1"/>
  <c r="E340" i="7"/>
  <c r="S340" i="7" s="1"/>
  <c r="R339" i="7"/>
  <c r="F339" i="7"/>
  <c r="E339" i="7"/>
  <c r="R338" i="7"/>
  <c r="Q338" i="7"/>
  <c r="F338" i="7"/>
  <c r="E338" i="7"/>
  <c r="R337" i="7"/>
  <c r="F337" i="7"/>
  <c r="Q337" i="7" s="1"/>
  <c r="E337" i="7"/>
  <c r="S337" i="7" s="1"/>
  <c r="R336" i="7"/>
  <c r="F336" i="7"/>
  <c r="E336" i="7"/>
  <c r="R335" i="7"/>
  <c r="Q335" i="7"/>
  <c r="F335" i="7"/>
  <c r="E335" i="7"/>
  <c r="S335" i="7" s="1"/>
  <c r="R334" i="7"/>
  <c r="F334" i="7"/>
  <c r="Q334" i="7" s="1"/>
  <c r="G72" i="9" s="1"/>
  <c r="E334" i="7"/>
  <c r="S334" i="7" s="1"/>
  <c r="R333" i="7"/>
  <c r="M333" i="7"/>
  <c r="F333" i="7"/>
  <c r="H333" i="7" s="1"/>
  <c r="E333" i="7"/>
  <c r="S333" i="7" s="1"/>
  <c r="R332" i="7"/>
  <c r="F332" i="7"/>
  <c r="M332" i="7" s="1"/>
  <c r="E332" i="7"/>
  <c r="S332" i="7" s="1"/>
  <c r="R331" i="7"/>
  <c r="F331" i="7"/>
  <c r="M331" i="7" s="1"/>
  <c r="E331" i="7"/>
  <c r="S331" i="7" s="1"/>
  <c r="R330" i="7"/>
  <c r="F330" i="7"/>
  <c r="H330" i="7" s="1"/>
  <c r="E330" i="7"/>
  <c r="R329" i="7"/>
  <c r="N329" i="7"/>
  <c r="F329" i="7"/>
  <c r="E329" i="7"/>
  <c r="R328" i="7"/>
  <c r="F328" i="7"/>
  <c r="Q328" i="7" s="1"/>
  <c r="E328" i="7"/>
  <c r="S328" i="7" s="1"/>
  <c r="S327" i="7"/>
  <c r="R327" i="7"/>
  <c r="F327" i="7"/>
  <c r="H327" i="7" s="1"/>
  <c r="E327" i="7"/>
  <c r="R326" i="7"/>
  <c r="F326" i="7"/>
  <c r="G326" i="7" s="1"/>
  <c r="E326" i="7"/>
  <c r="S326" i="7" s="1"/>
  <c r="R325" i="7"/>
  <c r="F325" i="7"/>
  <c r="E325" i="7"/>
  <c r="R324" i="7"/>
  <c r="F324" i="7"/>
  <c r="Q324" i="7" s="1"/>
  <c r="G71" i="9" s="1"/>
  <c r="F376" i="13" s="1"/>
  <c r="E324" i="7"/>
  <c r="S324" i="7" s="1"/>
  <c r="R323" i="7"/>
  <c r="F323" i="7"/>
  <c r="H323" i="7" s="1"/>
  <c r="E323" i="7"/>
  <c r="S323" i="7" s="1"/>
  <c r="S322" i="7"/>
  <c r="R322" i="7"/>
  <c r="G322" i="7"/>
  <c r="F322" i="7"/>
  <c r="E322" i="7"/>
  <c r="R321" i="7"/>
  <c r="M321" i="7"/>
  <c r="F321" i="7"/>
  <c r="E321" i="7"/>
  <c r="S321" i="7" s="1"/>
  <c r="R320" i="7"/>
  <c r="F320" i="7"/>
  <c r="E320" i="7"/>
  <c r="R319" i="7"/>
  <c r="F319" i="7"/>
  <c r="E319" i="7"/>
  <c r="R318" i="7"/>
  <c r="F318" i="7"/>
  <c r="Q318" i="7" s="1"/>
  <c r="E318" i="7"/>
  <c r="S318" i="7" s="1"/>
  <c r="R317" i="7"/>
  <c r="F317" i="7"/>
  <c r="H317" i="7" s="1"/>
  <c r="E317" i="7"/>
  <c r="S317" i="7" s="1"/>
  <c r="R316" i="7"/>
  <c r="F316" i="7"/>
  <c r="Q316" i="7" s="1"/>
  <c r="E316" i="7"/>
  <c r="S316" i="7" s="1"/>
  <c r="R315" i="7"/>
  <c r="F315" i="7"/>
  <c r="G315" i="7" s="1"/>
  <c r="E315" i="7"/>
  <c r="S315" i="7" s="1"/>
  <c r="R314" i="7"/>
  <c r="F314" i="7"/>
  <c r="H314" i="7" s="1"/>
  <c r="E314" i="7"/>
  <c r="S314" i="7" s="1"/>
  <c r="R313" i="7"/>
  <c r="F313" i="7"/>
  <c r="E313" i="7"/>
  <c r="S313" i="7" s="1"/>
  <c r="R312" i="7"/>
  <c r="F312" i="7"/>
  <c r="M312" i="7" s="1"/>
  <c r="E312" i="7"/>
  <c r="R311" i="7"/>
  <c r="M311" i="7"/>
  <c r="H311" i="7"/>
  <c r="F311" i="7"/>
  <c r="E311" i="7"/>
  <c r="S311" i="7" s="1"/>
  <c r="R310" i="7"/>
  <c r="F310" i="7"/>
  <c r="M310" i="7" s="1"/>
  <c r="E310" i="7"/>
  <c r="S310" i="7" s="1"/>
  <c r="R309" i="7"/>
  <c r="F309" i="7"/>
  <c r="E309" i="7"/>
  <c r="R308" i="7"/>
  <c r="Q308" i="7"/>
  <c r="F308" i="7"/>
  <c r="E308" i="7"/>
  <c r="S308" i="7" s="1"/>
  <c r="R307" i="7"/>
  <c r="F307" i="7"/>
  <c r="E307" i="7"/>
  <c r="R306" i="7"/>
  <c r="F306" i="7"/>
  <c r="H306" i="7" s="1"/>
  <c r="E306" i="7"/>
  <c r="R305" i="7"/>
  <c r="Q305" i="7"/>
  <c r="F305" i="7"/>
  <c r="E305" i="7"/>
  <c r="R304" i="7"/>
  <c r="F304" i="7"/>
  <c r="Q304" i="7" s="1"/>
  <c r="G69" i="9" s="1"/>
  <c r="F374" i="13" s="1"/>
  <c r="E304" i="7"/>
  <c r="S304" i="7" s="1"/>
  <c r="R303" i="7"/>
  <c r="F303" i="7"/>
  <c r="E303" i="7"/>
  <c r="R302" i="7"/>
  <c r="F302" i="7"/>
  <c r="M302" i="7" s="1"/>
  <c r="E302" i="7"/>
  <c r="S302" i="7" s="1"/>
  <c r="R301" i="7"/>
  <c r="F301" i="7"/>
  <c r="E301" i="7"/>
  <c r="S301" i="7" s="1"/>
  <c r="S300" i="7"/>
  <c r="R300" i="7"/>
  <c r="F300" i="7"/>
  <c r="E300" i="7"/>
  <c r="R299" i="7"/>
  <c r="Q299" i="7"/>
  <c r="M299" i="7"/>
  <c r="H299" i="7"/>
  <c r="G299" i="7"/>
  <c r="I299" i="7" s="1"/>
  <c r="K299" i="7" s="1"/>
  <c r="F299" i="7"/>
  <c r="N299" i="7" s="1"/>
  <c r="E299" i="7"/>
  <c r="S299" i="7" s="1"/>
  <c r="R298" i="7"/>
  <c r="Q298" i="7"/>
  <c r="H298" i="7"/>
  <c r="G298" i="7"/>
  <c r="F298" i="7"/>
  <c r="E298" i="7"/>
  <c r="S298" i="7" s="1"/>
  <c r="R297" i="7"/>
  <c r="F297" i="7"/>
  <c r="Q297" i="7" s="1"/>
  <c r="E297" i="7"/>
  <c r="S297" i="7" s="1"/>
  <c r="R296" i="7"/>
  <c r="G296" i="7"/>
  <c r="F296" i="7"/>
  <c r="E296" i="7"/>
  <c r="R295" i="7"/>
  <c r="F295" i="7"/>
  <c r="E295" i="7"/>
  <c r="S295" i="7" s="1"/>
  <c r="S294" i="7"/>
  <c r="R294" i="7"/>
  <c r="H294" i="7"/>
  <c r="G294" i="7"/>
  <c r="F294" i="7"/>
  <c r="E294" i="7"/>
  <c r="R293" i="7"/>
  <c r="F293" i="7"/>
  <c r="E293" i="7"/>
  <c r="R292" i="7"/>
  <c r="F292" i="7"/>
  <c r="E292" i="7"/>
  <c r="R291" i="7"/>
  <c r="G291" i="7"/>
  <c r="F291" i="7"/>
  <c r="E291" i="7"/>
  <c r="S291" i="7" s="1"/>
  <c r="R290" i="7"/>
  <c r="F290" i="7"/>
  <c r="E290" i="7"/>
  <c r="R289" i="7"/>
  <c r="F289" i="7"/>
  <c r="E289" i="7"/>
  <c r="R288" i="7"/>
  <c r="F288" i="7"/>
  <c r="Q288" i="7" s="1"/>
  <c r="E288" i="7"/>
  <c r="S288" i="7" s="1"/>
  <c r="R287" i="7"/>
  <c r="F287" i="7"/>
  <c r="E287" i="7"/>
  <c r="R286" i="7"/>
  <c r="Q286" i="7"/>
  <c r="F286" i="7"/>
  <c r="E286" i="7"/>
  <c r="S286" i="7" s="1"/>
  <c r="S285" i="7"/>
  <c r="R285" i="7"/>
  <c r="Q285" i="7"/>
  <c r="H285" i="7"/>
  <c r="F285" i="7"/>
  <c r="G285" i="7" s="1"/>
  <c r="E285" i="7"/>
  <c r="R284" i="7"/>
  <c r="Q284" i="7"/>
  <c r="G67" i="9" s="1"/>
  <c r="F284" i="7"/>
  <c r="H284" i="7" s="1"/>
  <c r="E284" i="7"/>
  <c r="S284" i="7" s="1"/>
  <c r="S283" i="7"/>
  <c r="R283" i="7"/>
  <c r="M283" i="7"/>
  <c r="H283" i="7"/>
  <c r="G283" i="7"/>
  <c r="F283" i="7"/>
  <c r="Q283" i="7" s="1"/>
  <c r="E283" i="7"/>
  <c r="R282" i="7"/>
  <c r="F282" i="7"/>
  <c r="M282" i="7" s="1"/>
  <c r="E282" i="7"/>
  <c r="S282" i="7" s="1"/>
  <c r="R281" i="7"/>
  <c r="F281" i="7"/>
  <c r="G281" i="7" s="1"/>
  <c r="E281" i="7"/>
  <c r="S281" i="7" s="1"/>
  <c r="R280" i="7"/>
  <c r="F280" i="7"/>
  <c r="E280" i="7"/>
  <c r="R279" i="7"/>
  <c r="F279" i="7"/>
  <c r="H279" i="7" s="1"/>
  <c r="E279" i="7"/>
  <c r="S279" i="7" s="1"/>
  <c r="R278" i="7"/>
  <c r="F278" i="7"/>
  <c r="E278" i="7"/>
  <c r="R277" i="7"/>
  <c r="F277" i="7"/>
  <c r="H277" i="7" s="1"/>
  <c r="E277" i="7"/>
  <c r="S277" i="7" s="1"/>
  <c r="R276" i="7"/>
  <c r="G276" i="7"/>
  <c r="F276" i="7"/>
  <c r="E276" i="7"/>
  <c r="R275" i="7"/>
  <c r="F275" i="7"/>
  <c r="H275" i="7" s="1"/>
  <c r="E275" i="7"/>
  <c r="R274" i="7"/>
  <c r="F274" i="7"/>
  <c r="E274" i="7"/>
  <c r="S273" i="7"/>
  <c r="R273" i="7"/>
  <c r="Q273" i="7"/>
  <c r="M273" i="7"/>
  <c r="F273" i="7"/>
  <c r="G273" i="7" s="1"/>
  <c r="E273" i="7"/>
  <c r="R272" i="7"/>
  <c r="F272" i="7"/>
  <c r="G272" i="7" s="1"/>
  <c r="Q272" i="7" s="1"/>
  <c r="E272" i="7"/>
  <c r="S272" i="7" s="1"/>
  <c r="R271" i="7"/>
  <c r="F271" i="7"/>
  <c r="N271" i="7" s="1"/>
  <c r="E271" i="7"/>
  <c r="R270" i="7"/>
  <c r="F270" i="7"/>
  <c r="E270" i="7"/>
  <c r="R269" i="7"/>
  <c r="Q269" i="7"/>
  <c r="M269" i="7"/>
  <c r="H269" i="7"/>
  <c r="F269" i="7"/>
  <c r="G269" i="7" s="1"/>
  <c r="E269" i="7"/>
  <c r="S269" i="7" s="1"/>
  <c r="R268" i="7"/>
  <c r="F268" i="7"/>
  <c r="Q268" i="7" s="1"/>
  <c r="E268" i="7"/>
  <c r="S268" i="7" s="1"/>
  <c r="R267" i="7"/>
  <c r="F267" i="7"/>
  <c r="E267" i="7"/>
  <c r="S267" i="7" s="1"/>
  <c r="R266" i="7"/>
  <c r="F266" i="7"/>
  <c r="Q266" i="7" s="1"/>
  <c r="E266" i="7"/>
  <c r="S266" i="7" s="1"/>
  <c r="R265" i="7"/>
  <c r="F265" i="7"/>
  <c r="Q265" i="7" s="1"/>
  <c r="E265" i="7"/>
  <c r="S265" i="7" s="1"/>
  <c r="R264" i="7"/>
  <c r="F264" i="7"/>
  <c r="G264" i="7" s="1"/>
  <c r="E264" i="7"/>
  <c r="S264" i="7" s="1"/>
  <c r="R263" i="7"/>
  <c r="F263" i="7"/>
  <c r="H263" i="7" s="1"/>
  <c r="E263" i="7"/>
  <c r="R262" i="7"/>
  <c r="F262" i="7"/>
  <c r="H262" i="7" s="1"/>
  <c r="E262" i="7"/>
  <c r="S262" i="7" s="1"/>
  <c r="R261" i="7"/>
  <c r="F261" i="7"/>
  <c r="M261" i="7" s="1"/>
  <c r="E261" i="7"/>
  <c r="S260" i="7"/>
  <c r="R260" i="7"/>
  <c r="F260" i="7"/>
  <c r="E260" i="7"/>
  <c r="R259" i="7"/>
  <c r="F259" i="7"/>
  <c r="M259" i="7" s="1"/>
  <c r="E259" i="7"/>
  <c r="S259" i="7" s="1"/>
  <c r="R258" i="7"/>
  <c r="F258" i="7"/>
  <c r="H258" i="7" s="1"/>
  <c r="E258" i="7"/>
  <c r="S258" i="7" s="1"/>
  <c r="S257" i="7"/>
  <c r="R257" i="7"/>
  <c r="F257" i="7"/>
  <c r="E257" i="7"/>
  <c r="R256" i="7"/>
  <c r="F256" i="7"/>
  <c r="E256" i="7"/>
  <c r="S256" i="7" s="1"/>
  <c r="R255" i="7"/>
  <c r="Q255" i="7"/>
  <c r="G255" i="7"/>
  <c r="F255" i="7"/>
  <c r="E255" i="7"/>
  <c r="R254" i="7"/>
  <c r="F254" i="7"/>
  <c r="H254" i="7" s="1"/>
  <c r="E254" i="7"/>
  <c r="S253" i="7"/>
  <c r="R253" i="7"/>
  <c r="F253" i="7"/>
  <c r="E253" i="7"/>
  <c r="R252" i="7"/>
  <c r="M252" i="7"/>
  <c r="F252" i="7"/>
  <c r="H252" i="7" s="1"/>
  <c r="E252" i="7"/>
  <c r="S252" i="7" s="1"/>
  <c r="R251" i="7"/>
  <c r="F251" i="7"/>
  <c r="E251" i="7"/>
  <c r="S251" i="7" s="1"/>
  <c r="R250" i="7"/>
  <c r="F250" i="7"/>
  <c r="M250" i="7" s="1"/>
  <c r="E250" i="7"/>
  <c r="S250" i="7" s="1"/>
  <c r="R249" i="7"/>
  <c r="F249" i="7"/>
  <c r="E249" i="7"/>
  <c r="R248" i="7"/>
  <c r="F248" i="7"/>
  <c r="E248" i="7"/>
  <c r="S248" i="7" s="1"/>
  <c r="R247" i="7"/>
  <c r="F247" i="7"/>
  <c r="E247" i="7"/>
  <c r="R246" i="7"/>
  <c r="F246" i="7"/>
  <c r="E246" i="7"/>
  <c r="S246" i="7" s="1"/>
  <c r="R245" i="7"/>
  <c r="F245" i="7"/>
  <c r="G245" i="7" s="1"/>
  <c r="E245" i="7"/>
  <c r="S245" i="7" s="1"/>
  <c r="R244" i="7"/>
  <c r="F244" i="7"/>
  <c r="Q244" i="7" s="1"/>
  <c r="G63" i="9" s="1"/>
  <c r="F368" i="13" s="1"/>
  <c r="E244" i="7"/>
  <c r="R243" i="7"/>
  <c r="H243" i="7"/>
  <c r="F243" i="7"/>
  <c r="M243" i="7" s="1"/>
  <c r="E243" i="7"/>
  <c r="S243" i="7" s="1"/>
  <c r="R242" i="7"/>
  <c r="F242" i="7"/>
  <c r="H242" i="7" s="1"/>
  <c r="E242" i="7"/>
  <c r="S242" i="7" s="1"/>
  <c r="R241" i="7"/>
  <c r="F241" i="7"/>
  <c r="N241" i="7" s="1"/>
  <c r="E241" i="7"/>
  <c r="S240" i="7"/>
  <c r="R240" i="7"/>
  <c r="F240" i="7"/>
  <c r="M240" i="7" s="1"/>
  <c r="E240" i="7"/>
  <c r="R239" i="7"/>
  <c r="F239" i="7"/>
  <c r="E239" i="7"/>
  <c r="R238" i="7"/>
  <c r="F238" i="7"/>
  <c r="Q238" i="7" s="1"/>
  <c r="E238" i="7"/>
  <c r="S238" i="7" s="1"/>
  <c r="R237" i="7"/>
  <c r="F237" i="7"/>
  <c r="H237" i="7" s="1"/>
  <c r="E237" i="7"/>
  <c r="R236" i="7"/>
  <c r="H236" i="7"/>
  <c r="G236" i="7"/>
  <c r="F236" i="7"/>
  <c r="Q236" i="7" s="1"/>
  <c r="E236" i="7"/>
  <c r="S236" i="7" s="1"/>
  <c r="R235" i="7"/>
  <c r="F235" i="7"/>
  <c r="Q235" i="7" s="1"/>
  <c r="E235" i="7"/>
  <c r="S235" i="7" s="1"/>
  <c r="S234" i="7"/>
  <c r="R234" i="7"/>
  <c r="F234" i="7"/>
  <c r="H234" i="7" s="1"/>
  <c r="E234" i="7"/>
  <c r="R233" i="7"/>
  <c r="M233" i="7"/>
  <c r="F233" i="7"/>
  <c r="G233" i="7" s="1"/>
  <c r="Q233" i="7" s="1"/>
  <c r="E233" i="7"/>
  <c r="S233" i="7" s="1"/>
  <c r="R232" i="7"/>
  <c r="M232" i="7"/>
  <c r="H232" i="7"/>
  <c r="F232" i="7"/>
  <c r="G232" i="7" s="1"/>
  <c r="Q232" i="7" s="1"/>
  <c r="E232" i="7"/>
  <c r="S232" i="7" s="1"/>
  <c r="R231" i="7"/>
  <c r="G231" i="7"/>
  <c r="F231" i="7"/>
  <c r="N231" i="7" s="1"/>
  <c r="E231" i="7"/>
  <c r="S231" i="7" s="1"/>
  <c r="R230" i="7"/>
  <c r="F230" i="7"/>
  <c r="E230" i="7"/>
  <c r="S230" i="7" s="1"/>
  <c r="R229" i="7"/>
  <c r="F229" i="7"/>
  <c r="M229" i="7" s="1"/>
  <c r="E229" i="7"/>
  <c r="S229" i="7" s="1"/>
  <c r="R228" i="7"/>
  <c r="G228" i="7"/>
  <c r="F228" i="7"/>
  <c r="H228" i="7" s="1"/>
  <c r="E228" i="7"/>
  <c r="S228" i="7" s="1"/>
  <c r="R227" i="7"/>
  <c r="F227" i="7"/>
  <c r="H227" i="7" s="1"/>
  <c r="E227" i="7"/>
  <c r="S226" i="7"/>
  <c r="R226" i="7"/>
  <c r="H226" i="7"/>
  <c r="F226" i="7"/>
  <c r="G226" i="7" s="1"/>
  <c r="E226" i="7"/>
  <c r="R225" i="7"/>
  <c r="F225" i="7"/>
  <c r="Q225" i="7" s="1"/>
  <c r="E225" i="7"/>
  <c r="R224" i="7"/>
  <c r="F224" i="7"/>
  <c r="Q224" i="7" s="1"/>
  <c r="G61" i="9" s="1"/>
  <c r="F366" i="13" s="1"/>
  <c r="E224" i="7"/>
  <c r="R223" i="7"/>
  <c r="F223" i="7"/>
  <c r="E223" i="7"/>
  <c r="S222" i="7"/>
  <c r="R222" i="7"/>
  <c r="F222" i="7"/>
  <c r="E222" i="7"/>
  <c r="R221" i="7"/>
  <c r="F221" i="7"/>
  <c r="N221" i="7" s="1"/>
  <c r="E221" i="7"/>
  <c r="R220" i="7"/>
  <c r="F220" i="7"/>
  <c r="M220" i="7" s="1"/>
  <c r="E220" i="7"/>
  <c r="S220" i="7" s="1"/>
  <c r="S219" i="7"/>
  <c r="R219" i="7"/>
  <c r="F219" i="7"/>
  <c r="E219" i="7"/>
  <c r="R218" i="7"/>
  <c r="F218" i="7"/>
  <c r="Q218" i="7" s="1"/>
  <c r="E218" i="7"/>
  <c r="S218" i="7" s="1"/>
  <c r="R217" i="7"/>
  <c r="F217" i="7"/>
  <c r="G217" i="7" s="1"/>
  <c r="E217" i="7"/>
  <c r="S217" i="7" s="1"/>
  <c r="R216" i="7"/>
  <c r="F216" i="7"/>
  <c r="Q216" i="7" s="1"/>
  <c r="E216" i="7"/>
  <c r="S216" i="7" s="1"/>
  <c r="R215" i="7"/>
  <c r="F215" i="7"/>
  <c r="Q215" i="7" s="1"/>
  <c r="E215" i="7"/>
  <c r="S215" i="7" s="1"/>
  <c r="R214" i="7"/>
  <c r="F214" i="7"/>
  <c r="E214" i="7"/>
  <c r="R213" i="7"/>
  <c r="M213" i="7"/>
  <c r="H213" i="7"/>
  <c r="F213" i="7"/>
  <c r="E213" i="7"/>
  <c r="S213" i="7" s="1"/>
  <c r="R212" i="7"/>
  <c r="F212" i="7"/>
  <c r="M212" i="7" s="1"/>
  <c r="E212" i="7"/>
  <c r="R211" i="7"/>
  <c r="F211" i="7"/>
  <c r="E211" i="7"/>
  <c r="S211" i="7" s="1"/>
  <c r="R210" i="7"/>
  <c r="F210" i="7"/>
  <c r="E210" i="7"/>
  <c r="S209" i="7"/>
  <c r="R209" i="7"/>
  <c r="F209" i="7"/>
  <c r="G209" i="7" s="1"/>
  <c r="E209" i="7"/>
  <c r="R208" i="7"/>
  <c r="Q208" i="7"/>
  <c r="H208" i="7"/>
  <c r="G208" i="7"/>
  <c r="F208" i="7"/>
  <c r="E208" i="7"/>
  <c r="S208" i="7" s="1"/>
  <c r="R207" i="7"/>
  <c r="F207" i="7"/>
  <c r="E207" i="7"/>
  <c r="S206" i="7"/>
  <c r="R206" i="7"/>
  <c r="G206" i="7"/>
  <c r="F206" i="7"/>
  <c r="E206" i="7"/>
  <c r="R205" i="7"/>
  <c r="F205" i="7"/>
  <c r="E205" i="7"/>
  <c r="R204" i="7"/>
  <c r="F204" i="7"/>
  <c r="Q204" i="7" s="1"/>
  <c r="G59" i="9" s="1"/>
  <c r="E204" i="7"/>
  <c r="S203" i="7"/>
  <c r="R203" i="7"/>
  <c r="H203" i="7"/>
  <c r="F203" i="7"/>
  <c r="G203" i="7" s="1"/>
  <c r="Q203" i="7" s="1"/>
  <c r="E203" i="7"/>
  <c r="R202" i="7"/>
  <c r="H202" i="7"/>
  <c r="F202" i="7"/>
  <c r="G202" i="7" s="1"/>
  <c r="Q202" i="7" s="1"/>
  <c r="E202" i="7"/>
  <c r="S202" i="7" s="1"/>
  <c r="S201" i="7"/>
  <c r="R201" i="7"/>
  <c r="F201" i="7"/>
  <c r="G201" i="7" s="1"/>
  <c r="Q201" i="7" s="1"/>
  <c r="E201" i="7"/>
  <c r="R200" i="7"/>
  <c r="F200" i="7"/>
  <c r="E200" i="7"/>
  <c r="S200" i="7" s="1"/>
  <c r="R199" i="7"/>
  <c r="M199" i="7"/>
  <c r="F199" i="7"/>
  <c r="E199" i="7"/>
  <c r="R198" i="7"/>
  <c r="F198" i="7"/>
  <c r="Q198" i="7" s="1"/>
  <c r="E198" i="7"/>
  <c r="R197" i="7"/>
  <c r="H197" i="7"/>
  <c r="G197" i="7"/>
  <c r="F197" i="7"/>
  <c r="Q197" i="7" s="1"/>
  <c r="E197" i="7"/>
  <c r="S197" i="7" s="1"/>
  <c r="R196" i="7"/>
  <c r="F196" i="7"/>
  <c r="G196" i="7" s="1"/>
  <c r="E196" i="7"/>
  <c r="S196" i="7" s="1"/>
  <c r="R195" i="7"/>
  <c r="F195" i="7"/>
  <c r="E195" i="7"/>
  <c r="S195" i="7" s="1"/>
  <c r="R194" i="7"/>
  <c r="F194" i="7"/>
  <c r="G194" i="7" s="1"/>
  <c r="E194" i="7"/>
  <c r="S194" i="7" s="1"/>
  <c r="R193" i="7"/>
  <c r="F193" i="7"/>
  <c r="E193" i="7"/>
  <c r="R192" i="7"/>
  <c r="F192" i="7"/>
  <c r="H192" i="7" s="1"/>
  <c r="E192" i="7"/>
  <c r="S192" i="7" s="1"/>
  <c r="R191" i="7"/>
  <c r="N191" i="7"/>
  <c r="M191" i="7"/>
  <c r="H191" i="7"/>
  <c r="F191" i="7"/>
  <c r="G191" i="7" s="1"/>
  <c r="Q191" i="7" s="1"/>
  <c r="E191" i="7"/>
  <c r="S191" i="7" s="1"/>
  <c r="R190" i="7"/>
  <c r="G190" i="7"/>
  <c r="F190" i="7"/>
  <c r="E190" i="7"/>
  <c r="R189" i="7"/>
  <c r="F189" i="7"/>
  <c r="M189" i="7" s="1"/>
  <c r="E189" i="7"/>
  <c r="S189" i="7" s="1"/>
  <c r="R188" i="7"/>
  <c r="F188" i="7"/>
  <c r="Q188" i="7" s="1"/>
  <c r="E188" i="7"/>
  <c r="R187" i="7"/>
  <c r="M187" i="7"/>
  <c r="G187" i="7"/>
  <c r="F187" i="7"/>
  <c r="Q187" i="7" s="1"/>
  <c r="E187" i="7"/>
  <c r="S187" i="7" s="1"/>
  <c r="R186" i="7"/>
  <c r="F186" i="7"/>
  <c r="Q186" i="7" s="1"/>
  <c r="E186" i="7"/>
  <c r="S186" i="7" s="1"/>
  <c r="R185" i="7"/>
  <c r="F185" i="7"/>
  <c r="G185" i="7" s="1"/>
  <c r="E185" i="7"/>
  <c r="S185" i="7" s="1"/>
  <c r="R184" i="7"/>
  <c r="F184" i="7"/>
  <c r="H184" i="7" s="1"/>
  <c r="E184" i="7"/>
  <c r="S184" i="7" s="1"/>
  <c r="R183" i="7"/>
  <c r="F183" i="7"/>
  <c r="G183" i="7" s="1"/>
  <c r="E183" i="7"/>
  <c r="R182" i="7"/>
  <c r="F182" i="7"/>
  <c r="G182" i="7" s="1"/>
  <c r="E182" i="7"/>
  <c r="R181" i="7"/>
  <c r="F181" i="7"/>
  <c r="N181" i="7" s="1"/>
  <c r="E181" i="7"/>
  <c r="R180" i="7"/>
  <c r="F180" i="7"/>
  <c r="M180" i="7" s="1"/>
  <c r="E180" i="7"/>
  <c r="S180" i="7" s="1"/>
  <c r="R179" i="7"/>
  <c r="F179" i="7"/>
  <c r="E179" i="7"/>
  <c r="S178" i="7"/>
  <c r="R178" i="7"/>
  <c r="F178" i="7"/>
  <c r="Q178" i="7" s="1"/>
  <c r="E178" i="7"/>
  <c r="R177" i="7"/>
  <c r="F177" i="7"/>
  <c r="E177" i="7"/>
  <c r="R176" i="7"/>
  <c r="F176" i="7"/>
  <c r="E176" i="7"/>
  <c r="R175" i="7"/>
  <c r="F175" i="7"/>
  <c r="G175" i="7" s="1"/>
  <c r="E175" i="7"/>
  <c r="S175" i="7" s="1"/>
  <c r="R174" i="7"/>
  <c r="F174" i="7"/>
  <c r="G174" i="7" s="1"/>
  <c r="E174" i="7"/>
  <c r="S174" i="7" s="1"/>
  <c r="R173" i="7"/>
  <c r="F173" i="7"/>
  <c r="M173" i="7" s="1"/>
  <c r="E173" i="7"/>
  <c r="R172" i="7"/>
  <c r="F172" i="7"/>
  <c r="E172" i="7"/>
  <c r="S172" i="7" s="1"/>
  <c r="R171" i="7"/>
  <c r="Q171" i="7"/>
  <c r="G171" i="7"/>
  <c r="F171" i="7"/>
  <c r="H171" i="7" s="1"/>
  <c r="E171" i="7"/>
  <c r="S171" i="7" s="1"/>
  <c r="R170" i="7"/>
  <c r="F170" i="7"/>
  <c r="E170" i="7"/>
  <c r="S170" i="7" s="1"/>
  <c r="S169" i="7"/>
  <c r="R169" i="7"/>
  <c r="M169" i="7"/>
  <c r="F169" i="7"/>
  <c r="H169" i="7" s="1"/>
  <c r="E169" i="7"/>
  <c r="R168" i="7"/>
  <c r="F168" i="7"/>
  <c r="G168" i="7" s="1"/>
  <c r="E168" i="7"/>
  <c r="S168" i="7" s="1"/>
  <c r="R167" i="7"/>
  <c r="F167" i="7"/>
  <c r="H167" i="7" s="1"/>
  <c r="E167" i="7"/>
  <c r="S167" i="7" s="1"/>
  <c r="R166" i="7"/>
  <c r="F166" i="7"/>
  <c r="G166" i="7" s="1"/>
  <c r="E166" i="7"/>
  <c r="R165" i="7"/>
  <c r="F165" i="7"/>
  <c r="H165" i="7" s="1"/>
  <c r="E165" i="7"/>
  <c r="S165" i="7" s="1"/>
  <c r="R164" i="7"/>
  <c r="F164" i="7"/>
  <c r="E164" i="7"/>
  <c r="S163" i="7"/>
  <c r="R163" i="7"/>
  <c r="F163" i="7"/>
  <c r="M163" i="7" s="1"/>
  <c r="E163" i="7"/>
  <c r="R162" i="7"/>
  <c r="F162" i="7"/>
  <c r="E162" i="7"/>
  <c r="R161" i="7"/>
  <c r="F161" i="7"/>
  <c r="H161" i="7" s="1"/>
  <c r="E161" i="7"/>
  <c r="R160" i="7"/>
  <c r="F160" i="7"/>
  <c r="E160" i="7"/>
  <c r="S160" i="7" s="1"/>
  <c r="R159" i="7"/>
  <c r="F159" i="7"/>
  <c r="G159" i="7" s="1"/>
  <c r="E159" i="7"/>
  <c r="S159" i="7" s="1"/>
  <c r="R158" i="7"/>
  <c r="F158" i="7"/>
  <c r="Q158" i="7" s="1"/>
  <c r="E158" i="7"/>
  <c r="S158" i="7" s="1"/>
  <c r="R157" i="7"/>
  <c r="F157" i="7"/>
  <c r="G157" i="7" s="1"/>
  <c r="E157" i="7"/>
  <c r="S157" i="7" s="1"/>
  <c r="R156" i="7"/>
  <c r="F156" i="7"/>
  <c r="E156" i="7"/>
  <c r="R155" i="7"/>
  <c r="F155" i="7"/>
  <c r="G155" i="7" s="1"/>
  <c r="E155" i="7"/>
  <c r="R154" i="7"/>
  <c r="F154" i="7"/>
  <c r="Q154" i="7" s="1"/>
  <c r="G54" i="9" s="1"/>
  <c r="E154" i="7"/>
  <c r="S154" i="7" s="1"/>
  <c r="R153" i="7"/>
  <c r="M153" i="7"/>
  <c r="F153" i="7"/>
  <c r="E153" i="7"/>
  <c r="S153" i="7" s="1"/>
  <c r="R152" i="7"/>
  <c r="M152" i="7"/>
  <c r="G152" i="7"/>
  <c r="Q152" i="7" s="1"/>
  <c r="F152" i="7"/>
  <c r="H152" i="7" s="1"/>
  <c r="E152" i="7"/>
  <c r="S152" i="7" s="1"/>
  <c r="R151" i="7"/>
  <c r="F151" i="7"/>
  <c r="E151" i="7"/>
  <c r="R150" i="7"/>
  <c r="F150" i="7"/>
  <c r="E150" i="7"/>
  <c r="R149" i="7"/>
  <c r="F149" i="7"/>
  <c r="M149" i="7" s="1"/>
  <c r="E149" i="7"/>
  <c r="S149" i="7" s="1"/>
  <c r="R148" i="7"/>
  <c r="G148" i="7"/>
  <c r="F148" i="7"/>
  <c r="E148" i="7"/>
  <c r="S148" i="7" s="1"/>
  <c r="R147" i="7"/>
  <c r="F147" i="7"/>
  <c r="E147" i="7"/>
  <c r="S147" i="7" s="1"/>
  <c r="S146" i="7"/>
  <c r="R146" i="7"/>
  <c r="Q146" i="7"/>
  <c r="G146" i="7"/>
  <c r="F146" i="7"/>
  <c r="H146" i="7" s="1"/>
  <c r="E146" i="7"/>
  <c r="S145" i="7"/>
  <c r="R145" i="7"/>
  <c r="G145" i="7"/>
  <c r="F145" i="7"/>
  <c r="H145" i="7" s="1"/>
  <c r="E145" i="7"/>
  <c r="R144" i="7"/>
  <c r="F144" i="7"/>
  <c r="M144" i="7" s="1"/>
  <c r="E144" i="7"/>
  <c r="R143" i="7"/>
  <c r="F143" i="7"/>
  <c r="E143" i="7"/>
  <c r="S142" i="7"/>
  <c r="R142" i="7"/>
  <c r="F142" i="7"/>
  <c r="E142" i="7"/>
  <c r="R141" i="7"/>
  <c r="F141" i="7"/>
  <c r="N141" i="7" s="1"/>
  <c r="E141" i="7"/>
  <c r="S141" i="7" s="1"/>
  <c r="R140" i="7"/>
  <c r="F140" i="7"/>
  <c r="E140" i="7"/>
  <c r="R139" i="7"/>
  <c r="H139" i="7"/>
  <c r="F139" i="7"/>
  <c r="G139" i="7" s="1"/>
  <c r="E139" i="7"/>
  <c r="R138" i="7"/>
  <c r="F138" i="7"/>
  <c r="Q138" i="7" s="1"/>
  <c r="E138" i="7"/>
  <c r="S138" i="7" s="1"/>
  <c r="R137" i="7"/>
  <c r="F137" i="7"/>
  <c r="H137" i="7" s="1"/>
  <c r="E137" i="7"/>
  <c r="S137" i="7" s="1"/>
  <c r="R136" i="7"/>
  <c r="H136" i="7"/>
  <c r="F136" i="7"/>
  <c r="G136" i="7" s="1"/>
  <c r="E136" i="7"/>
  <c r="S136" i="7" s="1"/>
  <c r="R135" i="7"/>
  <c r="F135" i="7"/>
  <c r="G135" i="7" s="1"/>
  <c r="E135" i="7"/>
  <c r="R134" i="7"/>
  <c r="F134" i="7"/>
  <c r="E134" i="7"/>
  <c r="S134" i="7" s="1"/>
  <c r="R133" i="7"/>
  <c r="F133" i="7"/>
  <c r="E133" i="7"/>
  <c r="S133" i="7" s="1"/>
  <c r="R132" i="7"/>
  <c r="F132" i="7"/>
  <c r="H132" i="7" s="1"/>
  <c r="E132" i="7"/>
  <c r="S132" i="7" s="1"/>
  <c r="R131" i="7"/>
  <c r="M131" i="7"/>
  <c r="H131" i="7"/>
  <c r="F131" i="7"/>
  <c r="N131" i="7" s="1"/>
  <c r="E131" i="7"/>
  <c r="R130" i="7"/>
  <c r="F130" i="7"/>
  <c r="E130" i="7"/>
  <c r="R129" i="7"/>
  <c r="F129" i="7"/>
  <c r="E129" i="7"/>
  <c r="S129" i="7" s="1"/>
  <c r="R128" i="7"/>
  <c r="F128" i="7"/>
  <c r="Q128" i="7" s="1"/>
  <c r="E128" i="7"/>
  <c r="S128" i="7" s="1"/>
  <c r="R127" i="7"/>
  <c r="F127" i="7"/>
  <c r="Q127" i="7" s="1"/>
  <c r="E127" i="7"/>
  <c r="S127" i="7" s="1"/>
  <c r="R126" i="7"/>
  <c r="F126" i="7"/>
  <c r="E126" i="7"/>
  <c r="S125" i="7"/>
  <c r="R125" i="7"/>
  <c r="F125" i="7"/>
  <c r="G125" i="7" s="1"/>
  <c r="E125" i="7"/>
  <c r="R124" i="7"/>
  <c r="F124" i="7"/>
  <c r="Q124" i="7" s="1"/>
  <c r="G51" i="9" s="1"/>
  <c r="E124" i="7"/>
  <c r="S124" i="7" s="1"/>
  <c r="R123" i="7"/>
  <c r="F123" i="7"/>
  <c r="E123" i="7"/>
  <c r="S123" i="7" s="1"/>
  <c r="R122" i="7"/>
  <c r="F122" i="7"/>
  <c r="M122" i="7" s="1"/>
  <c r="E122" i="7"/>
  <c r="S122" i="7" s="1"/>
  <c r="R121" i="7"/>
  <c r="N121" i="7"/>
  <c r="F121" i="7"/>
  <c r="G121" i="7" s="1"/>
  <c r="Q121" i="7" s="1"/>
  <c r="E121" i="7"/>
  <c r="S121" i="7" s="1"/>
  <c r="R120" i="7"/>
  <c r="F120" i="7"/>
  <c r="M120" i="7" s="1"/>
  <c r="E120" i="7"/>
  <c r="R119" i="7"/>
  <c r="F119" i="7"/>
  <c r="H119" i="7" s="1"/>
  <c r="E119" i="7"/>
  <c r="S119" i="7" s="1"/>
  <c r="R118" i="7"/>
  <c r="F118" i="7"/>
  <c r="H118" i="7" s="1"/>
  <c r="E118" i="7"/>
  <c r="S118" i="7" s="1"/>
  <c r="R117" i="7"/>
  <c r="F117" i="7"/>
  <c r="E117" i="7"/>
  <c r="R116" i="7"/>
  <c r="F116" i="7"/>
  <c r="Q116" i="7" s="1"/>
  <c r="E116" i="7"/>
  <c r="S116" i="7" s="1"/>
  <c r="R115" i="7"/>
  <c r="F115" i="7"/>
  <c r="M115" i="7" s="1"/>
  <c r="E115" i="7"/>
  <c r="R114" i="7"/>
  <c r="F114" i="7"/>
  <c r="Q114" i="7" s="1"/>
  <c r="G50" i="9" s="1"/>
  <c r="E114" i="7"/>
  <c r="S114" i="7" s="1"/>
  <c r="R113" i="7"/>
  <c r="G113" i="7"/>
  <c r="Q113" i="7" s="1"/>
  <c r="F113" i="7"/>
  <c r="E113" i="7"/>
  <c r="S113" i="7" s="1"/>
  <c r="R112" i="7"/>
  <c r="F112" i="7"/>
  <c r="H112" i="7" s="1"/>
  <c r="E112" i="7"/>
  <c r="R111" i="7"/>
  <c r="F111" i="7"/>
  <c r="N111" i="7" s="1"/>
  <c r="E111" i="7"/>
  <c r="R110" i="7"/>
  <c r="F110" i="7"/>
  <c r="E110" i="7"/>
  <c r="S110" i="7" s="1"/>
  <c r="R109" i="7"/>
  <c r="F109" i="7"/>
  <c r="M109" i="7" s="1"/>
  <c r="E109" i="7"/>
  <c r="S109" i="7" s="1"/>
  <c r="R108" i="7"/>
  <c r="F108" i="7"/>
  <c r="Q108" i="7" s="1"/>
  <c r="E108" i="7"/>
  <c r="S108" i="7" s="1"/>
  <c r="S107" i="7"/>
  <c r="R107" i="7"/>
  <c r="Q107" i="7"/>
  <c r="H107" i="7"/>
  <c r="G107" i="7"/>
  <c r="F107" i="7"/>
  <c r="E107" i="7"/>
  <c r="R106" i="7"/>
  <c r="F106" i="7"/>
  <c r="G106" i="7" s="1"/>
  <c r="E106" i="7"/>
  <c r="S106" i="7" s="1"/>
  <c r="S105" i="7"/>
  <c r="R105" i="7"/>
  <c r="F105" i="7"/>
  <c r="G105" i="7" s="1"/>
  <c r="E105" i="7"/>
  <c r="R104" i="7"/>
  <c r="F104" i="7"/>
  <c r="E104" i="7"/>
  <c r="S104" i="7" s="1"/>
  <c r="R103" i="7"/>
  <c r="F103" i="7"/>
  <c r="E103" i="7"/>
  <c r="S103" i="7" s="1"/>
  <c r="R102" i="7"/>
  <c r="F102" i="7"/>
  <c r="G102" i="7" s="1"/>
  <c r="E102" i="7"/>
  <c r="R101" i="7"/>
  <c r="F101" i="7"/>
  <c r="E101" i="7"/>
  <c r="S101" i="7" s="1"/>
  <c r="R100" i="7"/>
  <c r="F100" i="7"/>
  <c r="M100" i="7" s="1"/>
  <c r="E100" i="7"/>
  <c r="S100" i="7" s="1"/>
  <c r="R99" i="7"/>
  <c r="M99" i="7"/>
  <c r="H99" i="7"/>
  <c r="F99" i="7"/>
  <c r="E99" i="7"/>
  <c r="R98" i="7"/>
  <c r="F98" i="7"/>
  <c r="E98" i="7"/>
  <c r="S98" i="7" s="1"/>
  <c r="R97" i="7"/>
  <c r="F97" i="7"/>
  <c r="Q97" i="7" s="1"/>
  <c r="E97" i="7"/>
  <c r="R96" i="7"/>
  <c r="F96" i="7"/>
  <c r="E96" i="7"/>
  <c r="S95" i="7"/>
  <c r="R95" i="7"/>
  <c r="F95" i="7"/>
  <c r="G95" i="7" s="1"/>
  <c r="E95" i="7"/>
  <c r="R94" i="7"/>
  <c r="F94" i="7"/>
  <c r="Q94" i="7" s="1"/>
  <c r="G48" i="9" s="1"/>
  <c r="E94" i="7"/>
  <c r="S94" i="7" s="1"/>
  <c r="R93" i="7"/>
  <c r="F93" i="7"/>
  <c r="E93" i="7"/>
  <c r="S93" i="7" s="1"/>
  <c r="S92" i="7"/>
  <c r="R92" i="7"/>
  <c r="F92" i="7"/>
  <c r="H92" i="7" s="1"/>
  <c r="E92" i="7"/>
  <c r="R91" i="7"/>
  <c r="F91" i="7"/>
  <c r="E91" i="7"/>
  <c r="R90" i="7"/>
  <c r="F90" i="7"/>
  <c r="M90" i="7" s="1"/>
  <c r="E90" i="7"/>
  <c r="S90" i="7" s="1"/>
  <c r="R89" i="7"/>
  <c r="H89" i="7"/>
  <c r="F89" i="7"/>
  <c r="G89" i="7" s="1"/>
  <c r="Q89" i="7" s="1"/>
  <c r="E89" i="7"/>
  <c r="R88" i="7"/>
  <c r="F88" i="7"/>
  <c r="E88" i="7"/>
  <c r="S88" i="7" s="1"/>
  <c r="R87" i="7"/>
  <c r="F87" i="7"/>
  <c r="Q87" i="7" s="1"/>
  <c r="E87" i="7"/>
  <c r="S87" i="7" s="1"/>
  <c r="R86" i="7"/>
  <c r="F86" i="7"/>
  <c r="G86" i="7" s="1"/>
  <c r="E86" i="7"/>
  <c r="R85" i="7"/>
  <c r="F85" i="7"/>
  <c r="Q85" i="7" s="1"/>
  <c r="E85" i="7"/>
  <c r="R84" i="7"/>
  <c r="F84" i="7"/>
  <c r="E84" i="7"/>
  <c r="R83" i="7"/>
  <c r="F83" i="7"/>
  <c r="M83" i="7" s="1"/>
  <c r="E83" i="7"/>
  <c r="R82" i="7"/>
  <c r="F82" i="7"/>
  <c r="E82" i="7"/>
  <c r="S82" i="7" s="1"/>
  <c r="R81" i="7"/>
  <c r="F81" i="7"/>
  <c r="E81" i="7"/>
  <c r="S81" i="7" s="1"/>
  <c r="R80" i="7"/>
  <c r="F80" i="7"/>
  <c r="M80" i="7" s="1"/>
  <c r="E80" i="7"/>
  <c r="S80" i="7" s="1"/>
  <c r="R79" i="7"/>
  <c r="F79" i="7"/>
  <c r="G79" i="7" s="1"/>
  <c r="E79" i="7"/>
  <c r="R78" i="7"/>
  <c r="F78" i="7"/>
  <c r="Q78" i="7" s="1"/>
  <c r="E78" i="7"/>
  <c r="S78" i="7" s="1"/>
  <c r="R77" i="7"/>
  <c r="F77" i="7"/>
  <c r="G77" i="7" s="1"/>
  <c r="E77" i="7"/>
  <c r="R76" i="7"/>
  <c r="F76" i="7"/>
  <c r="H76" i="7" s="1"/>
  <c r="E76" i="7"/>
  <c r="S76" i="7" s="1"/>
  <c r="R75" i="7"/>
  <c r="F75" i="7"/>
  <c r="E75" i="7"/>
  <c r="R74" i="7"/>
  <c r="F74" i="7"/>
  <c r="G74" i="7" s="1"/>
  <c r="E74" i="7"/>
  <c r="S74" i="7" s="1"/>
  <c r="R73" i="7"/>
  <c r="N73" i="7"/>
  <c r="F73" i="7"/>
  <c r="M73" i="7" s="1"/>
  <c r="E73" i="7"/>
  <c r="S73" i="7" s="1"/>
  <c r="R72" i="7"/>
  <c r="F72" i="7"/>
  <c r="G72" i="7" s="1"/>
  <c r="E72" i="7"/>
  <c r="R71" i="7"/>
  <c r="F71" i="7"/>
  <c r="E71" i="7"/>
  <c r="S71" i="7" s="1"/>
  <c r="R70" i="7"/>
  <c r="F70" i="7"/>
  <c r="M70" i="7" s="1"/>
  <c r="E70" i="7"/>
  <c r="S70" i="7" s="1"/>
  <c r="S69" i="7"/>
  <c r="R69" i="7"/>
  <c r="F69" i="7"/>
  <c r="E69" i="7"/>
  <c r="R68" i="7"/>
  <c r="F68" i="7"/>
  <c r="E68" i="7"/>
  <c r="S68" i="7" s="1"/>
  <c r="R67" i="7"/>
  <c r="F67" i="7"/>
  <c r="E67" i="7"/>
  <c r="S67" i="7" s="1"/>
  <c r="R66" i="7"/>
  <c r="F66" i="7"/>
  <c r="E66" i="7"/>
  <c r="S66" i="7" s="1"/>
  <c r="R65" i="7"/>
  <c r="F65" i="7"/>
  <c r="G65" i="7" s="1"/>
  <c r="E65" i="7"/>
  <c r="R64" i="7"/>
  <c r="F64" i="7"/>
  <c r="E64" i="7"/>
  <c r="S64" i="7" s="1"/>
  <c r="S63" i="7"/>
  <c r="R63" i="7"/>
  <c r="Q63" i="7"/>
  <c r="N63" i="7"/>
  <c r="M63" i="7"/>
  <c r="F63" i="7"/>
  <c r="G63" i="7" s="1"/>
  <c r="E63" i="7"/>
  <c r="R62" i="7"/>
  <c r="N62" i="7"/>
  <c r="F62" i="7"/>
  <c r="M62" i="7" s="1"/>
  <c r="E62" i="7"/>
  <c r="S62" i="7" s="1"/>
  <c r="R61" i="7"/>
  <c r="F61" i="7"/>
  <c r="H61" i="7" s="1"/>
  <c r="E61" i="7"/>
  <c r="S61" i="7" s="1"/>
  <c r="R60" i="7"/>
  <c r="F60" i="7"/>
  <c r="H60" i="7" s="1"/>
  <c r="E60" i="7"/>
  <c r="R59" i="7"/>
  <c r="F59" i="7"/>
  <c r="H59" i="7" s="1"/>
  <c r="E59" i="7"/>
  <c r="S59" i="7" s="1"/>
  <c r="S58" i="7"/>
  <c r="R58" i="7"/>
  <c r="F58" i="7"/>
  <c r="G58" i="7" s="1"/>
  <c r="E58" i="7"/>
  <c r="R57" i="7"/>
  <c r="F57" i="7"/>
  <c r="H57" i="7" s="1"/>
  <c r="E57" i="7"/>
  <c r="R56" i="7"/>
  <c r="F56" i="7"/>
  <c r="E56" i="7"/>
  <c r="R55" i="7"/>
  <c r="F55" i="7"/>
  <c r="Q55" i="7" s="1"/>
  <c r="E55" i="7"/>
  <c r="S55" i="7" s="1"/>
  <c r="R54" i="7"/>
  <c r="F54" i="7"/>
  <c r="H54" i="7" s="1"/>
  <c r="E54" i="7"/>
  <c r="S54" i="7" s="1"/>
  <c r="S53" i="7"/>
  <c r="R53" i="7"/>
  <c r="F53" i="7"/>
  <c r="H53" i="7" s="1"/>
  <c r="E53" i="7"/>
  <c r="R52" i="7"/>
  <c r="F52" i="7"/>
  <c r="E52" i="7"/>
  <c r="S52" i="7" s="1"/>
  <c r="R51" i="7"/>
  <c r="F51" i="7"/>
  <c r="N51" i="7" s="1"/>
  <c r="E51" i="7"/>
  <c r="R50" i="7"/>
  <c r="F50" i="7"/>
  <c r="E50" i="7"/>
  <c r="R49" i="7"/>
  <c r="F49" i="7"/>
  <c r="G49" i="7" s="1"/>
  <c r="Q49" i="7" s="1"/>
  <c r="E49" i="7"/>
  <c r="R48" i="7"/>
  <c r="F48" i="7"/>
  <c r="E48" i="7"/>
  <c r="S48" i="7" s="1"/>
  <c r="R47" i="7"/>
  <c r="F47" i="7"/>
  <c r="H47" i="7" s="1"/>
  <c r="E47" i="7"/>
  <c r="R46" i="7"/>
  <c r="G46" i="7"/>
  <c r="F46" i="7"/>
  <c r="H46" i="7" s="1"/>
  <c r="E46" i="7"/>
  <c r="S46" i="7" s="1"/>
  <c r="R45" i="7"/>
  <c r="F45" i="7"/>
  <c r="G45" i="7" s="1"/>
  <c r="E45" i="7"/>
  <c r="R44" i="7"/>
  <c r="F44" i="7"/>
  <c r="E44" i="7"/>
  <c r="S44" i="7" s="1"/>
  <c r="R43" i="7"/>
  <c r="F43" i="7"/>
  <c r="H43" i="7" s="1"/>
  <c r="E43" i="7"/>
  <c r="R42" i="7"/>
  <c r="F42" i="7"/>
  <c r="N42" i="7" s="1"/>
  <c r="E42" i="7"/>
  <c r="S42" i="7" s="1"/>
  <c r="R41" i="7"/>
  <c r="F41" i="7"/>
  <c r="H41" i="7" s="1"/>
  <c r="E41" i="7"/>
  <c r="R40" i="7"/>
  <c r="F40" i="7"/>
  <c r="E40" i="7"/>
  <c r="R39" i="7"/>
  <c r="F39" i="7"/>
  <c r="G39" i="7" s="1"/>
  <c r="E39" i="7"/>
  <c r="S39" i="7" s="1"/>
  <c r="R38" i="7"/>
  <c r="F38" i="7"/>
  <c r="E38" i="7"/>
  <c r="S38" i="7" s="1"/>
  <c r="R37" i="7"/>
  <c r="F37" i="7"/>
  <c r="Q37" i="7" s="1"/>
  <c r="E37" i="7"/>
  <c r="R36" i="7"/>
  <c r="F36" i="7"/>
  <c r="E36" i="7"/>
  <c r="S36" i="7" s="1"/>
  <c r="R35" i="7"/>
  <c r="F35" i="7"/>
  <c r="G35" i="7" s="1"/>
  <c r="E35" i="7"/>
  <c r="S35" i="7" s="1"/>
  <c r="R34" i="7"/>
  <c r="F34" i="7"/>
  <c r="H34" i="7" s="1"/>
  <c r="E34" i="7"/>
  <c r="S34" i="7" s="1"/>
  <c r="R33" i="7"/>
  <c r="F33" i="7"/>
  <c r="E33" i="7"/>
  <c r="R32" i="7"/>
  <c r="F32" i="7"/>
  <c r="G32" i="7" s="1"/>
  <c r="Q32" i="7" s="1"/>
  <c r="E32" i="7"/>
  <c r="R31" i="7"/>
  <c r="F31" i="7"/>
  <c r="G31" i="7" s="1"/>
  <c r="E31" i="7"/>
  <c r="S31" i="7" s="1"/>
  <c r="R30" i="7"/>
  <c r="F30" i="7"/>
  <c r="M30" i="7" s="1"/>
  <c r="E30" i="7"/>
  <c r="S30" i="7" s="1"/>
  <c r="R29" i="7"/>
  <c r="F29" i="7"/>
  <c r="H29" i="7" s="1"/>
  <c r="E29" i="7"/>
  <c r="R28" i="7"/>
  <c r="F28" i="7"/>
  <c r="E28" i="7"/>
  <c r="S28" i="7" s="1"/>
  <c r="R27" i="7"/>
  <c r="F27" i="7"/>
  <c r="Q27" i="7" s="1"/>
  <c r="E27" i="7"/>
  <c r="S27" i="7" s="1"/>
  <c r="R26" i="7"/>
  <c r="F26" i="7"/>
  <c r="E26" i="7"/>
  <c r="S26" i="7" s="1"/>
  <c r="R25" i="7"/>
  <c r="F25" i="7"/>
  <c r="H25" i="7" s="1"/>
  <c r="E25" i="7"/>
  <c r="S25" i="7" s="1"/>
  <c r="R24" i="7"/>
  <c r="F24" i="7"/>
  <c r="M24" i="7" s="1"/>
  <c r="E24" i="7"/>
  <c r="S23" i="7"/>
  <c r="R23" i="7"/>
  <c r="F23" i="7"/>
  <c r="E23" i="7"/>
  <c r="R22" i="7"/>
  <c r="Q22" i="7"/>
  <c r="F22" i="7"/>
  <c r="G22" i="7" s="1"/>
  <c r="E22" i="7"/>
  <c r="S22" i="7" s="1"/>
  <c r="R21" i="7"/>
  <c r="F21" i="7"/>
  <c r="N21" i="7" s="1"/>
  <c r="E21" i="7"/>
  <c r="S21" i="7" s="1"/>
  <c r="S20" i="7"/>
  <c r="R20" i="7"/>
  <c r="F20" i="7"/>
  <c r="M20" i="7" s="1"/>
  <c r="E20" i="7"/>
  <c r="R19" i="7"/>
  <c r="F19" i="7"/>
  <c r="G19" i="7" s="1"/>
  <c r="E19" i="7"/>
  <c r="S18" i="7"/>
  <c r="R18" i="7"/>
  <c r="F18" i="7"/>
  <c r="H18" i="7" s="1"/>
  <c r="E18" i="7"/>
  <c r="R17" i="7"/>
  <c r="F17" i="7"/>
  <c r="E17" i="7"/>
  <c r="S17" i="7" s="1"/>
  <c r="R16" i="7"/>
  <c r="F16" i="7"/>
  <c r="H16" i="7" s="1"/>
  <c r="E16" i="7"/>
  <c r="S16" i="7" s="1"/>
  <c r="R15" i="7"/>
  <c r="G15" i="7"/>
  <c r="F15" i="7"/>
  <c r="Q15" i="7" s="1"/>
  <c r="E15" i="7"/>
  <c r="R14" i="7"/>
  <c r="F14" i="7"/>
  <c r="E14" i="7"/>
  <c r="S14" i="7" s="1"/>
  <c r="R13" i="7"/>
  <c r="G13" i="7"/>
  <c r="F13" i="7"/>
  <c r="E13" i="7"/>
  <c r="R12" i="7"/>
  <c r="F12" i="7"/>
  <c r="N12" i="7" s="1"/>
  <c r="E12" i="7"/>
  <c r="R11" i="7"/>
  <c r="F11" i="7"/>
  <c r="E11" i="7"/>
  <c r="S11" i="7" s="1"/>
  <c r="R10" i="7"/>
  <c r="F10" i="7"/>
  <c r="E10" i="7"/>
  <c r="R9" i="7"/>
  <c r="F9" i="7"/>
  <c r="H9" i="7" s="1"/>
  <c r="E9" i="7"/>
  <c r="S9" i="7" s="1"/>
  <c r="R8" i="7"/>
  <c r="F8" i="7"/>
  <c r="E8" i="7"/>
  <c r="S8" i="7" s="1"/>
  <c r="R7" i="7"/>
  <c r="G7" i="7"/>
  <c r="F7" i="7"/>
  <c r="Q7" i="7" s="1"/>
  <c r="E7" i="7"/>
  <c r="S7" i="7" s="1"/>
  <c r="R6" i="7"/>
  <c r="F6" i="7"/>
  <c r="Q6" i="7" s="1"/>
  <c r="E6" i="7"/>
  <c r="R5" i="7"/>
  <c r="F5" i="7"/>
  <c r="G5" i="7" s="1"/>
  <c r="E5" i="7"/>
  <c r="AG95" i="6"/>
  <c r="Q95" i="6"/>
  <c r="L95" i="6"/>
  <c r="K95" i="6"/>
  <c r="J95" i="6"/>
  <c r="I95" i="6"/>
  <c r="S95" i="6" s="1"/>
  <c r="H95" i="6"/>
  <c r="R95" i="6" s="1"/>
  <c r="G95" i="6"/>
  <c r="F95" i="6"/>
  <c r="P95" i="6" s="1"/>
  <c r="D95" i="6"/>
  <c r="C95" i="6"/>
  <c r="AG94" i="6"/>
  <c r="J94" i="6"/>
  <c r="T94" i="6" s="1"/>
  <c r="I94" i="6"/>
  <c r="H94" i="6"/>
  <c r="M94" i="6" s="1"/>
  <c r="G94" i="6"/>
  <c r="Q94" i="6" s="1"/>
  <c r="F94" i="6"/>
  <c r="K94" i="6" s="1"/>
  <c r="D94" i="6"/>
  <c r="C94" i="6"/>
  <c r="AG93" i="6"/>
  <c r="J93" i="6"/>
  <c r="I93" i="6"/>
  <c r="S93" i="6" s="1"/>
  <c r="H93" i="6"/>
  <c r="M93" i="6" s="1"/>
  <c r="G93" i="6"/>
  <c r="Q93" i="6" s="1"/>
  <c r="F93" i="6"/>
  <c r="D93" i="6"/>
  <c r="C93" i="6"/>
  <c r="C113" i="13" s="1"/>
  <c r="AG92" i="6"/>
  <c r="Q92" i="6"/>
  <c r="P92" i="6"/>
  <c r="L92" i="6"/>
  <c r="K92" i="6"/>
  <c r="J92" i="6"/>
  <c r="O92" i="6" s="1"/>
  <c r="I92" i="6"/>
  <c r="H92" i="6"/>
  <c r="G92" i="6"/>
  <c r="F92" i="6"/>
  <c r="D92" i="6"/>
  <c r="C92" i="6"/>
  <c r="C112" i="13" s="1"/>
  <c r="AG91" i="6"/>
  <c r="T91" i="6"/>
  <c r="J91" i="6"/>
  <c r="O91" i="6" s="1"/>
  <c r="I91" i="6"/>
  <c r="S91" i="6" s="1"/>
  <c r="H91" i="6"/>
  <c r="R91" i="6" s="1"/>
  <c r="G91" i="6"/>
  <c r="F91" i="6"/>
  <c r="K91" i="6" s="1"/>
  <c r="D91" i="6"/>
  <c r="C91" i="6"/>
  <c r="AG90" i="6"/>
  <c r="J90" i="6"/>
  <c r="I90" i="6"/>
  <c r="H90" i="6"/>
  <c r="G90" i="6"/>
  <c r="F90" i="6"/>
  <c r="D90" i="6"/>
  <c r="C90" i="6"/>
  <c r="C110" i="13" s="1"/>
  <c r="AG89" i="6"/>
  <c r="J89" i="6"/>
  <c r="O89" i="6" s="1"/>
  <c r="I89" i="6"/>
  <c r="S89" i="6" s="1"/>
  <c r="H89" i="6"/>
  <c r="R89" i="6" s="1"/>
  <c r="G89" i="6"/>
  <c r="F89" i="6"/>
  <c r="D89" i="6"/>
  <c r="C89" i="6"/>
  <c r="C109" i="13" s="1"/>
  <c r="AG88" i="6"/>
  <c r="P88" i="6"/>
  <c r="J88" i="6"/>
  <c r="I88" i="6"/>
  <c r="N88" i="6" s="1"/>
  <c r="H88" i="6"/>
  <c r="R88" i="6" s="1"/>
  <c r="G88" i="6"/>
  <c r="Q88" i="6" s="1"/>
  <c r="F88" i="6"/>
  <c r="K88" i="6" s="1"/>
  <c r="D88" i="6"/>
  <c r="C88" i="6"/>
  <c r="C108" i="13" s="1"/>
  <c r="AG87" i="6"/>
  <c r="J87" i="6"/>
  <c r="O87" i="6" s="1"/>
  <c r="I87" i="6"/>
  <c r="N87" i="6" s="1"/>
  <c r="H87" i="6"/>
  <c r="G87" i="6"/>
  <c r="F87" i="6"/>
  <c r="D87" i="6"/>
  <c r="C87" i="6"/>
  <c r="C107" i="13" s="1"/>
  <c r="AG86" i="6"/>
  <c r="R86" i="6"/>
  <c r="J86" i="6"/>
  <c r="I86" i="6"/>
  <c r="H86" i="6"/>
  <c r="M86" i="6" s="1"/>
  <c r="G86" i="6"/>
  <c r="L86" i="6" s="1"/>
  <c r="F86" i="6"/>
  <c r="P86" i="6" s="1"/>
  <c r="D86" i="6"/>
  <c r="C86" i="6"/>
  <c r="AG85" i="6"/>
  <c r="J85" i="6"/>
  <c r="I85" i="6"/>
  <c r="S85" i="6" s="1"/>
  <c r="H85" i="6"/>
  <c r="G85" i="6"/>
  <c r="F85" i="6"/>
  <c r="K85" i="6" s="1"/>
  <c r="D85" i="6"/>
  <c r="C85" i="6"/>
  <c r="C105" i="13" s="1"/>
  <c r="AG84" i="6"/>
  <c r="J84" i="6"/>
  <c r="T84" i="6" s="1"/>
  <c r="I84" i="6"/>
  <c r="N84" i="6" s="1"/>
  <c r="H84" i="6"/>
  <c r="R84" i="6" s="1"/>
  <c r="G84" i="6"/>
  <c r="L84" i="6" s="1"/>
  <c r="F84" i="6"/>
  <c r="K84" i="6" s="1"/>
  <c r="D84" i="6"/>
  <c r="C84" i="6"/>
  <c r="AG83" i="6"/>
  <c r="K83" i="6"/>
  <c r="J83" i="6"/>
  <c r="O83" i="6" s="1"/>
  <c r="I83" i="6"/>
  <c r="S83" i="6" s="1"/>
  <c r="H83" i="6"/>
  <c r="M83" i="6" s="1"/>
  <c r="G83" i="6"/>
  <c r="F83" i="6"/>
  <c r="P83" i="6" s="1"/>
  <c r="D83" i="6"/>
  <c r="C83" i="6"/>
  <c r="C103" i="13" s="1"/>
  <c r="AG82" i="6"/>
  <c r="R82" i="6"/>
  <c r="J82" i="6"/>
  <c r="I82" i="6"/>
  <c r="S82" i="6" s="1"/>
  <c r="H82" i="6"/>
  <c r="M82" i="6" s="1"/>
  <c r="G82" i="6"/>
  <c r="F82" i="6"/>
  <c r="D82" i="6"/>
  <c r="C82" i="6"/>
  <c r="C102" i="13" s="1"/>
  <c r="AG81" i="6"/>
  <c r="J81" i="6"/>
  <c r="T81" i="6" s="1"/>
  <c r="I81" i="6"/>
  <c r="N81" i="6" s="1"/>
  <c r="H81" i="6"/>
  <c r="M81" i="6" s="1"/>
  <c r="G81" i="6"/>
  <c r="L81" i="6" s="1"/>
  <c r="F81" i="6"/>
  <c r="K81" i="6" s="1"/>
  <c r="D81" i="6"/>
  <c r="C81" i="6"/>
  <c r="C101" i="13" s="1"/>
  <c r="AG80" i="6"/>
  <c r="O80" i="6"/>
  <c r="J80" i="6"/>
  <c r="T80" i="6" s="1"/>
  <c r="I80" i="6"/>
  <c r="H80" i="6"/>
  <c r="R80" i="6" s="1"/>
  <c r="G80" i="6"/>
  <c r="Q80" i="6" s="1"/>
  <c r="F80" i="6"/>
  <c r="K80" i="6" s="1"/>
  <c r="D80" i="6"/>
  <c r="C80" i="6"/>
  <c r="AG79" i="6"/>
  <c r="S79" i="6"/>
  <c r="N79" i="6"/>
  <c r="M79" i="6"/>
  <c r="J79" i="6"/>
  <c r="T79" i="6" s="1"/>
  <c r="I79" i="6"/>
  <c r="H79" i="6"/>
  <c r="R79" i="6" s="1"/>
  <c r="G79" i="6"/>
  <c r="Q79" i="6" s="1"/>
  <c r="F79" i="6"/>
  <c r="P79" i="6" s="1"/>
  <c r="D79" i="6"/>
  <c r="C79" i="6"/>
  <c r="AG78" i="6"/>
  <c r="J78" i="6"/>
  <c r="I78" i="6"/>
  <c r="H78" i="6"/>
  <c r="R78" i="6" s="1"/>
  <c r="G78" i="6"/>
  <c r="L78" i="6" s="1"/>
  <c r="F78" i="6"/>
  <c r="D78" i="6"/>
  <c r="C78" i="6"/>
  <c r="AG77" i="6"/>
  <c r="O77" i="6"/>
  <c r="N77" i="6"/>
  <c r="J77" i="6"/>
  <c r="T77" i="6" s="1"/>
  <c r="I77" i="6"/>
  <c r="S77" i="6" s="1"/>
  <c r="H77" i="6"/>
  <c r="M77" i="6" s="1"/>
  <c r="G77" i="6"/>
  <c r="Q77" i="6" s="1"/>
  <c r="F77" i="6"/>
  <c r="P77" i="6" s="1"/>
  <c r="D77" i="6"/>
  <c r="C77" i="6"/>
  <c r="C97" i="13" s="1"/>
  <c r="AG76" i="6"/>
  <c r="J76" i="6"/>
  <c r="O76" i="6" s="1"/>
  <c r="I76" i="6"/>
  <c r="S76" i="6" s="1"/>
  <c r="H76" i="6"/>
  <c r="R76" i="6" s="1"/>
  <c r="G76" i="6"/>
  <c r="L76" i="6" s="1"/>
  <c r="F76" i="6"/>
  <c r="K76" i="6" s="1"/>
  <c r="D76" i="6"/>
  <c r="C76" i="6"/>
  <c r="C96" i="13" s="1"/>
  <c r="AG75" i="6"/>
  <c r="J75" i="6"/>
  <c r="I75" i="6"/>
  <c r="H75" i="6"/>
  <c r="G75" i="6"/>
  <c r="F75" i="6"/>
  <c r="D75" i="6"/>
  <c r="C75" i="6"/>
  <c r="AG74" i="6"/>
  <c r="S74" i="6"/>
  <c r="O74" i="6"/>
  <c r="N74" i="6"/>
  <c r="J74" i="6"/>
  <c r="T74" i="6" s="1"/>
  <c r="I74" i="6"/>
  <c r="H74" i="6"/>
  <c r="R74" i="6" s="1"/>
  <c r="G74" i="6"/>
  <c r="F74" i="6"/>
  <c r="P74" i="6" s="1"/>
  <c r="D74" i="6"/>
  <c r="C74" i="6"/>
  <c r="C94" i="13" s="1"/>
  <c r="AG73" i="6"/>
  <c r="T73" i="6"/>
  <c r="M73" i="6"/>
  <c r="K73" i="6"/>
  <c r="J73" i="6"/>
  <c r="O73" i="6" s="1"/>
  <c r="I73" i="6"/>
  <c r="S73" i="6" s="1"/>
  <c r="H73" i="6"/>
  <c r="R73" i="6" s="1"/>
  <c r="G73" i="6"/>
  <c r="L73" i="6" s="1"/>
  <c r="F73" i="6"/>
  <c r="P73" i="6" s="1"/>
  <c r="D73" i="6"/>
  <c r="C73" i="6"/>
  <c r="C93" i="13" s="1"/>
  <c r="AG72" i="6"/>
  <c r="T72" i="6"/>
  <c r="J72" i="6"/>
  <c r="O72" i="6" s="1"/>
  <c r="I72" i="6"/>
  <c r="H72" i="6"/>
  <c r="G72" i="6"/>
  <c r="F72" i="6"/>
  <c r="D72" i="6"/>
  <c r="C72" i="6"/>
  <c r="C92" i="13" s="1"/>
  <c r="AG71" i="6"/>
  <c r="J71" i="6"/>
  <c r="T71" i="6" s="1"/>
  <c r="I71" i="6"/>
  <c r="H71" i="6"/>
  <c r="M71" i="6" s="1"/>
  <c r="G71" i="6"/>
  <c r="Q71" i="6" s="1"/>
  <c r="F71" i="6"/>
  <c r="P71" i="6" s="1"/>
  <c r="D71" i="6"/>
  <c r="C71" i="6"/>
  <c r="C91" i="13" s="1"/>
  <c r="AG70" i="6"/>
  <c r="K70" i="6"/>
  <c r="J70" i="6"/>
  <c r="I70" i="6"/>
  <c r="H70" i="6"/>
  <c r="G70" i="6"/>
  <c r="F70" i="6"/>
  <c r="P70" i="6" s="1"/>
  <c r="E70" i="6"/>
  <c r="D70" i="6"/>
  <c r="C70" i="6"/>
  <c r="C90" i="13" s="1"/>
  <c r="AG69" i="6"/>
  <c r="S69" i="6"/>
  <c r="P69" i="6"/>
  <c r="J69" i="6"/>
  <c r="O69" i="6" s="1"/>
  <c r="I69" i="6"/>
  <c r="N69" i="6" s="1"/>
  <c r="H69" i="6"/>
  <c r="M69" i="6" s="1"/>
  <c r="G69" i="6"/>
  <c r="L69" i="6" s="1"/>
  <c r="F69" i="6"/>
  <c r="K69" i="6" s="1"/>
  <c r="D69" i="6"/>
  <c r="C69" i="6"/>
  <c r="C89" i="13" s="1"/>
  <c r="AG68" i="6"/>
  <c r="P68" i="6"/>
  <c r="J68" i="6"/>
  <c r="T68" i="6" s="1"/>
  <c r="I68" i="6"/>
  <c r="H68" i="6"/>
  <c r="G68" i="6"/>
  <c r="F68" i="6"/>
  <c r="K68" i="6" s="1"/>
  <c r="D68" i="6"/>
  <c r="C68" i="6"/>
  <c r="C88" i="13" s="1"/>
  <c r="AG67" i="6"/>
  <c r="J67" i="6"/>
  <c r="T67" i="6" s="1"/>
  <c r="I67" i="6"/>
  <c r="N67" i="6" s="1"/>
  <c r="H67" i="6"/>
  <c r="G67" i="6"/>
  <c r="Q67" i="6" s="1"/>
  <c r="F67" i="6"/>
  <c r="D67" i="6"/>
  <c r="C67" i="6"/>
  <c r="C87" i="13" s="1"/>
  <c r="AG66" i="6"/>
  <c r="J66" i="6"/>
  <c r="T66" i="6" s="1"/>
  <c r="I66" i="6"/>
  <c r="S66" i="6" s="1"/>
  <c r="H66" i="6"/>
  <c r="M66" i="6" s="1"/>
  <c r="G66" i="6"/>
  <c r="L66" i="6" s="1"/>
  <c r="F66" i="6"/>
  <c r="K66" i="6" s="1"/>
  <c r="D66" i="6"/>
  <c r="C66" i="6"/>
  <c r="AG65" i="6"/>
  <c r="M65" i="6"/>
  <c r="L65" i="6"/>
  <c r="J65" i="6"/>
  <c r="I65" i="6"/>
  <c r="H65" i="6"/>
  <c r="R65" i="6" s="1"/>
  <c r="G65" i="6"/>
  <c r="Q65" i="6" s="1"/>
  <c r="F65" i="6"/>
  <c r="K65" i="6" s="1"/>
  <c r="D65" i="6"/>
  <c r="C65" i="6"/>
  <c r="AG64" i="6"/>
  <c r="Q64" i="6"/>
  <c r="L64" i="6"/>
  <c r="J64" i="6"/>
  <c r="O64" i="6" s="1"/>
  <c r="I64" i="6"/>
  <c r="H64" i="6"/>
  <c r="G64" i="6"/>
  <c r="F64" i="6"/>
  <c r="P64" i="6" s="1"/>
  <c r="E64" i="6"/>
  <c r="D64" i="6"/>
  <c r="C64" i="6"/>
  <c r="C84" i="13" s="1"/>
  <c r="AG63" i="6"/>
  <c r="J63" i="6"/>
  <c r="O63" i="6" s="1"/>
  <c r="I63" i="6"/>
  <c r="N63" i="6" s="1"/>
  <c r="H63" i="6"/>
  <c r="G63" i="6"/>
  <c r="F63" i="6"/>
  <c r="K63" i="6" s="1"/>
  <c r="D63" i="6"/>
  <c r="C63" i="6"/>
  <c r="AG62" i="6"/>
  <c r="S62" i="6"/>
  <c r="O62" i="6"/>
  <c r="J62" i="6"/>
  <c r="T62" i="6" s="1"/>
  <c r="I62" i="6"/>
  <c r="N62" i="6" s="1"/>
  <c r="H62" i="6"/>
  <c r="M62" i="6" s="1"/>
  <c r="G62" i="6"/>
  <c r="L62" i="6" s="1"/>
  <c r="F62" i="6"/>
  <c r="K62" i="6" s="1"/>
  <c r="D62" i="6"/>
  <c r="C62" i="6"/>
  <c r="AG61" i="6"/>
  <c r="Q61" i="6"/>
  <c r="J61" i="6"/>
  <c r="I61" i="6"/>
  <c r="S61" i="6" s="1"/>
  <c r="H61" i="6"/>
  <c r="R61" i="6" s="1"/>
  <c r="G61" i="6"/>
  <c r="L61" i="6" s="1"/>
  <c r="F61" i="6"/>
  <c r="K61" i="6" s="1"/>
  <c r="D61" i="6"/>
  <c r="C61" i="6"/>
  <c r="AG60" i="6"/>
  <c r="J60" i="6"/>
  <c r="I60" i="6"/>
  <c r="H60" i="6"/>
  <c r="G60" i="6"/>
  <c r="Q60" i="6" s="1"/>
  <c r="F60" i="6"/>
  <c r="K60" i="6" s="1"/>
  <c r="E60" i="6"/>
  <c r="D60" i="6"/>
  <c r="C60" i="6"/>
  <c r="C80" i="13" s="1"/>
  <c r="AG59" i="6"/>
  <c r="S59" i="6"/>
  <c r="O59" i="6"/>
  <c r="N59" i="6"/>
  <c r="J59" i="6"/>
  <c r="T59" i="6" s="1"/>
  <c r="I59" i="6"/>
  <c r="H59" i="6"/>
  <c r="G59" i="6"/>
  <c r="Q59" i="6" s="1"/>
  <c r="F59" i="6"/>
  <c r="K59" i="6" s="1"/>
  <c r="D59" i="6"/>
  <c r="C59" i="6"/>
  <c r="AG58" i="6"/>
  <c r="J58" i="6"/>
  <c r="T58" i="6" s="1"/>
  <c r="I58" i="6"/>
  <c r="S58" i="6" s="1"/>
  <c r="H58" i="6"/>
  <c r="M58" i="6" s="1"/>
  <c r="G58" i="6"/>
  <c r="Q58" i="6" s="1"/>
  <c r="F58" i="6"/>
  <c r="D58" i="6"/>
  <c r="C58" i="6"/>
  <c r="AG57" i="6"/>
  <c r="J57" i="6"/>
  <c r="I57" i="6"/>
  <c r="H57" i="6"/>
  <c r="G57" i="6"/>
  <c r="F57" i="6"/>
  <c r="E57" i="6"/>
  <c r="D57" i="6"/>
  <c r="C57" i="6"/>
  <c r="C77" i="13" s="1"/>
  <c r="AG56" i="6"/>
  <c r="S56" i="6"/>
  <c r="P56" i="6"/>
  <c r="J56" i="6"/>
  <c r="O56" i="6" s="1"/>
  <c r="I56" i="6"/>
  <c r="N56" i="6" s="1"/>
  <c r="H56" i="6"/>
  <c r="R56" i="6" s="1"/>
  <c r="G56" i="6"/>
  <c r="L56" i="6" s="1"/>
  <c r="F56" i="6"/>
  <c r="K56" i="6" s="1"/>
  <c r="D56" i="6"/>
  <c r="C56" i="6"/>
  <c r="AG55" i="6"/>
  <c r="L55" i="6"/>
  <c r="J55" i="6"/>
  <c r="T55" i="6" s="1"/>
  <c r="I55" i="6"/>
  <c r="H55" i="6"/>
  <c r="G55" i="6"/>
  <c r="Q55" i="6" s="1"/>
  <c r="F55" i="6"/>
  <c r="P55" i="6" s="1"/>
  <c r="D55" i="6"/>
  <c r="C55" i="6"/>
  <c r="C75" i="13" s="1"/>
  <c r="AG54" i="6"/>
  <c r="J54" i="6"/>
  <c r="O54" i="6" s="1"/>
  <c r="I54" i="6"/>
  <c r="N54" i="6" s="1"/>
  <c r="H54" i="6"/>
  <c r="M54" i="6" s="1"/>
  <c r="G54" i="6"/>
  <c r="F54" i="6"/>
  <c r="D54" i="6"/>
  <c r="C54" i="6"/>
  <c r="AG53" i="6"/>
  <c r="P53" i="6"/>
  <c r="J53" i="6"/>
  <c r="I53" i="6"/>
  <c r="S53" i="6" s="1"/>
  <c r="H53" i="6"/>
  <c r="G53" i="6"/>
  <c r="F53" i="6"/>
  <c r="K53" i="6" s="1"/>
  <c r="D53" i="6"/>
  <c r="C53" i="6"/>
  <c r="AG52" i="6"/>
  <c r="J52" i="6"/>
  <c r="T52" i="6" s="1"/>
  <c r="I52" i="6"/>
  <c r="H52" i="6"/>
  <c r="R52" i="6" s="1"/>
  <c r="G52" i="6"/>
  <c r="F52" i="6"/>
  <c r="D52" i="6"/>
  <c r="C52" i="6"/>
  <c r="C72" i="13" s="1"/>
  <c r="AG51" i="6"/>
  <c r="J51" i="6"/>
  <c r="O51" i="6" s="1"/>
  <c r="I51" i="6"/>
  <c r="S51" i="6" s="1"/>
  <c r="H51" i="6"/>
  <c r="M51" i="6" s="1"/>
  <c r="G51" i="6"/>
  <c r="F51" i="6"/>
  <c r="K51" i="6" s="1"/>
  <c r="D51" i="6"/>
  <c r="C51" i="6"/>
  <c r="C71" i="13" s="1"/>
  <c r="AG50" i="6"/>
  <c r="T50" i="6"/>
  <c r="K50" i="6"/>
  <c r="J50" i="6"/>
  <c r="O50" i="6" s="1"/>
  <c r="I50" i="6"/>
  <c r="N50" i="6" s="1"/>
  <c r="H50" i="6"/>
  <c r="M50" i="6" s="1"/>
  <c r="G50" i="6"/>
  <c r="L50" i="6" s="1"/>
  <c r="F50" i="6"/>
  <c r="P50" i="6" s="1"/>
  <c r="D50" i="6"/>
  <c r="C50" i="6"/>
  <c r="AG49" i="6"/>
  <c r="R49" i="6"/>
  <c r="J49" i="6"/>
  <c r="I49" i="6"/>
  <c r="S49" i="6" s="1"/>
  <c r="H49" i="6"/>
  <c r="M49" i="6" s="1"/>
  <c r="G49" i="6"/>
  <c r="Q49" i="6" s="1"/>
  <c r="F49" i="6"/>
  <c r="D49" i="6"/>
  <c r="C49" i="6"/>
  <c r="C69" i="13" s="1"/>
  <c r="AG48" i="6"/>
  <c r="T48" i="6"/>
  <c r="P48" i="6"/>
  <c r="J48" i="6"/>
  <c r="O48" i="6" s="1"/>
  <c r="I48" i="6"/>
  <c r="N48" i="6" s="1"/>
  <c r="H48" i="6"/>
  <c r="M48" i="6" s="1"/>
  <c r="G48" i="6"/>
  <c r="Q48" i="6" s="1"/>
  <c r="F48" i="6"/>
  <c r="K48" i="6" s="1"/>
  <c r="D48" i="6"/>
  <c r="C48" i="6"/>
  <c r="AG47" i="6"/>
  <c r="N47" i="6"/>
  <c r="M47" i="6"/>
  <c r="L47" i="6"/>
  <c r="J47" i="6"/>
  <c r="I47" i="6"/>
  <c r="S47" i="6" s="1"/>
  <c r="H47" i="6"/>
  <c r="R47" i="6" s="1"/>
  <c r="G47" i="6"/>
  <c r="Q47" i="6" s="1"/>
  <c r="F47" i="6"/>
  <c r="K47" i="6" s="1"/>
  <c r="D47" i="6"/>
  <c r="C47" i="6"/>
  <c r="AG46" i="6"/>
  <c r="J46" i="6"/>
  <c r="I46" i="6"/>
  <c r="S46" i="6" s="1"/>
  <c r="H46" i="6"/>
  <c r="R46" i="6" s="1"/>
  <c r="G46" i="6"/>
  <c r="L46" i="6" s="1"/>
  <c r="F46" i="6"/>
  <c r="K46" i="6" s="1"/>
  <c r="D46" i="6"/>
  <c r="C46" i="6"/>
  <c r="AG45" i="6"/>
  <c r="J45" i="6"/>
  <c r="T45" i="6" s="1"/>
  <c r="I45" i="6"/>
  <c r="H45" i="6"/>
  <c r="G45" i="6"/>
  <c r="Q45" i="6" s="1"/>
  <c r="F45" i="6"/>
  <c r="D45" i="6"/>
  <c r="C45" i="6"/>
  <c r="C65" i="13" s="1"/>
  <c r="AG44" i="6"/>
  <c r="T44" i="6"/>
  <c r="N44" i="6"/>
  <c r="K44" i="6"/>
  <c r="J44" i="6"/>
  <c r="O44" i="6" s="1"/>
  <c r="I44" i="6"/>
  <c r="S44" i="6" s="1"/>
  <c r="H44" i="6"/>
  <c r="R44" i="6" s="1"/>
  <c r="G44" i="6"/>
  <c r="F44" i="6"/>
  <c r="P44" i="6" s="1"/>
  <c r="D44" i="6"/>
  <c r="C44" i="6"/>
  <c r="C64" i="13" s="1"/>
  <c r="AG43" i="6"/>
  <c r="J43" i="6"/>
  <c r="I43" i="6"/>
  <c r="H43" i="6"/>
  <c r="G43" i="6"/>
  <c r="F43" i="6"/>
  <c r="K43" i="6" s="1"/>
  <c r="D43" i="6"/>
  <c r="C43" i="6"/>
  <c r="AG42" i="6"/>
  <c r="J42" i="6"/>
  <c r="I42" i="6"/>
  <c r="S42" i="6" s="1"/>
  <c r="H42" i="6"/>
  <c r="R42" i="6" s="1"/>
  <c r="G42" i="6"/>
  <c r="Q42" i="6" s="1"/>
  <c r="F42" i="6"/>
  <c r="P42" i="6" s="1"/>
  <c r="D42" i="6"/>
  <c r="C42" i="6"/>
  <c r="C62" i="13" s="1"/>
  <c r="AG41" i="6"/>
  <c r="J41" i="6"/>
  <c r="O41" i="6" s="1"/>
  <c r="I41" i="6"/>
  <c r="S41" i="6" s="1"/>
  <c r="H41" i="6"/>
  <c r="G41" i="6"/>
  <c r="F41" i="6"/>
  <c r="D41" i="6"/>
  <c r="C41" i="6"/>
  <c r="C61" i="13" s="1"/>
  <c r="AG40" i="6"/>
  <c r="J40" i="6"/>
  <c r="O40" i="6" s="1"/>
  <c r="I40" i="6"/>
  <c r="H40" i="6"/>
  <c r="R40" i="6" s="1"/>
  <c r="G40" i="6"/>
  <c r="Q40" i="6" s="1"/>
  <c r="F40" i="6"/>
  <c r="P40" i="6" s="1"/>
  <c r="D40" i="6"/>
  <c r="C40" i="6"/>
  <c r="C60" i="13" s="1"/>
  <c r="AG39" i="6"/>
  <c r="J39" i="6"/>
  <c r="O39" i="6" s="1"/>
  <c r="I39" i="6"/>
  <c r="N39" i="6" s="1"/>
  <c r="H39" i="6"/>
  <c r="G39" i="6"/>
  <c r="F39" i="6"/>
  <c r="D39" i="6"/>
  <c r="C39" i="6"/>
  <c r="C59" i="13" s="1"/>
  <c r="AG38" i="6"/>
  <c r="R38" i="6"/>
  <c r="Q38" i="6"/>
  <c r="J38" i="6"/>
  <c r="T38" i="6" s="1"/>
  <c r="I38" i="6"/>
  <c r="S38" i="6" s="1"/>
  <c r="H38" i="6"/>
  <c r="M38" i="6" s="1"/>
  <c r="G38" i="6"/>
  <c r="L38" i="6" s="1"/>
  <c r="F38" i="6"/>
  <c r="P38" i="6" s="1"/>
  <c r="D38" i="6"/>
  <c r="C38" i="6"/>
  <c r="C58" i="13" s="1"/>
  <c r="AG37" i="6"/>
  <c r="J37" i="6"/>
  <c r="I37" i="6"/>
  <c r="S37" i="6" s="1"/>
  <c r="H37" i="6"/>
  <c r="R37" i="6" s="1"/>
  <c r="G37" i="6"/>
  <c r="L37" i="6" s="1"/>
  <c r="F37" i="6"/>
  <c r="K37" i="6" s="1"/>
  <c r="D37" i="6"/>
  <c r="C37" i="6"/>
  <c r="C57" i="13" s="1"/>
  <c r="AG36" i="6"/>
  <c r="J36" i="6"/>
  <c r="T36" i="6" s="1"/>
  <c r="I36" i="6"/>
  <c r="N36" i="6" s="1"/>
  <c r="H36" i="6"/>
  <c r="R36" i="6" s="1"/>
  <c r="G36" i="6"/>
  <c r="L36" i="6" s="1"/>
  <c r="F36" i="6"/>
  <c r="K36" i="6" s="1"/>
  <c r="D36" i="6"/>
  <c r="C36" i="6"/>
  <c r="C56" i="13" s="1"/>
  <c r="AG35" i="6"/>
  <c r="T35" i="6"/>
  <c r="S35" i="6"/>
  <c r="R35" i="6"/>
  <c r="J35" i="6"/>
  <c r="O35" i="6" s="1"/>
  <c r="I35" i="6"/>
  <c r="N35" i="6" s="1"/>
  <c r="H35" i="6"/>
  <c r="M35" i="6" s="1"/>
  <c r="G35" i="6"/>
  <c r="L35" i="6" s="1"/>
  <c r="F35" i="6"/>
  <c r="K35" i="6" s="1"/>
  <c r="D35" i="6"/>
  <c r="C35" i="6"/>
  <c r="C55" i="13" s="1"/>
  <c r="AG34" i="6"/>
  <c r="S34" i="6"/>
  <c r="O34" i="6"/>
  <c r="N34" i="6"/>
  <c r="J34" i="6"/>
  <c r="T34" i="6" s="1"/>
  <c r="I34" i="6"/>
  <c r="H34" i="6"/>
  <c r="M34" i="6" s="1"/>
  <c r="G34" i="6"/>
  <c r="L34" i="6" s="1"/>
  <c r="F34" i="6"/>
  <c r="P34" i="6" s="1"/>
  <c r="D34" i="6"/>
  <c r="C34" i="6"/>
  <c r="C54" i="13" s="1"/>
  <c r="AG33" i="6"/>
  <c r="T33" i="6"/>
  <c r="Q33" i="6"/>
  <c r="M33" i="6"/>
  <c r="L33" i="6"/>
  <c r="J33" i="6"/>
  <c r="O33" i="6" s="1"/>
  <c r="I33" i="6"/>
  <c r="S33" i="6" s="1"/>
  <c r="H33" i="6"/>
  <c r="R33" i="6" s="1"/>
  <c r="G33" i="6"/>
  <c r="F33" i="6"/>
  <c r="D33" i="6"/>
  <c r="C33" i="6"/>
  <c r="AG32" i="6"/>
  <c r="S32" i="6"/>
  <c r="R32" i="6"/>
  <c r="M32" i="6"/>
  <c r="J32" i="6"/>
  <c r="T32" i="6" s="1"/>
  <c r="I32" i="6"/>
  <c r="N32" i="6" s="1"/>
  <c r="H32" i="6"/>
  <c r="G32" i="6"/>
  <c r="L32" i="6" s="1"/>
  <c r="F32" i="6"/>
  <c r="K32" i="6" s="1"/>
  <c r="D32" i="6"/>
  <c r="C32" i="6"/>
  <c r="AG31" i="6"/>
  <c r="S31" i="6"/>
  <c r="Q31" i="6"/>
  <c r="P31" i="6"/>
  <c r="J31" i="6"/>
  <c r="I31" i="6"/>
  <c r="N31" i="6" s="1"/>
  <c r="H31" i="6"/>
  <c r="R31" i="6" s="1"/>
  <c r="G31" i="6"/>
  <c r="L31" i="6" s="1"/>
  <c r="F31" i="6"/>
  <c r="K31" i="6" s="1"/>
  <c r="D31" i="6"/>
  <c r="C31" i="6"/>
  <c r="AG30" i="6"/>
  <c r="R30" i="6"/>
  <c r="J30" i="6"/>
  <c r="I30" i="6"/>
  <c r="S30" i="6" s="1"/>
  <c r="H30" i="6"/>
  <c r="M30" i="6" s="1"/>
  <c r="G30" i="6"/>
  <c r="F30" i="6"/>
  <c r="D30" i="6"/>
  <c r="C30" i="6"/>
  <c r="AG29" i="6"/>
  <c r="J29" i="6"/>
  <c r="T29" i="6" s="1"/>
  <c r="I29" i="6"/>
  <c r="S29" i="6" s="1"/>
  <c r="H29" i="6"/>
  <c r="R29" i="6" s="1"/>
  <c r="G29" i="6"/>
  <c r="Q29" i="6" s="1"/>
  <c r="F29" i="6"/>
  <c r="K29" i="6" s="1"/>
  <c r="D29" i="6"/>
  <c r="C29" i="6"/>
  <c r="C49" i="13" s="1"/>
  <c r="AG28" i="6"/>
  <c r="J28" i="6"/>
  <c r="I28" i="6"/>
  <c r="H28" i="6"/>
  <c r="R28" i="6" s="1"/>
  <c r="G28" i="6"/>
  <c r="Q28" i="6" s="1"/>
  <c r="F28" i="6"/>
  <c r="K28" i="6" s="1"/>
  <c r="D28" i="6"/>
  <c r="C28" i="6"/>
  <c r="C48" i="13" s="1"/>
  <c r="AG27" i="6"/>
  <c r="J27" i="6"/>
  <c r="T27" i="6" s="1"/>
  <c r="I27" i="6"/>
  <c r="S27" i="6" s="1"/>
  <c r="H27" i="6"/>
  <c r="G27" i="6"/>
  <c r="F27" i="6"/>
  <c r="D27" i="6"/>
  <c r="C27" i="6"/>
  <c r="AG26" i="6"/>
  <c r="S26" i="6"/>
  <c r="N26" i="6"/>
  <c r="M26" i="6"/>
  <c r="K26" i="6"/>
  <c r="J26" i="6"/>
  <c r="T26" i="6" s="1"/>
  <c r="I26" i="6"/>
  <c r="H26" i="6"/>
  <c r="R26" i="6" s="1"/>
  <c r="G26" i="6"/>
  <c r="F26" i="6"/>
  <c r="P26" i="6" s="1"/>
  <c r="D26" i="6"/>
  <c r="C26" i="6"/>
  <c r="C46" i="13" s="1"/>
  <c r="AG25" i="6"/>
  <c r="J25" i="6"/>
  <c r="O25" i="6" s="1"/>
  <c r="I25" i="6"/>
  <c r="H25" i="6"/>
  <c r="G25" i="6"/>
  <c r="F25" i="6"/>
  <c r="P25" i="6" s="1"/>
  <c r="D25" i="6"/>
  <c r="C25" i="6"/>
  <c r="C45" i="13" s="1"/>
  <c r="AG24" i="6"/>
  <c r="J24" i="6"/>
  <c r="I24" i="6"/>
  <c r="H24" i="6"/>
  <c r="R24" i="6" s="1"/>
  <c r="G24" i="6"/>
  <c r="F24" i="6"/>
  <c r="D24" i="6"/>
  <c r="C24" i="6"/>
  <c r="C44" i="13" s="1"/>
  <c r="AG23" i="6"/>
  <c r="T23" i="6"/>
  <c r="P23" i="6"/>
  <c r="K23" i="6"/>
  <c r="J23" i="6"/>
  <c r="O23" i="6" s="1"/>
  <c r="I23" i="6"/>
  <c r="H23" i="6"/>
  <c r="G23" i="6"/>
  <c r="F23" i="6"/>
  <c r="D23" i="6"/>
  <c r="C23" i="6"/>
  <c r="C43" i="13" s="1"/>
  <c r="AG22" i="6"/>
  <c r="J22" i="6"/>
  <c r="O22" i="6" s="1"/>
  <c r="I22" i="6"/>
  <c r="N22" i="6" s="1"/>
  <c r="H22" i="6"/>
  <c r="M22" i="6" s="1"/>
  <c r="G22" i="6"/>
  <c r="L22" i="6" s="1"/>
  <c r="F22" i="6"/>
  <c r="P22" i="6" s="1"/>
  <c r="D22" i="6"/>
  <c r="C22" i="6"/>
  <c r="AG21" i="6"/>
  <c r="M21" i="6"/>
  <c r="J21" i="6"/>
  <c r="I21" i="6"/>
  <c r="H21" i="6"/>
  <c r="R21" i="6" s="1"/>
  <c r="G21" i="6"/>
  <c r="F21" i="6"/>
  <c r="K21" i="6" s="1"/>
  <c r="D21" i="6"/>
  <c r="C21" i="6"/>
  <c r="C41" i="13" s="1"/>
  <c r="AG20" i="6"/>
  <c r="P20" i="6"/>
  <c r="O20" i="6"/>
  <c r="J20" i="6"/>
  <c r="T20" i="6" s="1"/>
  <c r="I20" i="6"/>
  <c r="H20" i="6"/>
  <c r="M20" i="6" s="1"/>
  <c r="G20" i="6"/>
  <c r="L20" i="6" s="1"/>
  <c r="F20" i="6"/>
  <c r="K20" i="6" s="1"/>
  <c r="D20" i="6"/>
  <c r="C20" i="6"/>
  <c r="AG19" i="6"/>
  <c r="N19" i="6"/>
  <c r="K19" i="6"/>
  <c r="J19" i="6"/>
  <c r="O19" i="6" s="1"/>
  <c r="I19" i="6"/>
  <c r="S19" i="6" s="1"/>
  <c r="H19" i="6"/>
  <c r="G19" i="6"/>
  <c r="Q19" i="6" s="1"/>
  <c r="F19" i="6"/>
  <c r="P19" i="6" s="1"/>
  <c r="D19" i="6"/>
  <c r="C19" i="6"/>
  <c r="C39" i="13" s="1"/>
  <c r="AG18" i="6"/>
  <c r="J18" i="6"/>
  <c r="O18" i="6" s="1"/>
  <c r="I18" i="6"/>
  <c r="N18" i="6" s="1"/>
  <c r="H18" i="6"/>
  <c r="M18" i="6" s="1"/>
  <c r="G18" i="6"/>
  <c r="F18" i="6"/>
  <c r="D18" i="6"/>
  <c r="C18" i="6"/>
  <c r="C38" i="13" s="1"/>
  <c r="AG17" i="6"/>
  <c r="J17" i="6"/>
  <c r="O17" i="6" s="1"/>
  <c r="I17" i="6"/>
  <c r="N17" i="6" s="1"/>
  <c r="H17" i="6"/>
  <c r="M17" i="6" s="1"/>
  <c r="G17" i="6"/>
  <c r="Q17" i="6" s="1"/>
  <c r="F17" i="6"/>
  <c r="K17" i="6" s="1"/>
  <c r="D17" i="6"/>
  <c r="C17" i="6"/>
  <c r="C37" i="13" s="1"/>
  <c r="AG16" i="6"/>
  <c r="T16" i="6"/>
  <c r="J16" i="6"/>
  <c r="O16" i="6" s="1"/>
  <c r="I16" i="6"/>
  <c r="H16" i="6"/>
  <c r="G16" i="6"/>
  <c r="L16" i="6" s="1"/>
  <c r="F16" i="6"/>
  <c r="K16" i="6" s="1"/>
  <c r="D16" i="6"/>
  <c r="C16" i="6"/>
  <c r="C36" i="13" s="1"/>
  <c r="AG15" i="6"/>
  <c r="S15" i="6"/>
  <c r="P15" i="6"/>
  <c r="K15" i="6"/>
  <c r="J15" i="6"/>
  <c r="O15" i="6" s="1"/>
  <c r="I15" i="6"/>
  <c r="N15" i="6" s="1"/>
  <c r="H15" i="6"/>
  <c r="G15" i="6"/>
  <c r="F15" i="6"/>
  <c r="D15" i="6"/>
  <c r="C15" i="6"/>
  <c r="AG14" i="6"/>
  <c r="S14" i="6"/>
  <c r="R14" i="6"/>
  <c r="Q14" i="6"/>
  <c r="N14" i="6"/>
  <c r="M14" i="6"/>
  <c r="J14" i="6"/>
  <c r="T14" i="6" s="1"/>
  <c r="I14" i="6"/>
  <c r="H14" i="6"/>
  <c r="G14" i="6"/>
  <c r="L14" i="6" s="1"/>
  <c r="F14" i="6"/>
  <c r="K14" i="6" s="1"/>
  <c r="D14" i="6"/>
  <c r="C14" i="6"/>
  <c r="AG13" i="6"/>
  <c r="J13" i="6"/>
  <c r="I13" i="6"/>
  <c r="H13" i="6"/>
  <c r="G13" i="6"/>
  <c r="L13" i="6" s="1"/>
  <c r="F13" i="6"/>
  <c r="K13" i="6" s="1"/>
  <c r="D13" i="6"/>
  <c r="C13" i="6"/>
  <c r="C33" i="13" s="1"/>
  <c r="AG12" i="6"/>
  <c r="J12" i="6"/>
  <c r="T12" i="6" s="1"/>
  <c r="I12" i="6"/>
  <c r="S12" i="6" s="1"/>
  <c r="H12" i="6"/>
  <c r="R12" i="6" s="1"/>
  <c r="G12" i="6"/>
  <c r="F12" i="6"/>
  <c r="K12" i="6" s="1"/>
  <c r="D12" i="6"/>
  <c r="C12" i="6"/>
  <c r="C32" i="13" s="1"/>
  <c r="AG11" i="6"/>
  <c r="T11" i="6"/>
  <c r="J11" i="6"/>
  <c r="O11" i="6" s="1"/>
  <c r="I11" i="6"/>
  <c r="S11" i="6" s="1"/>
  <c r="H11" i="6"/>
  <c r="G11" i="6"/>
  <c r="Q11" i="6" s="1"/>
  <c r="F11" i="6"/>
  <c r="D11" i="6"/>
  <c r="C11" i="6"/>
  <c r="AG10" i="6"/>
  <c r="L10" i="6"/>
  <c r="J10" i="6"/>
  <c r="I10" i="6"/>
  <c r="H10" i="6"/>
  <c r="G10" i="6"/>
  <c r="Q10" i="6" s="1"/>
  <c r="F10" i="6"/>
  <c r="E10" i="6"/>
  <c r="D30" i="13" s="1"/>
  <c r="D10" i="6"/>
  <c r="C10" i="6"/>
  <c r="C30" i="13" s="1"/>
  <c r="AG9" i="6"/>
  <c r="R9" i="6"/>
  <c r="J9" i="6"/>
  <c r="O9" i="6" s="1"/>
  <c r="I9" i="6"/>
  <c r="S9" i="6" s="1"/>
  <c r="H9" i="6"/>
  <c r="M9" i="6" s="1"/>
  <c r="G9" i="6"/>
  <c r="L9" i="6" s="1"/>
  <c r="F9" i="6"/>
  <c r="P9" i="6" s="1"/>
  <c r="E9" i="6"/>
  <c r="D29" i="13" s="1"/>
  <c r="D9" i="6"/>
  <c r="C9" i="6"/>
  <c r="C29" i="13" s="1"/>
  <c r="AG8" i="6"/>
  <c r="J8" i="6"/>
  <c r="I8" i="6"/>
  <c r="H8" i="6"/>
  <c r="R8" i="6" s="1"/>
  <c r="G8" i="6"/>
  <c r="L8" i="6" s="1"/>
  <c r="F8" i="6"/>
  <c r="K8" i="6" s="1"/>
  <c r="D8" i="6"/>
  <c r="C8" i="6"/>
  <c r="C28" i="13" s="1"/>
  <c r="AG7" i="6"/>
  <c r="J7" i="6"/>
  <c r="T7" i="6" s="1"/>
  <c r="I7" i="6"/>
  <c r="N7" i="6" s="1"/>
  <c r="H7" i="6"/>
  <c r="G7" i="6"/>
  <c r="F7" i="6"/>
  <c r="D7" i="6"/>
  <c r="C7" i="6"/>
  <c r="C27" i="13" s="1"/>
  <c r="AG6" i="6"/>
  <c r="S6" i="6"/>
  <c r="Q6" i="6"/>
  <c r="N6" i="6"/>
  <c r="J6" i="6"/>
  <c r="T6" i="6" s="1"/>
  <c r="I6" i="6"/>
  <c r="H6" i="6"/>
  <c r="M6" i="6" s="1"/>
  <c r="G6" i="6"/>
  <c r="L6" i="6" s="1"/>
  <c r="F6" i="6"/>
  <c r="P6" i="6" s="1"/>
  <c r="D6" i="6"/>
  <c r="C6" i="6"/>
  <c r="C26" i="13" s="1"/>
  <c r="AG5" i="6"/>
  <c r="J5" i="6"/>
  <c r="I5" i="6"/>
  <c r="H5" i="6"/>
  <c r="G5" i="6"/>
  <c r="F5" i="6"/>
  <c r="D5" i="6"/>
  <c r="C5" i="6"/>
  <c r="C25" i="13" s="1"/>
  <c r="L109" i="4"/>
  <c r="K109" i="4"/>
  <c r="K108" i="4"/>
  <c r="L108" i="4" s="1"/>
  <c r="K107" i="4"/>
  <c r="K106" i="4"/>
  <c r="C220" i="13" s="1"/>
  <c r="K105" i="4"/>
  <c r="C219" i="13" s="1"/>
  <c r="K104" i="4"/>
  <c r="K103" i="4"/>
  <c r="K102" i="4"/>
  <c r="C216" i="13" s="1"/>
  <c r="K101" i="4"/>
  <c r="M101" i="4" s="1"/>
  <c r="E215" i="13" s="1"/>
  <c r="K100" i="4"/>
  <c r="L100" i="4" s="1"/>
  <c r="K99" i="4"/>
  <c r="K98" i="4"/>
  <c r="K97" i="4"/>
  <c r="C211" i="13" s="1"/>
  <c r="K96" i="4"/>
  <c r="L96" i="4" s="1"/>
  <c r="D210" i="13" s="1"/>
  <c r="K95" i="4"/>
  <c r="C209" i="13" s="1"/>
  <c r="K94" i="4"/>
  <c r="K93" i="4"/>
  <c r="M93" i="4" s="1"/>
  <c r="E207" i="13" s="1"/>
  <c r="K92" i="4"/>
  <c r="K91" i="4"/>
  <c r="K90" i="4"/>
  <c r="C204" i="13" s="1"/>
  <c r="K89" i="4"/>
  <c r="K88" i="4"/>
  <c r="C202" i="13" s="1"/>
  <c r="K87" i="4"/>
  <c r="M87" i="4" s="1"/>
  <c r="E201" i="13" s="1"/>
  <c r="K86" i="4"/>
  <c r="M86" i="4" s="1"/>
  <c r="E200" i="13" s="1"/>
  <c r="L85" i="4"/>
  <c r="K85" i="4"/>
  <c r="K84" i="4"/>
  <c r="C198" i="13" s="1"/>
  <c r="K83" i="4"/>
  <c r="M83" i="4" s="1"/>
  <c r="E197" i="13" s="1"/>
  <c r="K82" i="4"/>
  <c r="C196" i="13" s="1"/>
  <c r="K81" i="4"/>
  <c r="L81" i="4" s="1"/>
  <c r="D195" i="13" s="1"/>
  <c r="K80" i="4"/>
  <c r="L80" i="4" s="1"/>
  <c r="D194" i="13" s="1"/>
  <c r="K79" i="4"/>
  <c r="M79" i="4" s="1"/>
  <c r="E193" i="13" s="1"/>
  <c r="K78" i="4"/>
  <c r="C192" i="13" s="1"/>
  <c r="K77" i="4"/>
  <c r="M245" i="7" s="1"/>
  <c r="K76" i="4"/>
  <c r="L76" i="4" s="1"/>
  <c r="D190" i="13" s="1"/>
  <c r="K75" i="4"/>
  <c r="F75" i="4"/>
  <c r="G75" i="4" s="1"/>
  <c r="K74" i="4"/>
  <c r="F74" i="4"/>
  <c r="G74" i="4" s="1"/>
  <c r="K73" i="4"/>
  <c r="M73" i="4" s="1"/>
  <c r="E187" i="13" s="1"/>
  <c r="F73" i="4"/>
  <c r="G73" i="4" s="1"/>
  <c r="K72" i="4"/>
  <c r="C186" i="13" s="1"/>
  <c r="F72" i="4"/>
  <c r="G72" i="4" s="1"/>
  <c r="K71" i="4"/>
  <c r="C185" i="13" s="1"/>
  <c r="F71" i="4"/>
  <c r="G71" i="4" s="1"/>
  <c r="K70" i="4"/>
  <c r="F70" i="4"/>
  <c r="G70" i="4" s="1"/>
  <c r="K69" i="4"/>
  <c r="M69" i="4" s="1"/>
  <c r="E183" i="13" s="1"/>
  <c r="F69" i="4"/>
  <c r="G69" i="4" s="1"/>
  <c r="K68" i="4"/>
  <c r="F68" i="4"/>
  <c r="G68" i="4" s="1"/>
  <c r="K67" i="4"/>
  <c r="F67" i="4"/>
  <c r="G67" i="4" s="1"/>
  <c r="K66" i="4"/>
  <c r="L66" i="4" s="1"/>
  <c r="D180" i="13" s="1"/>
  <c r="F66" i="4"/>
  <c r="G66" i="4" s="1"/>
  <c r="K65" i="4"/>
  <c r="C179" i="13" s="1"/>
  <c r="F65" i="4"/>
  <c r="G65" i="4" s="1"/>
  <c r="K64" i="4"/>
  <c r="M64" i="4" s="1"/>
  <c r="E178" i="13" s="1"/>
  <c r="F64" i="4"/>
  <c r="G64" i="4" s="1"/>
  <c r="K63" i="4"/>
  <c r="M63" i="4" s="1"/>
  <c r="E177" i="13" s="1"/>
  <c r="F63" i="4"/>
  <c r="G63" i="4" s="1"/>
  <c r="K62" i="4"/>
  <c r="L62" i="4" s="1"/>
  <c r="D176" i="13" s="1"/>
  <c r="F62" i="4"/>
  <c r="G62" i="4" s="1"/>
  <c r="K61" i="4"/>
  <c r="M61" i="4" s="1"/>
  <c r="E175" i="13" s="1"/>
  <c r="F61" i="4"/>
  <c r="G61" i="4" s="1"/>
  <c r="L60" i="4"/>
  <c r="D174" i="13" s="1"/>
  <c r="K60" i="4"/>
  <c r="C174" i="13" s="1"/>
  <c r="F60" i="4"/>
  <c r="G60" i="4" s="1"/>
  <c r="K59" i="4"/>
  <c r="F59" i="4"/>
  <c r="G59" i="4" s="1"/>
  <c r="K58" i="4"/>
  <c r="C172" i="13" s="1"/>
  <c r="F58" i="4"/>
  <c r="G58" i="4" s="1"/>
  <c r="K57" i="4"/>
  <c r="C171" i="13" s="1"/>
  <c r="F57" i="4"/>
  <c r="G57" i="4" s="1"/>
  <c r="K56" i="4"/>
  <c r="C170" i="13" s="1"/>
  <c r="F56" i="4"/>
  <c r="G56" i="4" s="1"/>
  <c r="M55" i="4"/>
  <c r="E169" i="13" s="1"/>
  <c r="K55" i="4"/>
  <c r="L55" i="4" s="1"/>
  <c r="F55" i="4"/>
  <c r="G55" i="4" s="1"/>
  <c r="K54" i="4"/>
  <c r="C168" i="13" s="1"/>
  <c r="F54" i="4"/>
  <c r="G54" i="4" s="1"/>
  <c r="K53" i="4"/>
  <c r="M166" i="7" s="1"/>
  <c r="F53" i="4"/>
  <c r="G53" i="4" s="1"/>
  <c r="K52" i="4"/>
  <c r="C166" i="13" s="1"/>
  <c r="F52" i="4"/>
  <c r="G52" i="4" s="1"/>
  <c r="K51" i="4"/>
  <c r="C165" i="13" s="1"/>
  <c r="F51" i="4"/>
  <c r="G51" i="4" s="1"/>
  <c r="K50" i="4"/>
  <c r="L50" i="4" s="1"/>
  <c r="G50" i="4"/>
  <c r="F50" i="4"/>
  <c r="K49" i="4"/>
  <c r="C163" i="13" s="1"/>
  <c r="F49" i="4"/>
  <c r="G49" i="4" s="1"/>
  <c r="K48" i="4"/>
  <c r="L48" i="4" s="1"/>
  <c r="D162" i="13" s="1"/>
  <c r="F48" i="4"/>
  <c r="G48" i="4" s="1"/>
  <c r="K47" i="4"/>
  <c r="F47" i="4"/>
  <c r="G47" i="4" s="1"/>
  <c r="K46" i="4"/>
  <c r="F46" i="4"/>
  <c r="G46" i="4" s="1"/>
  <c r="K45" i="4"/>
  <c r="C159" i="13" s="1"/>
  <c r="F45" i="4"/>
  <c r="G45" i="4" s="1"/>
  <c r="K44" i="4"/>
  <c r="C158" i="13" s="1"/>
  <c r="F44" i="4"/>
  <c r="G44" i="4" s="1"/>
  <c r="K43" i="4"/>
  <c r="M43" i="4" s="1"/>
  <c r="E157" i="13" s="1"/>
  <c r="F43" i="4"/>
  <c r="G43" i="4" s="1"/>
  <c r="K42" i="4"/>
  <c r="F42" i="4"/>
  <c r="G42" i="4" s="1"/>
  <c r="K41" i="4"/>
  <c r="C155" i="13" s="1"/>
  <c r="F41" i="4"/>
  <c r="G41" i="4" s="1"/>
  <c r="K40" i="4"/>
  <c r="C154" i="13" s="1"/>
  <c r="F40" i="4"/>
  <c r="G40" i="4" s="1"/>
  <c r="K39" i="4"/>
  <c r="F39" i="4"/>
  <c r="G39" i="4" s="1"/>
  <c r="K38" i="4"/>
  <c r="F38" i="4"/>
  <c r="G38" i="4" s="1"/>
  <c r="K37" i="4"/>
  <c r="C151" i="13" s="1"/>
  <c r="F37" i="4"/>
  <c r="G37" i="4" s="1"/>
  <c r="K36" i="4"/>
  <c r="F36" i="4"/>
  <c r="G36" i="4" s="1"/>
  <c r="K35" i="4"/>
  <c r="M35" i="4" s="1"/>
  <c r="E149" i="13" s="1"/>
  <c r="F35" i="4"/>
  <c r="G35" i="4" s="1"/>
  <c r="K34" i="4"/>
  <c r="L34" i="4" s="1"/>
  <c r="D148" i="13" s="1"/>
  <c r="F34" i="4"/>
  <c r="G34" i="4" s="1"/>
  <c r="K33" i="4"/>
  <c r="C147" i="13" s="1"/>
  <c r="F33" i="4"/>
  <c r="G33" i="4" s="1"/>
  <c r="K32" i="4"/>
  <c r="L32" i="4" s="1"/>
  <c r="F32" i="4"/>
  <c r="G32" i="4" s="1"/>
  <c r="K31" i="4"/>
  <c r="M31" i="4" s="1"/>
  <c r="E145" i="13" s="1"/>
  <c r="F31" i="4"/>
  <c r="G31" i="4" s="1"/>
  <c r="K30" i="4"/>
  <c r="F30" i="4"/>
  <c r="G30" i="4" s="1"/>
  <c r="K29" i="4"/>
  <c r="C143" i="13" s="1"/>
  <c r="F29" i="4"/>
  <c r="G29" i="4" s="1"/>
  <c r="K28" i="4"/>
  <c r="L28" i="4" s="1"/>
  <c r="G28" i="4"/>
  <c r="F28" i="4"/>
  <c r="K27" i="4"/>
  <c r="M27" i="4" s="1"/>
  <c r="E141" i="13" s="1"/>
  <c r="F27" i="4"/>
  <c r="G27" i="4" s="1"/>
  <c r="K26" i="4"/>
  <c r="M26" i="4" s="1"/>
  <c r="E140" i="13" s="1"/>
  <c r="F26" i="4"/>
  <c r="G26" i="4" s="1"/>
  <c r="K25" i="4"/>
  <c r="L25" i="4" s="1"/>
  <c r="F25" i="4"/>
  <c r="G25" i="4" s="1"/>
  <c r="K24" i="4"/>
  <c r="C138" i="13" s="1"/>
  <c r="F24" i="4"/>
  <c r="G24" i="4" s="1"/>
  <c r="K23" i="4"/>
  <c r="L23" i="4" s="1"/>
  <c r="D137" i="13" s="1"/>
  <c r="F23" i="4"/>
  <c r="G23" i="4" s="1"/>
  <c r="K22" i="4"/>
  <c r="C136" i="13" s="1"/>
  <c r="F22" i="4"/>
  <c r="G22" i="4" s="1"/>
  <c r="K21" i="4"/>
  <c r="C135" i="13" s="1"/>
  <c r="F21" i="4"/>
  <c r="G21" i="4" s="1"/>
  <c r="K20" i="4"/>
  <c r="C134" i="13" s="1"/>
  <c r="F20" i="4"/>
  <c r="G20" i="4" s="1"/>
  <c r="K19" i="4"/>
  <c r="C133" i="13" s="1"/>
  <c r="F19" i="4"/>
  <c r="G19" i="4" s="1"/>
  <c r="K18" i="4"/>
  <c r="F18" i="4"/>
  <c r="G18" i="4" s="1"/>
  <c r="K17" i="4"/>
  <c r="C131" i="13" s="1"/>
  <c r="F17" i="4"/>
  <c r="G17" i="4" s="1"/>
  <c r="K16" i="4"/>
  <c r="C130" i="13" s="1"/>
  <c r="F16" i="4"/>
  <c r="G16" i="4" s="1"/>
  <c r="K15" i="4"/>
  <c r="F15" i="4"/>
  <c r="G15" i="4" s="1"/>
  <c r="K14" i="4"/>
  <c r="C128" i="13" s="1"/>
  <c r="G14" i="4"/>
  <c r="F14" i="4"/>
  <c r="K13" i="4"/>
  <c r="C127" i="13" s="1"/>
  <c r="F13" i="4"/>
  <c r="G13" i="4" s="1"/>
  <c r="K12" i="4"/>
  <c r="C126" i="13" s="1"/>
  <c r="F12" i="4"/>
  <c r="G12" i="4" s="1"/>
  <c r="K11" i="4"/>
  <c r="M11" i="4" s="1"/>
  <c r="E125" i="13" s="1"/>
  <c r="F11" i="4"/>
  <c r="G11" i="4" s="1"/>
  <c r="K10" i="4"/>
  <c r="C124" i="13" s="1"/>
  <c r="F10" i="4"/>
  <c r="G10" i="4" s="1"/>
  <c r="K9" i="4"/>
  <c r="C123" i="13" s="1"/>
  <c r="F9" i="4"/>
  <c r="G9" i="4" s="1"/>
  <c r="K8" i="4"/>
  <c r="L8" i="4" s="1"/>
  <c r="F8" i="4"/>
  <c r="G8" i="4" s="1"/>
  <c r="K7" i="4"/>
  <c r="C121" i="13" s="1"/>
  <c r="F7" i="4"/>
  <c r="G7" i="4" s="1"/>
  <c r="K6" i="4"/>
  <c r="C120" i="13" s="1"/>
  <c r="F6" i="4"/>
  <c r="G6" i="4" s="1"/>
  <c r="K5" i="4"/>
  <c r="M14" i="7" s="1"/>
  <c r="F5" i="4"/>
  <c r="G5" i="4" s="1"/>
  <c r="AD20" i="3"/>
  <c r="U20" i="3"/>
  <c r="T20" i="3"/>
  <c r="S20" i="3"/>
  <c r="Q20" i="3"/>
  <c r="E21" i="13" s="1"/>
  <c r="O20" i="3"/>
  <c r="C21" i="13" s="1"/>
  <c r="M20" i="3"/>
  <c r="N20" i="3" s="1"/>
  <c r="K20" i="3"/>
  <c r="L20" i="3" s="1"/>
  <c r="AC20" i="3" s="1"/>
  <c r="AD19" i="3"/>
  <c r="U19" i="3"/>
  <c r="T19" i="3"/>
  <c r="S19" i="3"/>
  <c r="Q19" i="3"/>
  <c r="E20" i="13" s="1"/>
  <c r="O19" i="3"/>
  <c r="C20" i="13" s="1"/>
  <c r="M19" i="3"/>
  <c r="N19" i="3" s="1"/>
  <c r="K19" i="3"/>
  <c r="AA19" i="3" s="1"/>
  <c r="AC18" i="3"/>
  <c r="AB18" i="3"/>
  <c r="U18" i="3"/>
  <c r="T18" i="3"/>
  <c r="R18" i="3"/>
  <c r="P18" i="3"/>
  <c r="D19" i="13" s="1"/>
  <c r="O18" i="3"/>
  <c r="M18" i="3"/>
  <c r="N18" i="3" s="1"/>
  <c r="K18" i="3"/>
  <c r="L18" i="3" s="1"/>
  <c r="U17" i="3"/>
  <c r="T17" i="3"/>
  <c r="AF7" i="11" s="1"/>
  <c r="R17" i="3"/>
  <c r="P17" i="3"/>
  <c r="D18" i="13" s="1"/>
  <c r="O17" i="3"/>
  <c r="Q17" i="3" s="1"/>
  <c r="E18" i="13" s="1"/>
  <c r="M17" i="3"/>
  <c r="N17" i="3" s="1"/>
  <c r="K17" i="3"/>
  <c r="L17" i="3" s="1"/>
  <c r="AC17" i="3" s="1"/>
  <c r="U16" i="3"/>
  <c r="T16" i="3"/>
  <c r="R16" i="3"/>
  <c r="F17" i="13" s="1"/>
  <c r="P16" i="3"/>
  <c r="D17" i="13" s="1"/>
  <c r="O16" i="3"/>
  <c r="Q16" i="3" s="1"/>
  <c r="E17" i="13" s="1"/>
  <c r="M16" i="3"/>
  <c r="N16" i="3" s="1"/>
  <c r="K16" i="3"/>
  <c r="AB16" i="3" s="1"/>
  <c r="AD15" i="3"/>
  <c r="U15" i="3"/>
  <c r="T15" i="3"/>
  <c r="AD7" i="11" s="1"/>
  <c r="S15" i="3"/>
  <c r="Q15" i="3"/>
  <c r="E16" i="13" s="1"/>
  <c r="O15" i="3"/>
  <c r="C16" i="13" s="1"/>
  <c r="M15" i="3"/>
  <c r="N15" i="3" s="1"/>
  <c r="K15" i="3"/>
  <c r="AC15" i="3" s="1"/>
  <c r="AC14" i="3"/>
  <c r="U14" i="3"/>
  <c r="T14" i="3"/>
  <c r="R14" i="3"/>
  <c r="P14" i="3"/>
  <c r="D15" i="13" s="1"/>
  <c r="O14" i="3"/>
  <c r="Q14" i="3" s="1"/>
  <c r="E15" i="13" s="1"/>
  <c r="M14" i="3"/>
  <c r="N14" i="3" s="1"/>
  <c r="K14" i="3"/>
  <c r="AB14" i="3" s="1"/>
  <c r="AD13" i="3"/>
  <c r="U13" i="3"/>
  <c r="T13" i="3"/>
  <c r="S13" i="3"/>
  <c r="G14" i="13" s="1"/>
  <c r="Q13" i="3"/>
  <c r="E14" i="13" s="1"/>
  <c r="O13" i="3"/>
  <c r="C14" i="13" s="1"/>
  <c r="M13" i="3"/>
  <c r="N13" i="3" s="1"/>
  <c r="K13" i="3"/>
  <c r="AD12" i="3"/>
  <c r="U12" i="3"/>
  <c r="T12" i="3"/>
  <c r="S12" i="3"/>
  <c r="Q12" i="3"/>
  <c r="E13" i="13" s="1"/>
  <c r="O12" i="3"/>
  <c r="C13" i="13" s="1"/>
  <c r="M12" i="3"/>
  <c r="N12" i="3" s="1"/>
  <c r="K12" i="3"/>
  <c r="AD11" i="3"/>
  <c r="AC11" i="3"/>
  <c r="AB11" i="3"/>
  <c r="U11" i="3"/>
  <c r="T11" i="3"/>
  <c r="S11" i="3"/>
  <c r="Q11" i="3"/>
  <c r="E12" i="13" s="1"/>
  <c r="O11" i="3"/>
  <c r="C12" i="13" s="1"/>
  <c r="M11" i="3"/>
  <c r="N11" i="3" s="1"/>
  <c r="K11" i="3"/>
  <c r="AA11" i="3" s="1"/>
  <c r="AD10" i="3"/>
  <c r="U10" i="3"/>
  <c r="T10" i="3"/>
  <c r="S10" i="3"/>
  <c r="Q10" i="3"/>
  <c r="E11" i="13" s="1"/>
  <c r="O10" i="3"/>
  <c r="C11" i="13" s="1"/>
  <c r="M10" i="3"/>
  <c r="N10" i="3" s="1"/>
  <c r="K10" i="3"/>
  <c r="AB10" i="3" s="1"/>
  <c r="AD9" i="3"/>
  <c r="U9" i="3"/>
  <c r="T9" i="3"/>
  <c r="S9" i="3"/>
  <c r="Q9" i="3"/>
  <c r="E10" i="13" s="1"/>
  <c r="O9" i="3"/>
  <c r="C10" i="13" s="1"/>
  <c r="M9" i="3"/>
  <c r="N9" i="3" s="1"/>
  <c r="L9" i="3"/>
  <c r="K9" i="3"/>
  <c r="AC9" i="3" s="1"/>
  <c r="AD8" i="3"/>
  <c r="U8" i="3"/>
  <c r="T8" i="3"/>
  <c r="S8" i="3"/>
  <c r="G9" i="13" s="1"/>
  <c r="Q8" i="3"/>
  <c r="E9" i="13" s="1"/>
  <c r="O8" i="3"/>
  <c r="C9" i="13" s="1"/>
  <c r="M8" i="3"/>
  <c r="N8" i="3" s="1"/>
  <c r="K8" i="3"/>
  <c r="AD7" i="3"/>
  <c r="U7" i="3"/>
  <c r="T7" i="3"/>
  <c r="S7" i="3"/>
  <c r="G8" i="13" s="1"/>
  <c r="Q7" i="3"/>
  <c r="E8" i="13" s="1"/>
  <c r="O7" i="3"/>
  <c r="C8" i="13" s="1"/>
  <c r="M7" i="3"/>
  <c r="N7" i="3" s="1"/>
  <c r="K7" i="3"/>
  <c r="AD6" i="3"/>
  <c r="U6" i="3"/>
  <c r="T6" i="3"/>
  <c r="S6" i="3"/>
  <c r="G7" i="13" s="1"/>
  <c r="Q6" i="3"/>
  <c r="E7" i="13" s="1"/>
  <c r="O6" i="3"/>
  <c r="M6" i="3"/>
  <c r="N6" i="3" s="1"/>
  <c r="K6" i="3"/>
  <c r="L6" i="3" s="1"/>
  <c r="AD5" i="3"/>
  <c r="U5" i="3"/>
  <c r="T5" i="3"/>
  <c r="S5" i="3"/>
  <c r="R5" i="3"/>
  <c r="Q5" i="3"/>
  <c r="E6" i="13" s="1"/>
  <c r="O5" i="3"/>
  <c r="C6" i="13" s="1"/>
  <c r="M5" i="3"/>
  <c r="N5" i="3" s="1"/>
  <c r="K5" i="3"/>
  <c r="AC5" i="3" s="1"/>
  <c r="M61" i="2"/>
  <c r="L61" i="2"/>
  <c r="K61" i="2"/>
  <c r="N61" i="2" s="1"/>
  <c r="M60" i="2"/>
  <c r="L60" i="2"/>
  <c r="K60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M60" i="4" l="1"/>
  <c r="E174" i="13" s="1"/>
  <c r="R77" i="6"/>
  <c r="H7" i="7"/>
  <c r="H15" i="7"/>
  <c r="G23" i="7"/>
  <c r="Q23" i="7" s="1"/>
  <c r="Q31" i="7"/>
  <c r="H73" i="7"/>
  <c r="H116" i="7"/>
  <c r="H168" i="7"/>
  <c r="M171" i="7"/>
  <c r="H175" i="7"/>
  <c r="M203" i="7"/>
  <c r="H231" i="7"/>
  <c r="Q234" i="7"/>
  <c r="G62" i="9" s="1"/>
  <c r="H272" i="7"/>
  <c r="G284" i="7"/>
  <c r="G321" i="7"/>
  <c r="Q321" i="7" s="1"/>
  <c r="M8" i="8"/>
  <c r="L230" i="13" s="1"/>
  <c r="P35" i="8"/>
  <c r="O257" i="13" s="1"/>
  <c r="M44" i="8"/>
  <c r="L266" i="13" s="1"/>
  <c r="H31" i="7"/>
  <c r="Q76" i="7"/>
  <c r="H95" i="7"/>
  <c r="G138" i="7"/>
  <c r="R34" i="6"/>
  <c r="P47" i="6"/>
  <c r="R62" i="6"/>
  <c r="L73" i="4"/>
  <c r="D187" i="13" s="1"/>
  <c r="L82" i="4"/>
  <c r="D196" i="13" s="1"/>
  <c r="O26" i="6"/>
  <c r="M31" i="6"/>
  <c r="O32" i="6"/>
  <c r="E69" i="6"/>
  <c r="N73" i="6"/>
  <c r="N83" i="6"/>
  <c r="E87" i="6"/>
  <c r="S88" i="6"/>
  <c r="U88" i="6" s="1"/>
  <c r="AC88" i="6" s="1"/>
  <c r="E108" i="13" s="1"/>
  <c r="AA18" i="3"/>
  <c r="M8" i="4"/>
  <c r="E122" i="13" s="1"/>
  <c r="M82" i="4"/>
  <c r="E196" i="13" s="1"/>
  <c r="P32" i="6"/>
  <c r="M44" i="6"/>
  <c r="Q56" i="6"/>
  <c r="Q73" i="6"/>
  <c r="V73" i="6" s="1"/>
  <c r="P76" i="6"/>
  <c r="N85" i="6"/>
  <c r="L93" i="6"/>
  <c r="G100" i="7"/>
  <c r="Q100" i="7" s="1"/>
  <c r="Q168" i="7"/>
  <c r="N171" i="7"/>
  <c r="Q175" i="7"/>
  <c r="M231" i="7"/>
  <c r="G243" i="7"/>
  <c r="Q243" i="7" s="1"/>
  <c r="M272" i="7"/>
  <c r="H321" i="7"/>
  <c r="G348" i="7"/>
  <c r="N8" i="8"/>
  <c r="M230" i="13" s="1"/>
  <c r="N44" i="8"/>
  <c r="M266" i="13" s="1"/>
  <c r="N60" i="2"/>
  <c r="C45" i="12" s="1"/>
  <c r="M12" i="7"/>
  <c r="H49" i="7"/>
  <c r="H58" i="7"/>
  <c r="H201" i="7"/>
  <c r="G211" i="7"/>
  <c r="Q211" i="7" s="1"/>
  <c r="H224" i="7"/>
  <c r="R6" i="6"/>
  <c r="P14" i="6"/>
  <c r="R20" i="6"/>
  <c r="P28" i="6"/>
  <c r="E52" i="6"/>
  <c r="D72" i="13" s="1"/>
  <c r="K55" i="6"/>
  <c r="N82" i="6"/>
  <c r="E89" i="6"/>
  <c r="D109" i="13" s="1"/>
  <c r="G37" i="7"/>
  <c r="M49" i="7"/>
  <c r="M58" i="7"/>
  <c r="H62" i="7"/>
  <c r="M201" i="7"/>
  <c r="H211" i="7"/>
  <c r="R13" i="3"/>
  <c r="F14" i="13" s="1"/>
  <c r="N11" i="6"/>
  <c r="O79" i="6"/>
  <c r="H37" i="7"/>
  <c r="Q58" i="7"/>
  <c r="G169" i="7"/>
  <c r="Q169" i="7" s="1"/>
  <c r="M181" i="7"/>
  <c r="N201" i="7"/>
  <c r="H273" i="7"/>
  <c r="J342" i="7"/>
  <c r="G346" i="7"/>
  <c r="N28" i="8"/>
  <c r="M250" i="13" s="1"/>
  <c r="M37" i="8"/>
  <c r="L259" i="13" s="1"/>
  <c r="L101" i="4"/>
  <c r="L19" i="6"/>
  <c r="H106" i="7"/>
  <c r="R50" i="6"/>
  <c r="O36" i="6"/>
  <c r="S50" i="6"/>
  <c r="N66" i="6"/>
  <c r="R10" i="3"/>
  <c r="E9" i="9" s="1"/>
  <c r="D314" i="13" s="1"/>
  <c r="Q8" i="6"/>
  <c r="E21" i="6"/>
  <c r="D41" i="13" s="1"/>
  <c r="S36" i="6"/>
  <c r="Q106" i="7"/>
  <c r="L58" i="4"/>
  <c r="D172" i="13" s="1"/>
  <c r="E7" i="6"/>
  <c r="D27" i="13" s="1"/>
  <c r="P13" i="6"/>
  <c r="L49" i="6"/>
  <c r="P66" i="6"/>
  <c r="M78" i="6"/>
  <c r="O81" i="6"/>
  <c r="E88" i="6"/>
  <c r="D108" i="13" s="1"/>
  <c r="G30" i="7"/>
  <c r="M89" i="7"/>
  <c r="G158" i="7"/>
  <c r="H194" i="7"/>
  <c r="G327" i="7"/>
  <c r="H331" i="7"/>
  <c r="H343" i="7"/>
  <c r="P13" i="3"/>
  <c r="D14" i="13" s="1"/>
  <c r="O55" i="6"/>
  <c r="M44" i="4"/>
  <c r="E158" i="13" s="1"/>
  <c r="P8" i="6"/>
  <c r="T41" i="6"/>
  <c r="M17" i="4"/>
  <c r="E131" i="13" s="1"/>
  <c r="E18" i="6"/>
  <c r="E29" i="6"/>
  <c r="O66" i="6"/>
  <c r="T69" i="6"/>
  <c r="AC6" i="3"/>
  <c r="L24" i="4"/>
  <c r="D138" i="13" s="1"/>
  <c r="L12" i="4"/>
  <c r="D126" i="13" s="1"/>
  <c r="M24" i="4"/>
  <c r="E138" i="13" s="1"/>
  <c r="M58" i="4"/>
  <c r="E172" i="13" s="1"/>
  <c r="L78" i="4"/>
  <c r="D192" i="13" s="1"/>
  <c r="E12" i="6"/>
  <c r="D32" i="13" s="1"/>
  <c r="K38" i="6"/>
  <c r="L48" i="6"/>
  <c r="R66" i="6"/>
  <c r="K77" i="6"/>
  <c r="Q81" i="6"/>
  <c r="K86" i="6"/>
  <c r="M89" i="6"/>
  <c r="G34" i="7"/>
  <c r="G306" i="7"/>
  <c r="G310" i="7"/>
  <c r="G347" i="7"/>
  <c r="L44" i="4"/>
  <c r="D158" i="13" s="1"/>
  <c r="M46" i="7"/>
  <c r="M136" i="7"/>
  <c r="L17" i="4"/>
  <c r="N45" i="7" s="1"/>
  <c r="S22" i="6"/>
  <c r="L45" i="4"/>
  <c r="D159" i="13" s="1"/>
  <c r="P5" i="3"/>
  <c r="D6" i="13" s="1"/>
  <c r="L14" i="3"/>
  <c r="M12" i="4"/>
  <c r="E126" i="13" s="1"/>
  <c r="M45" i="4"/>
  <c r="E159" i="13" s="1"/>
  <c r="M78" i="4"/>
  <c r="E192" i="13" s="1"/>
  <c r="P35" i="6"/>
  <c r="N38" i="6"/>
  <c r="R54" i="6"/>
  <c r="O71" i="6"/>
  <c r="M74" i="6"/>
  <c r="E76" i="6"/>
  <c r="U76" i="6" s="1"/>
  <c r="L77" i="6"/>
  <c r="Q86" i="6"/>
  <c r="N89" i="6"/>
  <c r="Q18" i="7"/>
  <c r="N22" i="7"/>
  <c r="Q47" i="7"/>
  <c r="M51" i="7"/>
  <c r="H63" i="7"/>
  <c r="H187" i="7"/>
  <c r="M202" i="7"/>
  <c r="H233" i="7"/>
  <c r="O40" i="8"/>
  <c r="N262" i="13" s="1"/>
  <c r="G259" i="7"/>
  <c r="Q259" i="7" s="1"/>
  <c r="G263" i="7"/>
  <c r="Q263" i="7" s="1"/>
  <c r="G332" i="7"/>
  <c r="Q332" i="7" s="1"/>
  <c r="H340" i="7"/>
  <c r="L7" i="4"/>
  <c r="D121" i="13" s="1"/>
  <c r="M72" i="4"/>
  <c r="E186" i="13" s="1"/>
  <c r="P62" i="6"/>
  <c r="H163" i="7"/>
  <c r="G218" i="7"/>
  <c r="L11" i="3"/>
  <c r="M7" i="4"/>
  <c r="E121" i="13" s="1"/>
  <c r="L106" i="4"/>
  <c r="D220" i="13" s="1"/>
  <c r="E28" i="6"/>
  <c r="N29" i="6"/>
  <c r="Q34" i="6"/>
  <c r="R48" i="6"/>
  <c r="P59" i="6"/>
  <c r="Q62" i="6"/>
  <c r="P65" i="6"/>
  <c r="M31" i="7"/>
  <c r="Q95" i="7"/>
  <c r="H159" i="7"/>
  <c r="H259" i="7"/>
  <c r="H332" i="7"/>
  <c r="E25" i="6"/>
  <c r="D45" i="13" s="1"/>
  <c r="S48" i="6"/>
  <c r="M56" i="6"/>
  <c r="E72" i="6"/>
  <c r="N31" i="7"/>
  <c r="M159" i="7"/>
  <c r="P58" i="6"/>
  <c r="K58" i="6"/>
  <c r="M38" i="7"/>
  <c r="M121" i="7"/>
  <c r="H121" i="7"/>
  <c r="M157" i="7"/>
  <c r="Q291" i="7"/>
  <c r="H291" i="7"/>
  <c r="P36" i="8"/>
  <c r="O258" i="13" s="1"/>
  <c r="N36" i="8"/>
  <c r="M258" i="13" s="1"/>
  <c r="L97" i="4"/>
  <c r="D211" i="13" s="1"/>
  <c r="N55" i="6"/>
  <c r="S55" i="6"/>
  <c r="S92" i="6"/>
  <c r="N92" i="6"/>
  <c r="M53" i="7"/>
  <c r="G81" i="7"/>
  <c r="Q81" i="7"/>
  <c r="N81" i="7"/>
  <c r="M81" i="7"/>
  <c r="G128" i="7"/>
  <c r="G154" i="7"/>
  <c r="G165" i="7"/>
  <c r="G219" i="7"/>
  <c r="Q219" i="7" s="1"/>
  <c r="G324" i="7"/>
  <c r="V13" i="3"/>
  <c r="W13" i="3" s="1"/>
  <c r="L40" i="4"/>
  <c r="D154" i="13" s="1"/>
  <c r="M56" i="4"/>
  <c r="E170" i="13" s="1"/>
  <c r="L79" i="4"/>
  <c r="D193" i="13" s="1"/>
  <c r="M97" i="4"/>
  <c r="E211" i="13" s="1"/>
  <c r="O14" i="6"/>
  <c r="Q32" i="6"/>
  <c r="N41" i="6"/>
  <c r="Q43" i="6"/>
  <c r="L43" i="6"/>
  <c r="T83" i="6"/>
  <c r="E85" i="6"/>
  <c r="D105" i="13" s="1"/>
  <c r="H22" i="7"/>
  <c r="H81" i="7"/>
  <c r="H154" i="7"/>
  <c r="H219" i="7"/>
  <c r="H324" i="7"/>
  <c r="M28" i="8"/>
  <c r="L250" i="13" s="1"/>
  <c r="H247" i="7"/>
  <c r="G247" i="7"/>
  <c r="G301" i="7"/>
  <c r="Q301" i="7" s="1"/>
  <c r="M301" i="7"/>
  <c r="H301" i="7"/>
  <c r="X10" i="3"/>
  <c r="Y10" i="3" s="1"/>
  <c r="H19" i="7"/>
  <c r="M19" i="7"/>
  <c r="M39" i="7"/>
  <c r="Q195" i="7"/>
  <c r="H195" i="7"/>
  <c r="G277" i="7"/>
  <c r="G317" i="7"/>
  <c r="Q317" i="7"/>
  <c r="M154" i="7"/>
  <c r="I16" i="7"/>
  <c r="G43" i="7"/>
  <c r="Q43" i="7" s="1"/>
  <c r="L51" i="6"/>
  <c r="Q51" i="6"/>
  <c r="L69" i="4"/>
  <c r="E5" i="6"/>
  <c r="D25" i="13" s="1"/>
  <c r="Q13" i="6"/>
  <c r="R18" i="6"/>
  <c r="T22" i="6"/>
  <c r="K25" i="6"/>
  <c r="O29" i="6"/>
  <c r="C53" i="13"/>
  <c r="E33" i="6"/>
  <c r="M31" i="8" s="1"/>
  <c r="L253" i="13" s="1"/>
  <c r="M40" i="6"/>
  <c r="E45" i="6"/>
  <c r="D65" i="13" s="1"/>
  <c r="M46" i="6"/>
  <c r="O52" i="6"/>
  <c r="K64" i="6"/>
  <c r="O68" i="6"/>
  <c r="T76" i="6"/>
  <c r="L88" i="6"/>
  <c r="T89" i="6"/>
  <c r="T92" i="6"/>
  <c r="N43" i="7"/>
  <c r="N61" i="7"/>
  <c r="M94" i="7"/>
  <c r="H115" i="7"/>
  <c r="G119" i="7"/>
  <c r="I119" i="7" s="1"/>
  <c r="H126" i="7"/>
  <c r="G126" i="7"/>
  <c r="N134" i="7"/>
  <c r="M141" i="7"/>
  <c r="H217" i="7"/>
  <c r="G268" i="7"/>
  <c r="M271" i="7"/>
  <c r="Q277" i="7"/>
  <c r="Q315" i="7"/>
  <c r="M315" i="7"/>
  <c r="H315" i="7"/>
  <c r="L35" i="4"/>
  <c r="R22" i="6"/>
  <c r="L41" i="4"/>
  <c r="L17" i="6"/>
  <c r="Q46" i="6"/>
  <c r="K71" i="6"/>
  <c r="E74" i="6"/>
  <c r="D94" i="13" s="1"/>
  <c r="L80" i="6"/>
  <c r="P81" i="6"/>
  <c r="M88" i="6"/>
  <c r="P91" i="6"/>
  <c r="M95" i="6"/>
  <c r="H17" i="7"/>
  <c r="Q17" i="7"/>
  <c r="H87" i="7"/>
  <c r="G87" i="7"/>
  <c r="G112" i="7"/>
  <c r="Q112" i="7"/>
  <c r="M126" i="7"/>
  <c r="Q217" i="7"/>
  <c r="Q245" i="7"/>
  <c r="N245" i="7"/>
  <c r="G253" i="7"/>
  <c r="Q253" i="7" s="1"/>
  <c r="M253" i="7"/>
  <c r="H253" i="7"/>
  <c r="H268" i="7"/>
  <c r="S330" i="7"/>
  <c r="J330" i="7"/>
  <c r="N5" i="8"/>
  <c r="M227" i="13" s="1"/>
  <c r="P5" i="8"/>
  <c r="O227" i="13" s="1"/>
  <c r="D509" i="13"/>
  <c r="F8" i="10"/>
  <c r="F509" i="13" s="1"/>
  <c r="M219" i="7"/>
  <c r="G111" i="7"/>
  <c r="I111" i="7" s="1"/>
  <c r="K111" i="7" s="1"/>
  <c r="L14" i="4"/>
  <c r="D128" i="13" s="1"/>
  <c r="H105" i="7"/>
  <c r="M14" i="4"/>
  <c r="E128" i="13" s="1"/>
  <c r="P43" i="6"/>
  <c r="Q39" i="7"/>
  <c r="M41" i="4"/>
  <c r="E155" i="13" s="1"/>
  <c r="N95" i="6"/>
  <c r="M17" i="7"/>
  <c r="N33" i="7"/>
  <c r="M33" i="7"/>
  <c r="M68" i="7"/>
  <c r="G68" i="7"/>
  <c r="I75" i="7"/>
  <c r="H75" i="7"/>
  <c r="G75" i="7"/>
  <c r="N91" i="7"/>
  <c r="M91" i="7"/>
  <c r="H91" i="7"/>
  <c r="N300" i="7"/>
  <c r="M300" i="7"/>
  <c r="I300" i="7"/>
  <c r="N204" i="7"/>
  <c r="M40" i="4"/>
  <c r="E154" i="13" s="1"/>
  <c r="G101" i="7"/>
  <c r="Q101" i="7"/>
  <c r="M20" i="4"/>
  <c r="E134" i="13" s="1"/>
  <c r="O88" i="6"/>
  <c r="T88" i="6"/>
  <c r="R19" i="3"/>
  <c r="P85" i="6"/>
  <c r="L60" i="6"/>
  <c r="Q75" i="7"/>
  <c r="G91" i="7"/>
  <c r="I91" i="7" s="1"/>
  <c r="M112" i="7"/>
  <c r="M123" i="7"/>
  <c r="H123" i="7"/>
  <c r="H138" i="7"/>
  <c r="G167" i="7"/>
  <c r="M170" i="7"/>
  <c r="H170" i="7"/>
  <c r="G170" i="7"/>
  <c r="I170" i="7" s="1"/>
  <c r="G242" i="7"/>
  <c r="G265" i="7"/>
  <c r="G300" i="7"/>
  <c r="N40" i="6"/>
  <c r="S40" i="6"/>
  <c r="L88" i="4"/>
  <c r="D202" i="13" s="1"/>
  <c r="H39" i="7"/>
  <c r="G241" i="7"/>
  <c r="H6" i="7"/>
  <c r="K24" i="6"/>
  <c r="P24" i="6"/>
  <c r="K11" i="6"/>
  <c r="P11" i="6"/>
  <c r="L24" i="6"/>
  <c r="Q24" i="6"/>
  <c r="M28" i="6"/>
  <c r="N8" i="6"/>
  <c r="S8" i="6"/>
  <c r="R11" i="3"/>
  <c r="S16" i="3"/>
  <c r="G17" i="13" s="1"/>
  <c r="C19" i="13"/>
  <c r="AD18" i="3"/>
  <c r="L83" i="4"/>
  <c r="N265" i="7" s="1"/>
  <c r="M102" i="4"/>
  <c r="E216" i="13" s="1"/>
  <c r="T9" i="6"/>
  <c r="P12" i="6"/>
  <c r="R17" i="6"/>
  <c r="P21" i="6"/>
  <c r="E23" i="6"/>
  <c r="AC23" i="6" s="1"/>
  <c r="E43" i="13" s="1"/>
  <c r="U44" i="6"/>
  <c r="G64" i="13" s="1"/>
  <c r="E49" i="6"/>
  <c r="D69" i="13" s="1"/>
  <c r="R51" i="6"/>
  <c r="P60" i="6"/>
  <c r="L67" i="6"/>
  <c r="L70" i="6"/>
  <c r="Q70" i="6"/>
  <c r="P80" i="6"/>
  <c r="S81" i="6"/>
  <c r="M84" i="6"/>
  <c r="E93" i="6"/>
  <c r="D113" i="13" s="1"/>
  <c r="O94" i="6"/>
  <c r="J11" i="7"/>
  <c r="G27" i="7"/>
  <c r="H33" i="7"/>
  <c r="M103" i="7"/>
  <c r="H103" i="7"/>
  <c r="G109" i="7"/>
  <c r="Q109" i="7" s="1"/>
  <c r="G123" i="7"/>
  <c r="Q123" i="7" s="1"/>
  <c r="G186" i="7"/>
  <c r="H265" i="7"/>
  <c r="M290" i="7"/>
  <c r="N290" i="7"/>
  <c r="H290" i="7"/>
  <c r="H300" i="7"/>
  <c r="G304" i="7"/>
  <c r="L56" i="4"/>
  <c r="D170" i="13" s="1"/>
  <c r="L29" i="6"/>
  <c r="L58" i="6"/>
  <c r="Q91" i="6"/>
  <c r="L91" i="6"/>
  <c r="G6" i="7"/>
  <c r="AO11" i="11"/>
  <c r="E521" i="13" s="1"/>
  <c r="M89" i="4"/>
  <c r="E203" i="13" s="1"/>
  <c r="L89" i="4"/>
  <c r="T19" i="6"/>
  <c r="M29" i="6"/>
  <c r="H111" i="7"/>
  <c r="H241" i="7"/>
  <c r="O6" i="6"/>
  <c r="L40" i="6"/>
  <c r="M61" i="7"/>
  <c r="H94" i="7"/>
  <c r="Q155" i="7"/>
  <c r="H155" i="7"/>
  <c r="G195" i="7"/>
  <c r="M241" i="7"/>
  <c r="M10" i="4"/>
  <c r="E124" i="13" s="1"/>
  <c r="C162" i="13"/>
  <c r="M48" i="4"/>
  <c r="E162" i="13" s="1"/>
  <c r="N51" i="6"/>
  <c r="E73" i="6"/>
  <c r="R81" i="6"/>
  <c r="L94" i="6"/>
  <c r="G33" i="7"/>
  <c r="V16" i="3"/>
  <c r="W16" i="3" s="1"/>
  <c r="L77" i="4"/>
  <c r="D191" i="13" s="1"/>
  <c r="L95" i="4"/>
  <c r="N314" i="7" s="1"/>
  <c r="S17" i="6"/>
  <c r="N20" i="6"/>
  <c r="S20" i="6"/>
  <c r="O24" i="6"/>
  <c r="T24" i="6"/>
  <c r="K34" i="6"/>
  <c r="P36" i="6"/>
  <c r="E41" i="6"/>
  <c r="D61" i="13" s="1"/>
  <c r="M42" i="6"/>
  <c r="L44" i="6"/>
  <c r="Q44" i="6"/>
  <c r="L53" i="6"/>
  <c r="Q53" i="6"/>
  <c r="P63" i="6"/>
  <c r="O67" i="6"/>
  <c r="M70" i="6"/>
  <c r="R70" i="6"/>
  <c r="R71" i="6"/>
  <c r="O84" i="6"/>
  <c r="P94" i="6"/>
  <c r="N11" i="7"/>
  <c r="M11" i="7"/>
  <c r="H27" i="7"/>
  <c r="Q33" i="7"/>
  <c r="G56" i="7"/>
  <c r="M56" i="7"/>
  <c r="G59" i="7"/>
  <c r="G80" i="7"/>
  <c r="G103" i="7"/>
  <c r="I103" i="7" s="1"/>
  <c r="G142" i="7"/>
  <c r="Q142" i="7" s="1"/>
  <c r="H186" i="7"/>
  <c r="G262" i="7"/>
  <c r="Q262" i="7" s="1"/>
  <c r="G275" i="7"/>
  <c r="G290" i="7"/>
  <c r="I290" i="7" s="1"/>
  <c r="Q300" i="7"/>
  <c r="G320" i="7"/>
  <c r="Q320" i="7" s="1"/>
  <c r="R92" i="6"/>
  <c r="M92" i="6"/>
  <c r="H104" i="7"/>
  <c r="G104" i="7"/>
  <c r="J186" i="7"/>
  <c r="C212" i="13"/>
  <c r="M98" i="4"/>
  <c r="E212" i="13" s="1"/>
  <c r="L98" i="4"/>
  <c r="N281" i="7"/>
  <c r="M281" i="7"/>
  <c r="H281" i="7"/>
  <c r="Q74" i="7"/>
  <c r="G46" i="9" s="1"/>
  <c r="F351" i="13" s="1"/>
  <c r="H74" i="7"/>
  <c r="Q205" i="7"/>
  <c r="M205" i="7"/>
  <c r="K40" i="6"/>
  <c r="S64" i="6"/>
  <c r="N64" i="6"/>
  <c r="E16" i="6"/>
  <c r="D36" i="13" s="1"/>
  <c r="Q76" i="6"/>
  <c r="Q19" i="7"/>
  <c r="Q26" i="7"/>
  <c r="H26" i="7"/>
  <c r="M119" i="7"/>
  <c r="V7" i="3"/>
  <c r="W7" i="3" s="1"/>
  <c r="S18" i="6"/>
  <c r="L28" i="6"/>
  <c r="P29" i="6"/>
  <c r="AC29" i="6" s="1"/>
  <c r="E49" i="13" s="1"/>
  <c r="T40" i="6"/>
  <c r="P11" i="3"/>
  <c r="D12" i="13" s="1"/>
  <c r="R16" i="6"/>
  <c r="M16" i="6"/>
  <c r="L71" i="6"/>
  <c r="K79" i="6"/>
  <c r="M80" i="6"/>
  <c r="L37" i="4"/>
  <c r="D151" i="13" s="1"/>
  <c r="E44" i="6"/>
  <c r="L79" i="6"/>
  <c r="M64" i="7"/>
  <c r="AA6" i="3"/>
  <c r="M38" i="4"/>
  <c r="E152" i="13" s="1"/>
  <c r="L38" i="4"/>
  <c r="D152" i="13" s="1"/>
  <c r="M77" i="4"/>
  <c r="E191" i="13" s="1"/>
  <c r="M95" i="4"/>
  <c r="E209" i="13" s="1"/>
  <c r="P16" i="6"/>
  <c r="T17" i="6"/>
  <c r="C42" i="13"/>
  <c r="E22" i="6"/>
  <c r="D42" i="13" s="1"/>
  <c r="M24" i="6"/>
  <c r="Q36" i="6"/>
  <c r="N42" i="6"/>
  <c r="L45" i="6"/>
  <c r="T51" i="6"/>
  <c r="E55" i="6"/>
  <c r="C81" i="13"/>
  <c r="E61" i="6"/>
  <c r="D81" i="13" s="1"/>
  <c r="S63" i="6"/>
  <c r="S67" i="6"/>
  <c r="S70" i="6"/>
  <c r="N70" i="6"/>
  <c r="N78" i="6"/>
  <c r="S78" i="6"/>
  <c r="P84" i="6"/>
  <c r="E92" i="6"/>
  <c r="R94" i="6"/>
  <c r="G11" i="7"/>
  <c r="Q11" i="7" s="1"/>
  <c r="G18" i="7"/>
  <c r="M27" i="7"/>
  <c r="H56" i="7"/>
  <c r="M59" i="7"/>
  <c r="G69" i="7"/>
  <c r="Q69" i="7" s="1"/>
  <c r="M69" i="7"/>
  <c r="H69" i="7"/>
  <c r="H80" i="7"/>
  <c r="H142" i="7"/>
  <c r="H218" i="7"/>
  <c r="M251" i="7"/>
  <c r="H251" i="7"/>
  <c r="G251" i="7"/>
  <c r="Q251" i="7" s="1"/>
  <c r="G323" i="7"/>
  <c r="Q323" i="7" s="1"/>
  <c r="Q89" i="6"/>
  <c r="L89" i="6"/>
  <c r="M68" i="4"/>
  <c r="E182" i="13" s="1"/>
  <c r="M216" i="7"/>
  <c r="N101" i="7"/>
  <c r="C195" i="13"/>
  <c r="M81" i="4"/>
  <c r="E195" i="13" s="1"/>
  <c r="N71" i="6"/>
  <c r="S71" i="6"/>
  <c r="M43" i="7"/>
  <c r="Q185" i="7"/>
  <c r="H185" i="7"/>
  <c r="P17" i="6"/>
  <c r="T64" i="6"/>
  <c r="AB6" i="3"/>
  <c r="AA16" i="3"/>
  <c r="C142" i="13"/>
  <c r="M28" i="4"/>
  <c r="E142" i="13" s="1"/>
  <c r="M8" i="6"/>
  <c r="L11" i="6"/>
  <c r="Q16" i="6"/>
  <c r="Q50" i="6"/>
  <c r="Q84" i="6"/>
  <c r="H11" i="7"/>
  <c r="Q56" i="7"/>
  <c r="Q59" i="7"/>
  <c r="Q139" i="7"/>
  <c r="M139" i="7"/>
  <c r="M142" i="7"/>
  <c r="N251" i="7"/>
  <c r="G331" i="7"/>
  <c r="Q331" i="7" s="1"/>
  <c r="P16" i="8"/>
  <c r="O238" i="13" s="1"/>
  <c r="O16" i="8"/>
  <c r="N238" i="13" s="1"/>
  <c r="N16" i="8"/>
  <c r="M238" i="13" s="1"/>
  <c r="A423" i="13"/>
  <c r="M349" i="7"/>
  <c r="M21" i="8"/>
  <c r="L243" i="13" s="1"/>
  <c r="M29" i="8"/>
  <c r="L251" i="13" s="1"/>
  <c r="T56" i="6"/>
  <c r="N187" i="7"/>
  <c r="P51" i="6"/>
  <c r="S84" i="6"/>
  <c r="G29" i="7"/>
  <c r="Q29" i="7" s="1"/>
  <c r="G38" i="7"/>
  <c r="G47" i="7"/>
  <c r="G122" i="7"/>
  <c r="Q122" i="7" s="1"/>
  <c r="G127" i="7"/>
  <c r="M134" i="7"/>
  <c r="G137" i="7"/>
  <c r="H240" i="7"/>
  <c r="Q254" i="7"/>
  <c r="G64" i="9" s="1"/>
  <c r="G316" i="7"/>
  <c r="M350" i="7"/>
  <c r="O40" i="9"/>
  <c r="L345" i="13" s="1"/>
  <c r="E13" i="6"/>
  <c r="D33" i="13" s="1"/>
  <c r="E77" i="6"/>
  <c r="D97" i="13" s="1"/>
  <c r="S87" i="6"/>
  <c r="E90" i="6"/>
  <c r="M29" i="7"/>
  <c r="H122" i="7"/>
  <c r="H127" i="7"/>
  <c r="G234" i="7"/>
  <c r="G252" i="7"/>
  <c r="Q252" i="7" s="1"/>
  <c r="G258" i="7"/>
  <c r="G261" i="7"/>
  <c r="I261" i="7" s="1"/>
  <c r="H316" i="7"/>
  <c r="M40" i="8"/>
  <c r="L262" i="13" s="1"/>
  <c r="E7" i="10"/>
  <c r="E508" i="13" s="1"/>
  <c r="AM12" i="11"/>
  <c r="B522" i="13" s="1"/>
  <c r="M316" i="7"/>
  <c r="N40" i="8"/>
  <c r="M262" i="13" s="1"/>
  <c r="F7" i="10"/>
  <c r="F508" i="13" s="1"/>
  <c r="A77" i="10"/>
  <c r="A78" i="10" s="1"/>
  <c r="AN12" i="11"/>
  <c r="D522" i="13" s="1"/>
  <c r="AO12" i="11"/>
  <c r="E522" i="13" s="1"/>
  <c r="N207" i="7"/>
  <c r="F6" i="13"/>
  <c r="AB7" i="11"/>
  <c r="AB10" i="11"/>
  <c r="AB9" i="11"/>
  <c r="AB8" i="11"/>
  <c r="AB5" i="11"/>
  <c r="AB6" i="11"/>
  <c r="X13" i="3"/>
  <c r="Y13" i="3" s="1"/>
  <c r="C18" i="13"/>
  <c r="S17" i="3"/>
  <c r="AD17" i="3"/>
  <c r="X19" i="3"/>
  <c r="D146" i="13"/>
  <c r="N104" i="7"/>
  <c r="N95" i="7"/>
  <c r="P10" i="6"/>
  <c r="K10" i="6"/>
  <c r="S13" i="6"/>
  <c r="N13" i="6"/>
  <c r="Q27" i="6"/>
  <c r="L27" i="6"/>
  <c r="S28" i="6"/>
  <c r="N28" i="6"/>
  <c r="Q52" i="6"/>
  <c r="L52" i="6"/>
  <c r="S75" i="6"/>
  <c r="N75" i="6"/>
  <c r="O82" i="6"/>
  <c r="T82" i="6"/>
  <c r="R90" i="6"/>
  <c r="M90" i="6"/>
  <c r="M8" i="7"/>
  <c r="I8" i="7"/>
  <c r="H8" i="7"/>
  <c r="Q8" i="7"/>
  <c r="G8" i="7"/>
  <c r="N8" i="7"/>
  <c r="S43" i="7"/>
  <c r="I45" i="7"/>
  <c r="J53" i="7"/>
  <c r="J136" i="7"/>
  <c r="Q182" i="7"/>
  <c r="H182" i="7"/>
  <c r="M182" i="7"/>
  <c r="I182" i="7"/>
  <c r="J212" i="7"/>
  <c r="S212" i="7"/>
  <c r="I342" i="7"/>
  <c r="Q41" i="6"/>
  <c r="L41" i="6"/>
  <c r="L18" i="6"/>
  <c r="Q18" i="6"/>
  <c r="H48" i="7"/>
  <c r="M48" i="7"/>
  <c r="G48" i="7"/>
  <c r="Q48" i="7"/>
  <c r="I48" i="7"/>
  <c r="N23" i="6"/>
  <c r="S23" i="6"/>
  <c r="Q39" i="6"/>
  <c r="L39" i="6"/>
  <c r="R68" i="6"/>
  <c r="M68" i="6"/>
  <c r="C98" i="13"/>
  <c r="E78" i="6"/>
  <c r="S24" i="7"/>
  <c r="J24" i="7"/>
  <c r="I36" i="7"/>
  <c r="J91" i="7"/>
  <c r="S91" i="7"/>
  <c r="S151" i="7"/>
  <c r="J151" i="7"/>
  <c r="Q159" i="7"/>
  <c r="I159" i="7"/>
  <c r="G207" i="7"/>
  <c r="M210" i="7"/>
  <c r="G210" i="7"/>
  <c r="Q210" i="7" s="1"/>
  <c r="H210" i="7"/>
  <c r="C23" i="12"/>
  <c r="D92" i="13"/>
  <c r="D107" i="13"/>
  <c r="T9" i="11"/>
  <c r="T6" i="11"/>
  <c r="T10" i="11"/>
  <c r="T5" i="11"/>
  <c r="S5" i="11"/>
  <c r="T7" i="11"/>
  <c r="F41" i="8"/>
  <c r="F263" i="13" s="1"/>
  <c r="F33" i="8"/>
  <c r="F255" i="13" s="1"/>
  <c r="F25" i="8"/>
  <c r="F247" i="13" s="1"/>
  <c r="F17" i="8"/>
  <c r="F239" i="13" s="1"/>
  <c r="F9" i="8"/>
  <c r="F231" i="13" s="1"/>
  <c r="T8" i="11"/>
  <c r="F42" i="8"/>
  <c r="F264" i="13" s="1"/>
  <c r="F34" i="8"/>
  <c r="F256" i="13" s="1"/>
  <c r="F26" i="8"/>
  <c r="F248" i="13" s="1"/>
  <c r="F18" i="8"/>
  <c r="F240" i="13" s="1"/>
  <c r="F10" i="8"/>
  <c r="F232" i="13" s="1"/>
  <c r="S8" i="11"/>
  <c r="F43" i="8"/>
  <c r="F265" i="13" s="1"/>
  <c r="F35" i="8"/>
  <c r="F257" i="13" s="1"/>
  <c r="F27" i="8"/>
  <c r="F249" i="13" s="1"/>
  <c r="F19" i="8"/>
  <c r="F241" i="13" s="1"/>
  <c r="F11" i="8"/>
  <c r="F233" i="13" s="1"/>
  <c r="S7" i="11"/>
  <c r="J348" i="7"/>
  <c r="I347" i="7"/>
  <c r="J334" i="7"/>
  <c r="F37" i="8"/>
  <c r="F259" i="13" s="1"/>
  <c r="I348" i="7"/>
  <c r="J301" i="7"/>
  <c r="J283" i="7"/>
  <c r="J267" i="7"/>
  <c r="F29" i="8"/>
  <c r="F251" i="13" s="1"/>
  <c r="J284" i="7"/>
  <c r="J268" i="7"/>
  <c r="F40" i="8"/>
  <c r="F262" i="13" s="1"/>
  <c r="F21" i="8"/>
  <c r="F243" i="13" s="1"/>
  <c r="F13" i="8"/>
  <c r="F235" i="13" s="1"/>
  <c r="F5" i="8"/>
  <c r="F227" i="13" s="1"/>
  <c r="J349" i="7"/>
  <c r="I284" i="7"/>
  <c r="I268" i="7"/>
  <c r="K17" i="11"/>
  <c r="C526" i="13" s="1"/>
  <c r="S10" i="11"/>
  <c r="F32" i="8"/>
  <c r="F254" i="13" s="1"/>
  <c r="J285" i="7"/>
  <c r="F7" i="8"/>
  <c r="F229" i="13" s="1"/>
  <c r="I253" i="7"/>
  <c r="J238" i="7"/>
  <c r="J170" i="7"/>
  <c r="I154" i="7"/>
  <c r="J121" i="7"/>
  <c r="J311" i="7"/>
  <c r="J234" i="7"/>
  <c r="J216" i="7"/>
  <c r="J122" i="7"/>
  <c r="J332" i="7"/>
  <c r="J291" i="7"/>
  <c r="J260" i="7"/>
  <c r="I234" i="7"/>
  <c r="F31" i="8"/>
  <c r="F253" i="13" s="1"/>
  <c r="F22" i="8"/>
  <c r="F244" i="13" s="1"/>
  <c r="F20" i="8"/>
  <c r="F242" i="13" s="1"/>
  <c r="I332" i="7"/>
  <c r="J327" i="7"/>
  <c r="I291" i="7"/>
  <c r="AE20" i="3" s="1"/>
  <c r="AF20" i="3" s="1"/>
  <c r="F44" i="8"/>
  <c r="F266" i="13" s="1"/>
  <c r="F24" i="8"/>
  <c r="F246" i="13" s="1"/>
  <c r="J346" i="7"/>
  <c r="J298" i="7"/>
  <c r="I273" i="7"/>
  <c r="J242" i="7"/>
  <c r="J218" i="7"/>
  <c r="I217" i="7"/>
  <c r="F38" i="8"/>
  <c r="F260" i="13" s="1"/>
  <c r="F36" i="8"/>
  <c r="F258" i="13" s="1"/>
  <c r="J308" i="7"/>
  <c r="I269" i="7"/>
  <c r="J248" i="7"/>
  <c r="J232" i="7"/>
  <c r="I187" i="7"/>
  <c r="J146" i="7"/>
  <c r="J138" i="7"/>
  <c r="J331" i="7"/>
  <c r="I232" i="7"/>
  <c r="J200" i="7"/>
  <c r="J178" i="7"/>
  <c r="J154" i="7"/>
  <c r="I146" i="7"/>
  <c r="I138" i="7"/>
  <c r="J128" i="7"/>
  <c r="F14" i="8"/>
  <c r="F236" i="13" s="1"/>
  <c r="J300" i="7"/>
  <c r="J297" i="7"/>
  <c r="J264" i="7"/>
  <c r="J262" i="7"/>
  <c r="J251" i="7"/>
  <c r="F23" i="8"/>
  <c r="F245" i="13" s="1"/>
  <c r="F8" i="8"/>
  <c r="F230" i="13" s="1"/>
  <c r="J314" i="7"/>
  <c r="J252" i="7"/>
  <c r="J233" i="7"/>
  <c r="J347" i="7"/>
  <c r="J343" i="7"/>
  <c r="J217" i="7"/>
  <c r="J105" i="7"/>
  <c r="J42" i="7"/>
  <c r="F16" i="8"/>
  <c r="F238" i="13" s="1"/>
  <c r="I345" i="7"/>
  <c r="I324" i="7"/>
  <c r="J265" i="7"/>
  <c r="J253" i="7"/>
  <c r="J326" i="7"/>
  <c r="J294" i="7"/>
  <c r="J282" i="7"/>
  <c r="I265" i="7"/>
  <c r="J201" i="7"/>
  <c r="F39" i="8"/>
  <c r="F261" i="13" s="1"/>
  <c r="F12" i="8"/>
  <c r="F234" i="13" s="1"/>
  <c r="J333" i="7"/>
  <c r="I317" i="7"/>
  <c r="I281" i="7"/>
  <c r="I243" i="7"/>
  <c r="J324" i="7"/>
  <c r="J316" i="7"/>
  <c r="J219" i="7"/>
  <c r="I101" i="7"/>
  <c r="J98" i="7"/>
  <c r="J70" i="7"/>
  <c r="I31" i="7"/>
  <c r="I17" i="7"/>
  <c r="I316" i="7"/>
  <c r="I285" i="7"/>
  <c r="J228" i="7"/>
  <c r="I63" i="7"/>
  <c r="J18" i="7"/>
  <c r="J345" i="7"/>
  <c r="J340" i="7"/>
  <c r="I294" i="7"/>
  <c r="I228" i="7"/>
  <c r="J180" i="7"/>
  <c r="J82" i="7"/>
  <c r="J74" i="7"/>
  <c r="J55" i="7"/>
  <c r="J153" i="7"/>
  <c r="J147" i="7"/>
  <c r="J137" i="7"/>
  <c r="J107" i="7"/>
  <c r="J104" i="7"/>
  <c r="J323" i="7"/>
  <c r="J266" i="7"/>
  <c r="I259" i="7"/>
  <c r="J235" i="7"/>
  <c r="J202" i="7"/>
  <c r="J194" i="7"/>
  <c r="J168" i="7"/>
  <c r="J281" i="7"/>
  <c r="I224" i="7"/>
  <c r="I214" i="7"/>
  <c r="J129" i="7"/>
  <c r="I117" i="7"/>
  <c r="I87" i="7"/>
  <c r="J61" i="7"/>
  <c r="I49" i="7"/>
  <c r="J44" i="7"/>
  <c r="I28" i="7"/>
  <c r="J17" i="7"/>
  <c r="I14" i="7"/>
  <c r="V15" i="3"/>
  <c r="V12" i="3"/>
  <c r="X9" i="3"/>
  <c r="Y9" i="3" s="1"/>
  <c r="J213" i="7"/>
  <c r="I108" i="7"/>
  <c r="J313" i="7"/>
  <c r="I203" i="7"/>
  <c r="J226" i="7"/>
  <c r="J152" i="7"/>
  <c r="J103" i="7"/>
  <c r="I76" i="7"/>
  <c r="V18" i="3"/>
  <c r="W18" i="3" s="1"/>
  <c r="I208" i="7"/>
  <c r="I137" i="7"/>
  <c r="J21" i="7"/>
  <c r="I167" i="7"/>
  <c r="J145" i="7"/>
  <c r="I298" i="7"/>
  <c r="J277" i="7"/>
  <c r="J328" i="7"/>
  <c r="J317" i="7"/>
  <c r="J185" i="7"/>
  <c r="I323" i="7"/>
  <c r="I247" i="7"/>
  <c r="J184" i="7"/>
  <c r="I165" i="7"/>
  <c r="I34" i="7"/>
  <c r="J169" i="7"/>
  <c r="I114" i="7"/>
  <c r="F28" i="8"/>
  <c r="F250" i="13" s="1"/>
  <c r="I326" i="7"/>
  <c r="J231" i="7"/>
  <c r="J211" i="7"/>
  <c r="J163" i="7"/>
  <c r="J125" i="7"/>
  <c r="J81" i="7"/>
  <c r="J54" i="7"/>
  <c r="I7" i="7"/>
  <c r="I218" i="7"/>
  <c r="J167" i="7"/>
  <c r="J114" i="7"/>
  <c r="J93" i="7"/>
  <c r="I26" i="7"/>
  <c r="J197" i="7"/>
  <c r="J141" i="7"/>
  <c r="X5" i="3"/>
  <c r="Y5" i="3" s="1"/>
  <c r="J118" i="7"/>
  <c r="I306" i="7"/>
  <c r="I231" i="7"/>
  <c r="I202" i="7"/>
  <c r="J165" i="7"/>
  <c r="I127" i="7"/>
  <c r="I81" i="7"/>
  <c r="J67" i="7"/>
  <c r="J62" i="7"/>
  <c r="J34" i="7"/>
  <c r="J26" i="7"/>
  <c r="F15" i="8"/>
  <c r="F237" i="13" s="1"/>
  <c r="J259" i="7"/>
  <c r="J250" i="7"/>
  <c r="J108" i="7"/>
  <c r="I95" i="7"/>
  <c r="J88" i="7"/>
  <c r="I145" i="7"/>
  <c r="J106" i="7"/>
  <c r="F30" i="8"/>
  <c r="F252" i="13" s="1"/>
  <c r="I346" i="7"/>
  <c r="I277" i="7"/>
  <c r="J203" i="7"/>
  <c r="J149" i="7"/>
  <c r="I106" i="7"/>
  <c r="J48" i="7"/>
  <c r="F6" i="8"/>
  <c r="F228" i="13" s="1"/>
  <c r="I315" i="7"/>
  <c r="J299" i="7"/>
  <c r="J187" i="7"/>
  <c r="I168" i="7"/>
  <c r="I148" i="7"/>
  <c r="I134" i="7"/>
  <c r="J94" i="7"/>
  <c r="J90" i="7"/>
  <c r="J87" i="7"/>
  <c r="J71" i="7"/>
  <c r="J46" i="7"/>
  <c r="I38" i="7"/>
  <c r="I25" i="7"/>
  <c r="J14" i="7"/>
  <c r="J9" i="7"/>
  <c r="X18" i="3"/>
  <c r="N52" i="6"/>
  <c r="S52" i="6"/>
  <c r="C188" i="13"/>
  <c r="M235" i="7"/>
  <c r="M236" i="7"/>
  <c r="M244" i="7"/>
  <c r="L74" i="4"/>
  <c r="M74" i="4"/>
  <c r="E188" i="13" s="1"/>
  <c r="Q72" i="6"/>
  <c r="L72" i="6"/>
  <c r="I68" i="7"/>
  <c r="M218" i="7"/>
  <c r="C184" i="13"/>
  <c r="M84" i="7"/>
  <c r="H84" i="7"/>
  <c r="G84" i="7"/>
  <c r="Q84" i="7"/>
  <c r="G47" i="9" s="1"/>
  <c r="F352" i="13" s="1"/>
  <c r="I84" i="7"/>
  <c r="S29" i="7"/>
  <c r="J29" i="7"/>
  <c r="J207" i="7"/>
  <c r="S207" i="7"/>
  <c r="M23" i="6"/>
  <c r="R23" i="6"/>
  <c r="Q68" i="6"/>
  <c r="L68" i="6"/>
  <c r="V10" i="3"/>
  <c r="C129" i="13"/>
  <c r="L15" i="4"/>
  <c r="M37" i="7"/>
  <c r="M15" i="4"/>
  <c r="E129" i="13" s="1"/>
  <c r="C19" i="12"/>
  <c r="C21" i="12"/>
  <c r="K5" i="6"/>
  <c r="P5" i="6"/>
  <c r="L21" i="6"/>
  <c r="Q21" i="6"/>
  <c r="U29" i="6"/>
  <c r="E35" i="6"/>
  <c r="C73" i="13"/>
  <c r="E53" i="6"/>
  <c r="L63" i="6"/>
  <c r="Q63" i="6"/>
  <c r="N68" i="6"/>
  <c r="S68" i="6"/>
  <c r="S15" i="7"/>
  <c r="I15" i="7"/>
  <c r="J15" i="7"/>
  <c r="J57" i="7"/>
  <c r="S57" i="7"/>
  <c r="N151" i="7"/>
  <c r="M151" i="7"/>
  <c r="H151" i="7"/>
  <c r="S177" i="7"/>
  <c r="J177" i="7"/>
  <c r="H319" i="7"/>
  <c r="G319" i="7"/>
  <c r="I319" i="7" s="1"/>
  <c r="Q319" i="7"/>
  <c r="N319" i="7"/>
  <c r="M319" i="7"/>
  <c r="R8" i="3"/>
  <c r="F9" i="13" s="1"/>
  <c r="C139" i="13"/>
  <c r="M25" i="4"/>
  <c r="E139" i="13" s="1"/>
  <c r="C149" i="13"/>
  <c r="M106" i="7"/>
  <c r="L90" i="4"/>
  <c r="D204" i="13" s="1"/>
  <c r="L5" i="6"/>
  <c r="Q5" i="6"/>
  <c r="E37" i="6"/>
  <c r="M63" i="6"/>
  <c r="R63" i="6"/>
  <c r="K78" i="6"/>
  <c r="P78" i="6"/>
  <c r="Q83" i="6"/>
  <c r="L83" i="6"/>
  <c r="S86" i="6"/>
  <c r="N86" i="6"/>
  <c r="S10" i="7"/>
  <c r="J10" i="7"/>
  <c r="S37" i="7"/>
  <c r="J37" i="7"/>
  <c r="S72" i="7"/>
  <c r="J72" i="7"/>
  <c r="J96" i="7"/>
  <c r="S96" i="7"/>
  <c r="J124" i="7"/>
  <c r="J132" i="7"/>
  <c r="G151" i="7"/>
  <c r="Q151" i="7" s="1"/>
  <c r="M177" i="7"/>
  <c r="Q177" i="7"/>
  <c r="I177" i="7"/>
  <c r="H177" i="7"/>
  <c r="G177" i="7"/>
  <c r="I196" i="7"/>
  <c r="F364" i="13"/>
  <c r="H59" i="9"/>
  <c r="G364" i="13" s="1"/>
  <c r="I307" i="7"/>
  <c r="T31" i="6"/>
  <c r="O31" i="6"/>
  <c r="T75" i="6"/>
  <c r="O75" i="6"/>
  <c r="S65" i="7"/>
  <c r="J65" i="7"/>
  <c r="M98" i="7"/>
  <c r="Q98" i="7"/>
  <c r="N98" i="7"/>
  <c r="I98" i="7"/>
  <c r="H98" i="7"/>
  <c r="G98" i="7"/>
  <c r="C217" i="13"/>
  <c r="L103" i="4"/>
  <c r="M328" i="7"/>
  <c r="N43" i="6"/>
  <c r="S43" i="6"/>
  <c r="P57" i="6"/>
  <c r="K57" i="6"/>
  <c r="C156" i="13"/>
  <c r="M127" i="7"/>
  <c r="S10" i="6"/>
  <c r="V10" i="6" s="1"/>
  <c r="N10" i="6"/>
  <c r="Q57" i="6"/>
  <c r="L57" i="6"/>
  <c r="V5" i="3"/>
  <c r="C218" i="13"/>
  <c r="M104" i="4"/>
  <c r="E218" i="13" s="1"/>
  <c r="L104" i="4"/>
  <c r="D218" i="13" s="1"/>
  <c r="M336" i="7"/>
  <c r="J79" i="7"/>
  <c r="Q23" i="6"/>
  <c r="L23" i="6"/>
  <c r="E39" i="6"/>
  <c r="C83" i="13"/>
  <c r="E63" i="6"/>
  <c r="S210" i="7"/>
  <c r="J210" i="7"/>
  <c r="C125" i="13"/>
  <c r="M26" i="7"/>
  <c r="L52" i="4"/>
  <c r="D166" i="13" s="1"/>
  <c r="C153" i="13"/>
  <c r="L39" i="4"/>
  <c r="D153" i="13" s="1"/>
  <c r="M39" i="4"/>
  <c r="E153" i="13" s="1"/>
  <c r="C181" i="13"/>
  <c r="L67" i="4"/>
  <c r="M67" i="4"/>
  <c r="E181" i="13" s="1"/>
  <c r="C205" i="13"/>
  <c r="M288" i="7"/>
  <c r="M91" i="4"/>
  <c r="E205" i="13" s="1"/>
  <c r="L91" i="4"/>
  <c r="C223" i="13"/>
  <c r="M348" i="7"/>
  <c r="S5" i="6"/>
  <c r="N5" i="6"/>
  <c r="C35" i="13"/>
  <c r="E15" i="6"/>
  <c r="O21" i="6"/>
  <c r="T21" i="6"/>
  <c r="S65" i="6"/>
  <c r="N65" i="6"/>
  <c r="N80" i="6"/>
  <c r="S80" i="6"/>
  <c r="K93" i="6"/>
  <c r="P93" i="6"/>
  <c r="J77" i="7"/>
  <c r="S77" i="7"/>
  <c r="I80" i="7"/>
  <c r="Q86" i="7"/>
  <c r="M86" i="7"/>
  <c r="I86" i="7"/>
  <c r="H86" i="7"/>
  <c r="J89" i="7"/>
  <c r="I89" i="7"/>
  <c r="S89" i="7"/>
  <c r="I96" i="7"/>
  <c r="Q102" i="7"/>
  <c r="M102" i="7"/>
  <c r="I102" i="7"/>
  <c r="H102" i="7"/>
  <c r="G118" i="7"/>
  <c r="J130" i="7"/>
  <c r="S130" i="7"/>
  <c r="S140" i="7"/>
  <c r="J140" i="7"/>
  <c r="J148" i="7"/>
  <c r="I194" i="7"/>
  <c r="J243" i="7"/>
  <c r="C173" i="13"/>
  <c r="M59" i="4"/>
  <c r="E173" i="13" s="1"/>
  <c r="L59" i="4"/>
  <c r="M185" i="7"/>
  <c r="M186" i="7"/>
  <c r="R27" i="6"/>
  <c r="M27" i="6"/>
  <c r="R43" i="6"/>
  <c r="M43" i="6"/>
  <c r="D89" i="13"/>
  <c r="N35" i="7"/>
  <c r="I35" i="7"/>
  <c r="H35" i="7"/>
  <c r="Q35" i="7"/>
  <c r="F12" i="13"/>
  <c r="E44" i="9"/>
  <c r="D349" i="13" s="1"/>
  <c r="S45" i="6"/>
  <c r="N45" i="6"/>
  <c r="J113" i="7"/>
  <c r="D142" i="13"/>
  <c r="N78" i="7"/>
  <c r="T10" i="6"/>
  <c r="O10" i="6"/>
  <c r="Y10" i="11"/>
  <c r="Y7" i="11"/>
  <c r="Y9" i="11"/>
  <c r="Y8" i="11"/>
  <c r="Y5" i="11"/>
  <c r="Y6" i="11"/>
  <c r="AE10" i="3"/>
  <c r="AF10" i="3" s="1"/>
  <c r="M25" i="6"/>
  <c r="R25" i="6"/>
  <c r="I33" i="7"/>
  <c r="C27" i="12"/>
  <c r="M7" i="6"/>
  <c r="R7" i="6"/>
  <c r="K39" i="6"/>
  <c r="P39" i="6"/>
  <c r="J19" i="7"/>
  <c r="S19" i="7"/>
  <c r="I19" i="7"/>
  <c r="AE8" i="11"/>
  <c r="AE5" i="11"/>
  <c r="AE10" i="11"/>
  <c r="AE9" i="11"/>
  <c r="AE6" i="11"/>
  <c r="AE7" i="11"/>
  <c r="X16" i="3"/>
  <c r="D139" i="13"/>
  <c r="N68" i="7"/>
  <c r="G21" i="13"/>
  <c r="F33" i="9"/>
  <c r="L12" i="3"/>
  <c r="AC12" i="3" s="1"/>
  <c r="M21" i="4"/>
  <c r="E135" i="13" s="1"/>
  <c r="D223" i="13"/>
  <c r="N348" i="7"/>
  <c r="R60" i="6"/>
  <c r="M60" i="6"/>
  <c r="J80" i="7"/>
  <c r="I107" i="7"/>
  <c r="M130" i="7"/>
  <c r="H130" i="7"/>
  <c r="G130" i="7"/>
  <c r="Q130" i="7" s="1"/>
  <c r="M148" i="7"/>
  <c r="J261" i="7"/>
  <c r="S261" i="7"/>
  <c r="D164" i="13"/>
  <c r="N155" i="7"/>
  <c r="T13" i="6"/>
  <c r="O13" i="6"/>
  <c r="M179" i="7"/>
  <c r="C119" i="13"/>
  <c r="M5" i="4"/>
  <c r="E119" i="13" s="1"/>
  <c r="M5" i="7"/>
  <c r="S16" i="6"/>
  <c r="N16" i="6"/>
  <c r="P72" i="6"/>
  <c r="K72" i="6"/>
  <c r="P87" i="6"/>
  <c r="K87" i="6"/>
  <c r="J16" i="7"/>
  <c r="I256" i="7"/>
  <c r="N256" i="7"/>
  <c r="M256" i="7"/>
  <c r="Q256" i="7"/>
  <c r="H256" i="7"/>
  <c r="G256" i="7"/>
  <c r="D38" i="13"/>
  <c r="T43" i="6"/>
  <c r="O43" i="6"/>
  <c r="V11" i="3"/>
  <c r="K18" i="6"/>
  <c r="P18" i="6"/>
  <c r="R57" i="6"/>
  <c r="M57" i="6"/>
  <c r="J43" i="7"/>
  <c r="S162" i="7"/>
  <c r="J162" i="7"/>
  <c r="M42" i="4"/>
  <c r="E156" i="13" s="1"/>
  <c r="L70" i="4"/>
  <c r="M41" i="6"/>
  <c r="R41" i="6"/>
  <c r="N49" i="6"/>
  <c r="K310" i="13"/>
  <c r="M70" i="4"/>
  <c r="E184" i="13" s="1"/>
  <c r="J66" i="7"/>
  <c r="M176" i="7"/>
  <c r="Q176" i="7"/>
  <c r="I176" i="7"/>
  <c r="H176" i="7"/>
  <c r="G176" i="7"/>
  <c r="I186" i="7"/>
  <c r="C7" i="13"/>
  <c r="R6" i="3"/>
  <c r="F7" i="13" s="1"/>
  <c r="X15" i="3"/>
  <c r="R20" i="3"/>
  <c r="C68" i="13"/>
  <c r="E48" i="6"/>
  <c r="C78" i="13"/>
  <c r="E58" i="6"/>
  <c r="Q118" i="7"/>
  <c r="M118" i="7"/>
  <c r="I118" i="7"/>
  <c r="I174" i="7"/>
  <c r="H174" i="7"/>
  <c r="Q174" i="7"/>
  <c r="G56" i="9" s="1"/>
  <c r="F361" i="13" s="1"/>
  <c r="M174" i="7"/>
  <c r="J196" i="7"/>
  <c r="P6" i="3"/>
  <c r="D7" i="13" s="1"/>
  <c r="W6" i="11"/>
  <c r="W10" i="11"/>
  <c r="W9" i="11"/>
  <c r="W5" i="11"/>
  <c r="W8" i="11"/>
  <c r="X8" i="3"/>
  <c r="Y8" i="3" s="1"/>
  <c r="V8" i="3"/>
  <c r="W7" i="11"/>
  <c r="AA9" i="3"/>
  <c r="L21" i="4"/>
  <c r="D135" i="13" s="1"/>
  <c r="AB9" i="3"/>
  <c r="C206" i="13"/>
  <c r="M92" i="4"/>
  <c r="E206" i="13" s="1"/>
  <c r="M295" i="7"/>
  <c r="L92" i="4"/>
  <c r="M304" i="7"/>
  <c r="C50" i="13"/>
  <c r="E30" i="6"/>
  <c r="M53" i="6"/>
  <c r="R53" i="6"/>
  <c r="T65" i="6"/>
  <c r="O65" i="6"/>
  <c r="T95" i="6"/>
  <c r="O95" i="6"/>
  <c r="AA15" i="3"/>
  <c r="C122" i="13"/>
  <c r="M15" i="7"/>
  <c r="L49" i="4"/>
  <c r="M84" i="4"/>
  <c r="E198" i="13" s="1"/>
  <c r="M109" i="4"/>
  <c r="E223" i="13" s="1"/>
  <c r="C47" i="13"/>
  <c r="E27" i="6"/>
  <c r="S60" i="6"/>
  <c r="N60" i="6"/>
  <c r="P75" i="6"/>
  <c r="K75" i="6"/>
  <c r="D110" i="13"/>
  <c r="J25" i="7"/>
  <c r="J30" i="7"/>
  <c r="J32" i="7"/>
  <c r="I37" i="7"/>
  <c r="S45" i="7"/>
  <c r="J45" i="7"/>
  <c r="S60" i="7"/>
  <c r="J60" i="7"/>
  <c r="J75" i="7"/>
  <c r="S75" i="7"/>
  <c r="J164" i="7"/>
  <c r="S164" i="7"/>
  <c r="J227" i="7"/>
  <c r="S227" i="7"/>
  <c r="M230" i="7"/>
  <c r="H230" i="7"/>
  <c r="G230" i="7"/>
  <c r="I230" i="7" s="1"/>
  <c r="I258" i="7"/>
  <c r="AE19" i="3" s="1"/>
  <c r="AF19" i="3" s="1"/>
  <c r="J315" i="7"/>
  <c r="C132" i="13"/>
  <c r="M18" i="4"/>
  <c r="E132" i="13" s="1"/>
  <c r="M47" i="7"/>
  <c r="O28" i="6"/>
  <c r="T28" i="6"/>
  <c r="U28" i="6" s="1"/>
  <c r="M45" i="6"/>
  <c r="R45" i="6"/>
  <c r="D77" i="13"/>
  <c r="S239" i="7"/>
  <c r="J239" i="7"/>
  <c r="L18" i="4"/>
  <c r="M10" i="6"/>
  <c r="R10" i="6"/>
  <c r="O49" i="6"/>
  <c r="T49" i="6"/>
  <c r="S40" i="7"/>
  <c r="J40" i="7"/>
  <c r="G179" i="7"/>
  <c r="I179" i="7" s="1"/>
  <c r="J279" i="7"/>
  <c r="J336" i="7"/>
  <c r="S336" i="7"/>
  <c r="K33" i="6"/>
  <c r="P33" i="6"/>
  <c r="P41" i="6"/>
  <c r="K41" i="6"/>
  <c r="J84" i="7"/>
  <c r="S84" i="7"/>
  <c r="F9" i="9"/>
  <c r="G11" i="13"/>
  <c r="L25" i="6"/>
  <c r="Q25" i="6"/>
  <c r="C74" i="13"/>
  <c r="E54" i="6"/>
  <c r="M35" i="7"/>
  <c r="J68" i="7"/>
  <c r="J119" i="7"/>
  <c r="J310" i="13"/>
  <c r="O5" i="9"/>
  <c r="L310" i="13" s="1"/>
  <c r="O8" i="6"/>
  <c r="T8" i="6"/>
  <c r="C86" i="13"/>
  <c r="E66" i="6"/>
  <c r="M162" i="7"/>
  <c r="H162" i="7"/>
  <c r="G162" i="7"/>
  <c r="I162" i="7" s="1"/>
  <c r="I207" i="7"/>
  <c r="Q207" i="7"/>
  <c r="M207" i="7"/>
  <c r="H207" i="7"/>
  <c r="C28" i="12"/>
  <c r="P8" i="3"/>
  <c r="D9" i="13" s="1"/>
  <c r="C15" i="13"/>
  <c r="S14" i="3"/>
  <c r="P20" i="3"/>
  <c r="D21" i="13" s="1"/>
  <c r="M52" i="4"/>
  <c r="E166" i="13" s="1"/>
  <c r="D149" i="13"/>
  <c r="N106" i="7"/>
  <c r="R5" i="6"/>
  <c r="M5" i="6"/>
  <c r="C70" i="13"/>
  <c r="E50" i="6"/>
  <c r="O86" i="6"/>
  <c r="T86" i="6"/>
  <c r="M10" i="7"/>
  <c r="G10" i="7"/>
  <c r="Q10" i="7" s="1"/>
  <c r="H10" i="7"/>
  <c r="H72" i="7"/>
  <c r="Q72" i="7"/>
  <c r="N72" i="7"/>
  <c r="M72" i="7"/>
  <c r="I72" i="7"/>
  <c r="J86" i="7"/>
  <c r="S86" i="7"/>
  <c r="S102" i="7"/>
  <c r="J102" i="7"/>
  <c r="J350" i="7"/>
  <c r="X14" i="3"/>
  <c r="AH5" i="11"/>
  <c r="AH9" i="11"/>
  <c r="AH8" i="11"/>
  <c r="AH7" i="11"/>
  <c r="AH6" i="11"/>
  <c r="AH10" i="11"/>
  <c r="L84" i="4"/>
  <c r="D198" i="13" s="1"/>
  <c r="O5" i="6"/>
  <c r="T5" i="6"/>
  <c r="X6" i="3"/>
  <c r="Y6" i="3" s="1"/>
  <c r="AB15" i="3"/>
  <c r="V19" i="3"/>
  <c r="D122" i="13"/>
  <c r="N15" i="7"/>
  <c r="M49" i="4"/>
  <c r="E163" i="13" s="1"/>
  <c r="C193" i="13"/>
  <c r="M248" i="7"/>
  <c r="C199" i="13"/>
  <c r="M268" i="7"/>
  <c r="M85" i="4"/>
  <c r="E199" i="13" s="1"/>
  <c r="Q12" i="6"/>
  <c r="L12" i="6"/>
  <c r="L15" i="6"/>
  <c r="Q15" i="6"/>
  <c r="P30" i="6"/>
  <c r="K30" i="6"/>
  <c r="C52" i="13"/>
  <c r="E32" i="6"/>
  <c r="O38" i="6"/>
  <c r="T47" i="6"/>
  <c r="O47" i="6"/>
  <c r="O60" i="6"/>
  <c r="T60" i="6"/>
  <c r="Q75" i="6"/>
  <c r="L75" i="6"/>
  <c r="P90" i="6"/>
  <c r="K90" i="6"/>
  <c r="S13" i="7"/>
  <c r="J13" i="7"/>
  <c r="H45" i="7"/>
  <c r="M45" i="7"/>
  <c r="Q45" i="7"/>
  <c r="I58" i="7"/>
  <c r="G60" i="7"/>
  <c r="Q60" i="7" s="1"/>
  <c r="M60" i="7"/>
  <c r="Q164" i="7"/>
  <c r="G55" i="9" s="1"/>
  <c r="F360" i="13" s="1"/>
  <c r="I164" i="7"/>
  <c r="G164" i="7"/>
  <c r="N164" i="7"/>
  <c r="M164" i="7"/>
  <c r="H164" i="7"/>
  <c r="I185" i="7"/>
  <c r="I215" i="7"/>
  <c r="J258" i="7"/>
  <c r="I287" i="7"/>
  <c r="H287" i="7"/>
  <c r="G287" i="7"/>
  <c r="Q287" i="7"/>
  <c r="M287" i="7"/>
  <c r="F5" i="9"/>
  <c r="G6" i="13"/>
  <c r="N309" i="7"/>
  <c r="M309" i="7"/>
  <c r="H309" i="7"/>
  <c r="G309" i="7"/>
  <c r="Q309" i="7" s="1"/>
  <c r="X12" i="3"/>
  <c r="Y12" i="3" s="1"/>
  <c r="L15" i="3"/>
  <c r="E26" i="9"/>
  <c r="D331" i="13" s="1"/>
  <c r="F18" i="13"/>
  <c r="L5" i="4"/>
  <c r="M103" i="4"/>
  <c r="E217" i="13" s="1"/>
  <c r="J38" i="7"/>
  <c r="H179" i="7"/>
  <c r="J225" i="7"/>
  <c r="L42" i="4"/>
  <c r="K7" i="6"/>
  <c r="P7" i="6"/>
  <c r="M52" i="6"/>
  <c r="Q7" i="6"/>
  <c r="L7" i="6"/>
  <c r="C40" i="13"/>
  <c r="E20" i="6"/>
  <c r="S25" i="6"/>
  <c r="N25" i="6"/>
  <c r="C180" i="13"/>
  <c r="M66" i="4"/>
  <c r="E180" i="13" s="1"/>
  <c r="L11" i="4"/>
  <c r="D125" i="13" s="1"/>
  <c r="C167" i="13"/>
  <c r="L53" i="4"/>
  <c r="D167" i="13" s="1"/>
  <c r="M53" i="4"/>
  <c r="E167" i="13" s="1"/>
  <c r="M90" i="4"/>
  <c r="E204" i="13" s="1"/>
  <c r="N21" i="6"/>
  <c r="S21" i="6"/>
  <c r="U21" i="6" s="1"/>
  <c r="X7" i="3"/>
  <c r="Y7" i="3" s="1"/>
  <c r="AD14" i="3"/>
  <c r="C30" i="12" s="1"/>
  <c r="C146" i="13"/>
  <c r="M96" i="7"/>
  <c r="M32" i="4"/>
  <c r="E146" i="13" s="1"/>
  <c r="M95" i="7"/>
  <c r="C177" i="13"/>
  <c r="L63" i="4"/>
  <c r="M197" i="7"/>
  <c r="D199" i="13"/>
  <c r="N268" i="7"/>
  <c r="M13" i="6"/>
  <c r="R13" i="6"/>
  <c r="R15" i="6"/>
  <c r="M15" i="6"/>
  <c r="P27" i="6"/>
  <c r="K27" i="6"/>
  <c r="Q30" i="6"/>
  <c r="L30" i="6"/>
  <c r="M36" i="6"/>
  <c r="K45" i="6"/>
  <c r="P45" i="6"/>
  <c r="R75" i="6"/>
  <c r="M75" i="6"/>
  <c r="O85" i="6"/>
  <c r="T85" i="6"/>
  <c r="Q90" i="6"/>
  <c r="L90" i="6"/>
  <c r="J8" i="7"/>
  <c r="Q13" i="7"/>
  <c r="N13" i="7"/>
  <c r="M13" i="7"/>
  <c r="H13" i="7"/>
  <c r="I13" i="7"/>
  <c r="G16" i="7"/>
  <c r="N16" i="7"/>
  <c r="Q16" i="7"/>
  <c r="M16" i="7"/>
  <c r="J20" i="7"/>
  <c r="S50" i="7"/>
  <c r="J50" i="7"/>
  <c r="J58" i="7"/>
  <c r="J100" i="7"/>
  <c r="I121" i="7"/>
  <c r="I136" i="7"/>
  <c r="F372" i="13"/>
  <c r="H67" i="9"/>
  <c r="G372" i="13" s="1"/>
  <c r="F30" i="9"/>
  <c r="G20" i="13"/>
  <c r="C145" i="13"/>
  <c r="L31" i="4"/>
  <c r="D145" i="13" s="1"/>
  <c r="C152" i="13"/>
  <c r="M124" i="7"/>
  <c r="D169" i="13"/>
  <c r="N168" i="7"/>
  <c r="C187" i="13"/>
  <c r="M228" i="7"/>
  <c r="C210" i="13"/>
  <c r="M96" i="4"/>
  <c r="E210" i="13" s="1"/>
  <c r="D222" i="13"/>
  <c r="N347" i="7"/>
  <c r="Q9" i="6"/>
  <c r="T15" i="6"/>
  <c r="T18" i="6"/>
  <c r="Q20" i="6"/>
  <c r="Q22" i="6"/>
  <c r="Q35" i="6"/>
  <c r="P46" i="6"/>
  <c r="K52" i="6"/>
  <c r="P52" i="6"/>
  <c r="R58" i="6"/>
  <c r="P61" i="6"/>
  <c r="Q66" i="6"/>
  <c r="C100" i="13"/>
  <c r="E80" i="6"/>
  <c r="L82" i="6"/>
  <c r="Q82" i="6"/>
  <c r="R85" i="6"/>
  <c r="M85" i="6"/>
  <c r="H20" i="7"/>
  <c r="G20" i="7"/>
  <c r="I20" i="7" s="1"/>
  <c r="I30" i="7"/>
  <c r="H30" i="7"/>
  <c r="Q30" i="7"/>
  <c r="J51" i="7"/>
  <c r="G53" i="7"/>
  <c r="I53" i="7" s="1"/>
  <c r="N53" i="7"/>
  <c r="I64" i="7"/>
  <c r="H64" i="7"/>
  <c r="Q64" i="7"/>
  <c r="G45" i="9" s="1"/>
  <c r="F350" i="13" s="1"/>
  <c r="G64" i="7"/>
  <c r="H68" i="7"/>
  <c r="Q68" i="7"/>
  <c r="M76" i="7"/>
  <c r="Q111" i="7"/>
  <c r="M111" i="7"/>
  <c r="M113" i="7"/>
  <c r="I113" i="7"/>
  <c r="H113" i="7"/>
  <c r="N115" i="7"/>
  <c r="G115" i="7"/>
  <c r="Q115" i="7"/>
  <c r="I115" i="7"/>
  <c r="I126" i="7"/>
  <c r="Q126" i="7"/>
  <c r="Q144" i="7"/>
  <c r="G53" i="9" s="1"/>
  <c r="F358" i="13" s="1"/>
  <c r="N144" i="7"/>
  <c r="I144" i="7"/>
  <c r="H144" i="7"/>
  <c r="G144" i="7"/>
  <c r="J156" i="7"/>
  <c r="S156" i="7"/>
  <c r="N161" i="7"/>
  <c r="M161" i="7"/>
  <c r="G161" i="7"/>
  <c r="Q161" i="7" s="1"/>
  <c r="J179" i="7"/>
  <c r="S179" i="7"/>
  <c r="H189" i="7"/>
  <c r="G189" i="7"/>
  <c r="Q189" i="7" s="1"/>
  <c r="N194" i="7"/>
  <c r="M194" i="7"/>
  <c r="Q194" i="7"/>
  <c r="G58" i="9" s="1"/>
  <c r="F363" i="13" s="1"/>
  <c r="Q196" i="7"/>
  <c r="N196" i="7"/>
  <c r="M196" i="7"/>
  <c r="H196" i="7"/>
  <c r="I209" i="7"/>
  <c r="M263" i="7"/>
  <c r="S271" i="7"/>
  <c r="J271" i="7"/>
  <c r="T30" i="6"/>
  <c r="O30" i="6"/>
  <c r="O53" i="6"/>
  <c r="T53" i="6"/>
  <c r="P54" i="6"/>
  <c r="K54" i="6"/>
  <c r="O57" i="6"/>
  <c r="T57" i="6"/>
  <c r="N72" i="6"/>
  <c r="S72" i="6"/>
  <c r="M87" i="6"/>
  <c r="R87" i="6"/>
  <c r="T90" i="6"/>
  <c r="O90" i="6"/>
  <c r="I5" i="7"/>
  <c r="H5" i="7"/>
  <c r="Q5" i="7"/>
  <c r="G24" i="7"/>
  <c r="G42" i="7"/>
  <c r="I42" i="7" s="1"/>
  <c r="G50" i="7"/>
  <c r="Q50" i="7" s="1"/>
  <c r="S51" i="7"/>
  <c r="G55" i="7"/>
  <c r="G57" i="7"/>
  <c r="J99" i="7"/>
  <c r="S112" i="7"/>
  <c r="J112" i="7"/>
  <c r="S131" i="7"/>
  <c r="J131" i="7"/>
  <c r="H133" i="7"/>
  <c r="G133" i="7"/>
  <c r="I133" i="7" s="1"/>
  <c r="J155" i="7"/>
  <c r="I155" i="7"/>
  <c r="N325" i="7"/>
  <c r="M325" i="7"/>
  <c r="I325" i="7"/>
  <c r="H325" i="7"/>
  <c r="G325" i="7"/>
  <c r="Q325" i="7"/>
  <c r="P25" i="8"/>
  <c r="O247" i="13" s="1"/>
  <c r="O25" i="8"/>
  <c r="N247" i="13" s="1"/>
  <c r="N25" i="8"/>
  <c r="M247" i="13" s="1"/>
  <c r="M25" i="8"/>
  <c r="L247" i="13" s="1"/>
  <c r="S183" i="7"/>
  <c r="J183" i="7"/>
  <c r="S225" i="7"/>
  <c r="I225" i="7"/>
  <c r="AE18" i="3" s="1"/>
  <c r="AF18" i="3" s="1"/>
  <c r="C160" i="13"/>
  <c r="M46" i="4"/>
  <c r="E160" i="13" s="1"/>
  <c r="M138" i="7"/>
  <c r="S57" i="6"/>
  <c r="N57" i="6"/>
  <c r="Q65" i="7"/>
  <c r="N65" i="7"/>
  <c r="M65" i="7"/>
  <c r="Q79" i="7"/>
  <c r="M79" i="7"/>
  <c r="I79" i="7"/>
  <c r="C150" i="13"/>
  <c r="M107" i="7"/>
  <c r="L46" i="4"/>
  <c r="C213" i="13"/>
  <c r="M317" i="7"/>
  <c r="C104" i="13"/>
  <c r="E84" i="6"/>
  <c r="N67" i="7"/>
  <c r="M67" i="7"/>
  <c r="H67" i="7"/>
  <c r="I74" i="7"/>
  <c r="J97" i="7"/>
  <c r="S97" i="7"/>
  <c r="M36" i="4"/>
  <c r="E150" i="13" s="1"/>
  <c r="C164" i="13"/>
  <c r="M50" i="4"/>
  <c r="E164" i="13" s="1"/>
  <c r="M155" i="7"/>
  <c r="D64" i="13"/>
  <c r="V44" i="6"/>
  <c r="E81" i="6"/>
  <c r="C161" i="13"/>
  <c r="L47" i="4"/>
  <c r="C208" i="13"/>
  <c r="M298" i="7"/>
  <c r="M99" i="4"/>
  <c r="E213" i="13" s="1"/>
  <c r="M105" i="4"/>
  <c r="E219" i="13" s="1"/>
  <c r="D90" i="13"/>
  <c r="J39" i="7"/>
  <c r="G52" i="7"/>
  <c r="I52" i="7" s="1"/>
  <c r="G97" i="7"/>
  <c r="J237" i="7"/>
  <c r="S237" i="7"/>
  <c r="H61" i="9"/>
  <c r="G366" i="13" s="1"/>
  <c r="L5" i="3"/>
  <c r="AB5" i="3"/>
  <c r="V6" i="3"/>
  <c r="P7" i="3"/>
  <c r="D8" i="13" s="1"/>
  <c r="X10" i="11"/>
  <c r="X7" i="11"/>
  <c r="X6" i="11"/>
  <c r="X5" i="11"/>
  <c r="X8" i="11"/>
  <c r="X9" i="11"/>
  <c r="X11" i="3"/>
  <c r="Y11" i="3" s="1"/>
  <c r="R12" i="3"/>
  <c r="L13" i="3"/>
  <c r="AC13" i="3" s="1"/>
  <c r="R15" i="3"/>
  <c r="L16" i="3"/>
  <c r="AC16" i="3"/>
  <c r="S18" i="3"/>
  <c r="M6" i="4"/>
  <c r="E120" i="13" s="1"/>
  <c r="M16" i="4"/>
  <c r="E130" i="13" s="1"/>
  <c r="C137" i="13"/>
  <c r="M74" i="7"/>
  <c r="M33" i="4"/>
  <c r="E147" i="13" s="1"/>
  <c r="M47" i="4"/>
  <c r="E161" i="13" s="1"/>
  <c r="L54" i="4"/>
  <c r="D168" i="13" s="1"/>
  <c r="L61" i="4"/>
  <c r="L68" i="4"/>
  <c r="C190" i="13"/>
  <c r="M76" i="4"/>
  <c r="E190" i="13" s="1"/>
  <c r="L94" i="4"/>
  <c r="C214" i="13"/>
  <c r="M318" i="7"/>
  <c r="M12" i="6"/>
  <c r="N27" i="6"/>
  <c r="N30" i="6"/>
  <c r="E34" i="6"/>
  <c r="M37" i="6"/>
  <c r="T46" i="6"/>
  <c r="O46" i="6"/>
  <c r="E51" i="6"/>
  <c r="T61" i="6"/>
  <c r="U61" i="6" s="1"/>
  <c r="O61" i="6"/>
  <c r="R64" i="6"/>
  <c r="U64" i="6" s="1"/>
  <c r="M64" i="6"/>
  <c r="E67" i="6"/>
  <c r="M42" i="8" s="1"/>
  <c r="L264" i="13" s="1"/>
  <c r="S12" i="7"/>
  <c r="J12" i="7"/>
  <c r="H36" i="7"/>
  <c r="I39" i="7"/>
  <c r="M42" i="7"/>
  <c r="N74" i="7"/>
  <c r="J76" i="7"/>
  <c r="H97" i="7"/>
  <c r="N105" i="7"/>
  <c r="M105" i="7"/>
  <c r="Q105" i="7"/>
  <c r="S120" i="7"/>
  <c r="J120" i="7"/>
  <c r="M133" i="7"/>
  <c r="J143" i="7"/>
  <c r="S143" i="7"/>
  <c r="G184" i="7"/>
  <c r="M193" i="7"/>
  <c r="H193" i="7"/>
  <c r="M200" i="7"/>
  <c r="H200" i="7"/>
  <c r="G200" i="7"/>
  <c r="Q200" i="7" s="1"/>
  <c r="J289" i="7"/>
  <c r="S289" i="7"/>
  <c r="G12" i="13"/>
  <c r="F44" i="9"/>
  <c r="F15" i="13"/>
  <c r="E17" i="9"/>
  <c r="D322" i="13" s="1"/>
  <c r="AI9" i="11"/>
  <c r="AI6" i="11"/>
  <c r="AI7" i="11"/>
  <c r="AI8" i="11"/>
  <c r="AI5" i="11"/>
  <c r="AI10" i="11"/>
  <c r="V20" i="3"/>
  <c r="N315" i="7"/>
  <c r="D212" i="13"/>
  <c r="H55" i="7"/>
  <c r="M55" i="7"/>
  <c r="I55" i="7"/>
  <c r="H77" i="7"/>
  <c r="M77" i="7"/>
  <c r="I77" i="7"/>
  <c r="L22" i="4"/>
  <c r="C34" i="13"/>
  <c r="E14" i="6"/>
  <c r="E24" i="6"/>
  <c r="D49" i="13"/>
  <c r="N53" i="6"/>
  <c r="G21" i="7"/>
  <c r="I21" i="7" s="1"/>
  <c r="J47" i="7"/>
  <c r="S47" i="7"/>
  <c r="I47" i="7"/>
  <c r="J59" i="7"/>
  <c r="I65" i="7"/>
  <c r="I88" i="7"/>
  <c r="C18" i="12"/>
  <c r="M57" i="4"/>
  <c r="E171" i="13" s="1"/>
  <c r="E26" i="6"/>
  <c r="J188" i="7"/>
  <c r="I211" i="7"/>
  <c r="M223" i="7"/>
  <c r="H223" i="7"/>
  <c r="G223" i="7"/>
  <c r="I223" i="7" s="1"/>
  <c r="J302" i="7"/>
  <c r="L13" i="4"/>
  <c r="D127" i="13" s="1"/>
  <c r="M94" i="4"/>
  <c r="E208" i="13" s="1"/>
  <c r="D214" i="13"/>
  <c r="N318" i="7"/>
  <c r="E8" i="6"/>
  <c r="K9" i="6"/>
  <c r="R11" i="6"/>
  <c r="M11" i="6"/>
  <c r="N12" i="6"/>
  <c r="E19" i="6"/>
  <c r="N24" i="6"/>
  <c r="S24" i="6"/>
  <c r="Q26" i="6"/>
  <c r="L26" i="6"/>
  <c r="O27" i="6"/>
  <c r="N37" i="6"/>
  <c r="E38" i="6"/>
  <c r="S39" i="6"/>
  <c r="P67" i="6"/>
  <c r="K67" i="6"/>
  <c r="T87" i="6"/>
  <c r="H12" i="7"/>
  <c r="G12" i="7"/>
  <c r="Q12" i="7" s="1"/>
  <c r="Q14" i="7"/>
  <c r="G40" i="9" s="1"/>
  <c r="F345" i="13" s="1"/>
  <c r="N14" i="7"/>
  <c r="M21" i="7"/>
  <c r="J28" i="7"/>
  <c r="S32" i="7"/>
  <c r="J41" i="7"/>
  <c r="S41" i="7"/>
  <c r="J49" i="7"/>
  <c r="S49" i="7"/>
  <c r="J52" i="7"/>
  <c r="Q67" i="7"/>
  <c r="Q77" i="7"/>
  <c r="S79" i="7"/>
  <c r="S85" i="7"/>
  <c r="J85" i="7"/>
  <c r="I97" i="7"/>
  <c r="M108" i="7"/>
  <c r="S117" i="7"/>
  <c r="J117" i="7"/>
  <c r="M129" i="7"/>
  <c r="H129" i="7"/>
  <c r="M143" i="7"/>
  <c r="H143" i="7"/>
  <c r="G143" i="7"/>
  <c r="Q143" i="7" s="1"/>
  <c r="M160" i="7"/>
  <c r="G160" i="7"/>
  <c r="Q160" i="7" s="1"/>
  <c r="H160" i="7"/>
  <c r="G193" i="7"/>
  <c r="Q193" i="7" s="1"/>
  <c r="N289" i="7"/>
  <c r="M289" i="7"/>
  <c r="H289" i="7"/>
  <c r="S344" i="7"/>
  <c r="J344" i="7"/>
  <c r="M239" i="7"/>
  <c r="H239" i="7"/>
  <c r="S249" i="7"/>
  <c r="J249" i="7"/>
  <c r="S90" i="6"/>
  <c r="N90" i="6"/>
  <c r="F356" i="13"/>
  <c r="H51" i="9"/>
  <c r="G356" i="13" s="1"/>
  <c r="J205" i="7"/>
  <c r="S205" i="7"/>
  <c r="G239" i="7"/>
  <c r="Q239" i="7" s="1"/>
  <c r="P9" i="3"/>
  <c r="D10" i="13" s="1"/>
  <c r="C178" i="13"/>
  <c r="M198" i="7"/>
  <c r="AA10" i="3"/>
  <c r="M22" i="4"/>
  <c r="E136" i="13" s="1"/>
  <c r="E17" i="6"/>
  <c r="E42" i="6"/>
  <c r="D84" i="13"/>
  <c r="V64" i="6"/>
  <c r="I112" i="7"/>
  <c r="M234" i="7"/>
  <c r="J244" i="7"/>
  <c r="S244" i="7"/>
  <c r="S280" i="7"/>
  <c r="J280" i="7"/>
  <c r="L10" i="3"/>
  <c r="Q18" i="3"/>
  <c r="E19" i="13" s="1"/>
  <c r="AB19" i="3"/>
  <c r="L19" i="3"/>
  <c r="AC19" i="3"/>
  <c r="X20" i="3"/>
  <c r="Y20" i="3" s="1"/>
  <c r="M19" i="4"/>
  <c r="E133" i="13" s="1"/>
  <c r="M29" i="4"/>
  <c r="E143" i="13" s="1"/>
  <c r="L57" i="4"/>
  <c r="D171" i="13" s="1"/>
  <c r="L71" i="4"/>
  <c r="N225" i="7" s="1"/>
  <c r="L99" i="4"/>
  <c r="T93" i="6"/>
  <c r="O93" i="6"/>
  <c r="H172" i="7"/>
  <c r="G172" i="7"/>
  <c r="I172" i="7" s="1"/>
  <c r="M172" i="7"/>
  <c r="G10" i="13"/>
  <c r="F6" i="9"/>
  <c r="L33" i="4"/>
  <c r="D147" i="13" s="1"/>
  <c r="C182" i="13"/>
  <c r="M215" i="7"/>
  <c r="M71" i="4"/>
  <c r="E185" i="13" s="1"/>
  <c r="O7" i="6"/>
  <c r="N33" i="6"/>
  <c r="O37" i="6"/>
  <c r="T37" i="6"/>
  <c r="I18" i="7"/>
  <c r="AE9" i="3" s="1"/>
  <c r="AF9" i="3" s="1"/>
  <c r="J172" i="7"/>
  <c r="S181" i="7"/>
  <c r="J181" i="7"/>
  <c r="G13" i="13"/>
  <c r="F12" i="9"/>
  <c r="G16" i="13"/>
  <c r="F20" i="9"/>
  <c r="AG8" i="11"/>
  <c r="AG5" i="11"/>
  <c r="AG9" i="11"/>
  <c r="AG10" i="11"/>
  <c r="AG6" i="11"/>
  <c r="AG7" i="11"/>
  <c r="C144" i="13"/>
  <c r="M30" i="4"/>
  <c r="E144" i="13" s="1"/>
  <c r="M87" i="7"/>
  <c r="M54" i="4"/>
  <c r="E168" i="13" s="1"/>
  <c r="R7" i="3"/>
  <c r="F8" i="13" s="1"/>
  <c r="L8" i="3"/>
  <c r="AC8" i="3" s="1"/>
  <c r="V9" i="3"/>
  <c r="P10" i="3"/>
  <c r="D11" i="13" s="1"/>
  <c r="AA10" i="11"/>
  <c r="AA7" i="11"/>
  <c r="AA9" i="11"/>
  <c r="AA8" i="11"/>
  <c r="AA6" i="11"/>
  <c r="AA5" i="11"/>
  <c r="C17" i="13"/>
  <c r="AD16" i="3"/>
  <c r="P19" i="3"/>
  <c r="D20" i="13" s="1"/>
  <c r="L10" i="4"/>
  <c r="M13" i="4"/>
  <c r="E127" i="13" s="1"/>
  <c r="L20" i="4"/>
  <c r="M23" i="4"/>
  <c r="E137" i="13" s="1"/>
  <c r="L30" i="4"/>
  <c r="M37" i="4"/>
  <c r="E151" i="13" s="1"/>
  <c r="L51" i="4"/>
  <c r="D165" i="13" s="1"/>
  <c r="L65" i="4"/>
  <c r="C191" i="13"/>
  <c r="M254" i="7"/>
  <c r="M88" i="4"/>
  <c r="E202" i="13" s="1"/>
  <c r="M100" i="4"/>
  <c r="E214" i="13" s="1"/>
  <c r="M106" i="4"/>
  <c r="E220" i="13" s="1"/>
  <c r="S7" i="6"/>
  <c r="O12" i="6"/>
  <c r="K22" i="6"/>
  <c r="T25" i="6"/>
  <c r="D48" i="13"/>
  <c r="P37" i="6"/>
  <c r="T39" i="6"/>
  <c r="T42" i="6"/>
  <c r="O42" i="6"/>
  <c r="S54" i="6"/>
  <c r="M55" i="6"/>
  <c r="R55" i="6"/>
  <c r="C76" i="13"/>
  <c r="E56" i="6"/>
  <c r="R59" i="6"/>
  <c r="M59" i="6"/>
  <c r="Q69" i="6"/>
  <c r="Q78" i="6"/>
  <c r="S94" i="6"/>
  <c r="N94" i="6"/>
  <c r="S5" i="7"/>
  <c r="M9" i="7"/>
  <c r="G14" i="7"/>
  <c r="Q25" i="7"/>
  <c r="M25" i="7"/>
  <c r="G28" i="7"/>
  <c r="Q28" i="7"/>
  <c r="N28" i="7"/>
  <c r="M28" i="7"/>
  <c r="J33" i="7"/>
  <c r="S33" i="7"/>
  <c r="M41" i="7"/>
  <c r="N41" i="7"/>
  <c r="G44" i="7"/>
  <c r="Q44" i="7"/>
  <c r="G43" i="9" s="1"/>
  <c r="F348" i="13" s="1"/>
  <c r="M44" i="7"/>
  <c r="H44" i="7"/>
  <c r="I59" i="7"/>
  <c r="G61" i="7"/>
  <c r="Q61" i="7" s="1"/>
  <c r="S83" i="7"/>
  <c r="J83" i="7"/>
  <c r="M85" i="7"/>
  <c r="I85" i="7"/>
  <c r="H85" i="7"/>
  <c r="G85" i="7"/>
  <c r="M88" i="7"/>
  <c r="I94" i="7"/>
  <c r="N94" i="7"/>
  <c r="M97" i="7"/>
  <c r="N108" i="7"/>
  <c r="F355" i="13"/>
  <c r="H50" i="9"/>
  <c r="G355" i="13" s="1"/>
  <c r="Q117" i="7"/>
  <c r="M117" i="7"/>
  <c r="G117" i="7"/>
  <c r="G129" i="7"/>
  <c r="Q129" i="7" s="1"/>
  <c r="M150" i="7"/>
  <c r="H150" i="7"/>
  <c r="I152" i="7"/>
  <c r="J158" i="7"/>
  <c r="S214" i="7"/>
  <c r="J214" i="7"/>
  <c r="J221" i="7"/>
  <c r="S221" i="7"/>
  <c r="I235" i="7"/>
  <c r="G289" i="7"/>
  <c r="Q289" i="7" s="1"/>
  <c r="M292" i="7"/>
  <c r="H292" i="7"/>
  <c r="G292" i="7"/>
  <c r="I292" i="7" s="1"/>
  <c r="S296" i="7"/>
  <c r="J296" i="7"/>
  <c r="J305" i="7"/>
  <c r="S305" i="7"/>
  <c r="J338" i="7"/>
  <c r="S338" i="7"/>
  <c r="Q344" i="7"/>
  <c r="G73" i="9" s="1"/>
  <c r="F378" i="13" s="1"/>
  <c r="M344" i="7"/>
  <c r="I344" i="7"/>
  <c r="N344" i="7"/>
  <c r="G344" i="7"/>
  <c r="M9" i="8"/>
  <c r="L231" i="13" s="1"/>
  <c r="H353" i="7"/>
  <c r="G353" i="7"/>
  <c r="I353" i="7" s="1"/>
  <c r="C194" i="13"/>
  <c r="M255" i="7"/>
  <c r="M80" i="4"/>
  <c r="E194" i="13" s="1"/>
  <c r="M39" i="6"/>
  <c r="R39" i="6"/>
  <c r="R72" i="6"/>
  <c r="M72" i="6"/>
  <c r="Q24" i="7"/>
  <c r="G41" i="9" s="1"/>
  <c r="F346" i="13" s="1"/>
  <c r="N24" i="7"/>
  <c r="I24" i="7"/>
  <c r="M50" i="7"/>
  <c r="H50" i="7"/>
  <c r="N57" i="7"/>
  <c r="M57" i="7"/>
  <c r="I57" i="7"/>
  <c r="Q57" i="7"/>
  <c r="Q249" i="7"/>
  <c r="M249" i="7"/>
  <c r="I249" i="7"/>
  <c r="H249" i="7"/>
  <c r="G249" i="7"/>
  <c r="M264" i="7"/>
  <c r="J274" i="7"/>
  <c r="S274" i="7"/>
  <c r="L7" i="3"/>
  <c r="AC7" i="3" s="1"/>
  <c r="AF8" i="11"/>
  <c r="AF5" i="11"/>
  <c r="AF9" i="11"/>
  <c r="AF10" i="11"/>
  <c r="AF6" i="11"/>
  <c r="X17" i="3"/>
  <c r="L9" i="4"/>
  <c r="L19" i="4"/>
  <c r="D133" i="13" s="1"/>
  <c r="L29" i="4"/>
  <c r="D143" i="13" s="1"/>
  <c r="L36" i="4"/>
  <c r="L64" i="4"/>
  <c r="L93" i="4"/>
  <c r="H21" i="7"/>
  <c r="H24" i="7"/>
  <c r="J36" i="7"/>
  <c r="H42" i="7"/>
  <c r="N55" i="7"/>
  <c r="H65" i="7"/>
  <c r="H79" i="7"/>
  <c r="H93" i="7"/>
  <c r="M93" i="7"/>
  <c r="G93" i="7"/>
  <c r="I93" i="7" s="1"/>
  <c r="J307" i="7"/>
  <c r="S307" i="7"/>
  <c r="R9" i="3"/>
  <c r="M9" i="4"/>
  <c r="E123" i="13" s="1"/>
  <c r="C140" i="13"/>
  <c r="M75" i="7"/>
  <c r="C201" i="13"/>
  <c r="L87" i="4"/>
  <c r="D201" i="13" s="1"/>
  <c r="M277" i="7"/>
  <c r="L105" i="4"/>
  <c r="E6" i="6"/>
  <c r="C79" i="13"/>
  <c r="E59" i="6"/>
  <c r="Q36" i="7"/>
  <c r="M36" i="7"/>
  <c r="J69" i="7"/>
  <c r="J133" i="7"/>
  <c r="AA5" i="3"/>
  <c r="AC10" i="3"/>
  <c r="C175" i="13"/>
  <c r="M188" i="7"/>
  <c r="G36" i="7"/>
  <c r="I67" i="7"/>
  <c r="N147" i="7"/>
  <c r="I147" i="7"/>
  <c r="H147" i="7"/>
  <c r="Q147" i="7"/>
  <c r="M147" i="7"/>
  <c r="G147" i="7"/>
  <c r="Q184" i="7"/>
  <c r="G57" i="9" s="1"/>
  <c r="F362" i="13" s="1"/>
  <c r="M184" i="7"/>
  <c r="I184" i="7"/>
  <c r="AA14" i="3"/>
  <c r="C141" i="13"/>
  <c r="L27" i="4"/>
  <c r="D141" i="13" s="1"/>
  <c r="C148" i="13"/>
  <c r="M34" i="4"/>
  <c r="E148" i="13" s="1"/>
  <c r="M51" i="4"/>
  <c r="E165" i="13" s="1"/>
  <c r="M65" i="4"/>
  <c r="E179" i="13" s="1"/>
  <c r="N254" i="7"/>
  <c r="N246" i="7"/>
  <c r="C197" i="13"/>
  <c r="M265" i="7"/>
  <c r="M266" i="7"/>
  <c r="C203" i="13"/>
  <c r="M285" i="7"/>
  <c r="M294" i="7"/>
  <c r="M286" i="7"/>
  <c r="C215" i="13"/>
  <c r="M334" i="7"/>
  <c r="C221" i="13"/>
  <c r="M346" i="7"/>
  <c r="M345" i="7"/>
  <c r="M107" i="4"/>
  <c r="E221" i="13" s="1"/>
  <c r="L107" i="4"/>
  <c r="N345" i="7" s="1"/>
  <c r="E36" i="6"/>
  <c r="Q37" i="6"/>
  <c r="K42" i="6"/>
  <c r="C63" i="13"/>
  <c r="E43" i="6"/>
  <c r="K49" i="6"/>
  <c r="P49" i="6"/>
  <c r="V49" i="6" s="1"/>
  <c r="T54" i="6"/>
  <c r="N58" i="6"/>
  <c r="D80" i="13"/>
  <c r="M61" i="6"/>
  <c r="T63" i="6"/>
  <c r="C85" i="13"/>
  <c r="E65" i="6"/>
  <c r="M67" i="6"/>
  <c r="R67" i="6"/>
  <c r="R69" i="6"/>
  <c r="E71" i="6"/>
  <c r="M76" i="6"/>
  <c r="E82" i="6"/>
  <c r="R83" i="6"/>
  <c r="M91" i="6"/>
  <c r="R93" i="6"/>
  <c r="J6" i="7"/>
  <c r="S6" i="7"/>
  <c r="M7" i="7"/>
  <c r="G9" i="7"/>
  <c r="Q9" i="7" s="1"/>
  <c r="H14" i="7"/>
  <c r="M18" i="7"/>
  <c r="N23" i="7"/>
  <c r="M23" i="7"/>
  <c r="H23" i="7"/>
  <c r="G25" i="7"/>
  <c r="H28" i="7"/>
  <c r="G41" i="7"/>
  <c r="I41" i="7" s="1"/>
  <c r="Q42" i="7"/>
  <c r="I44" i="7"/>
  <c r="S56" i="7"/>
  <c r="J56" i="7"/>
  <c r="I56" i="7"/>
  <c r="I61" i="7"/>
  <c r="G71" i="7"/>
  <c r="I71" i="7" s="1"/>
  <c r="N71" i="7"/>
  <c r="M71" i="7"/>
  <c r="H71" i="7"/>
  <c r="H46" i="9"/>
  <c r="G351" i="13" s="1"/>
  <c r="J78" i="7"/>
  <c r="Q80" i="7"/>
  <c r="H83" i="7"/>
  <c r="G83" i="7"/>
  <c r="I83" i="7" s="1"/>
  <c r="G94" i="7"/>
  <c r="I105" i="7"/>
  <c r="H117" i="7"/>
  <c r="H148" i="7"/>
  <c r="Q148" i="7"/>
  <c r="G150" i="7"/>
  <c r="I150" i="7" s="1"/>
  <c r="J171" i="7"/>
  <c r="I171" i="7"/>
  <c r="S188" i="7"/>
  <c r="Q214" i="7"/>
  <c r="G60" i="9" s="1"/>
  <c r="F365" i="13" s="1"/>
  <c r="N214" i="7"/>
  <c r="M214" i="7"/>
  <c r="H214" i="7"/>
  <c r="G214" i="7"/>
  <c r="H270" i="7"/>
  <c r="G270" i="7"/>
  <c r="Q270" i="7" s="1"/>
  <c r="M270" i="7"/>
  <c r="H344" i="7"/>
  <c r="F353" i="13"/>
  <c r="H48" i="9"/>
  <c r="G353" i="13" s="1"/>
  <c r="J116" i="7"/>
  <c r="I116" i="7"/>
  <c r="Q87" i="6"/>
  <c r="L87" i="6"/>
  <c r="M82" i="7"/>
  <c r="H82" i="7"/>
  <c r="G82" i="7"/>
  <c r="Q82" i="7" s="1"/>
  <c r="Q340" i="7"/>
  <c r="I340" i="7"/>
  <c r="Z10" i="11"/>
  <c r="Z7" i="11"/>
  <c r="Z9" i="11"/>
  <c r="Z8" i="11"/>
  <c r="Z6" i="11"/>
  <c r="Z5" i="11"/>
  <c r="C207" i="13"/>
  <c r="M297" i="7"/>
  <c r="AC8" i="11"/>
  <c r="AC10" i="11"/>
  <c r="AC6" i="11"/>
  <c r="AC5" i="11"/>
  <c r="AC7" i="11"/>
  <c r="AC9" i="11"/>
  <c r="C157" i="13"/>
  <c r="L43" i="4"/>
  <c r="C31" i="13"/>
  <c r="E11" i="6"/>
  <c r="M19" i="8" s="1"/>
  <c r="L241" i="13" s="1"/>
  <c r="L54" i="6"/>
  <c r="Q54" i="6"/>
  <c r="H88" i="7"/>
  <c r="G88" i="7"/>
  <c r="Q88" i="7"/>
  <c r="S135" i="7"/>
  <c r="J135" i="7"/>
  <c r="U9" i="11"/>
  <c r="U6" i="11"/>
  <c r="U10" i="11"/>
  <c r="U5" i="11"/>
  <c r="U7" i="11"/>
  <c r="U8" i="11"/>
  <c r="P12" i="3"/>
  <c r="D13" i="13" s="1"/>
  <c r="P15" i="3"/>
  <c r="D16" i="13" s="1"/>
  <c r="V17" i="3"/>
  <c r="W17" i="3" s="1"/>
  <c r="T78" i="6"/>
  <c r="O78" i="6"/>
  <c r="J5" i="7"/>
  <c r="M52" i="7"/>
  <c r="N52" i="7"/>
  <c r="H52" i="7"/>
  <c r="G67" i="7"/>
  <c r="J223" i="7"/>
  <c r="S223" i="7"/>
  <c r="J254" i="7"/>
  <c r="S254" i="7"/>
  <c r="J354" i="7"/>
  <c r="S354" i="7"/>
  <c r="V14" i="3"/>
  <c r="W14" i="3" s="1"/>
  <c r="Z14" i="3" s="1"/>
  <c r="L6" i="4"/>
  <c r="D120" i="13" s="1"/>
  <c r="L16" i="4"/>
  <c r="L26" i="4"/>
  <c r="N84" i="7" s="1"/>
  <c r="C189" i="13"/>
  <c r="M75" i="4"/>
  <c r="E189" i="13" s="1"/>
  <c r="L75" i="4"/>
  <c r="D189" i="13" s="1"/>
  <c r="V9" i="11"/>
  <c r="V6" i="11"/>
  <c r="V10" i="11"/>
  <c r="V5" i="11"/>
  <c r="V7" i="11"/>
  <c r="V8" i="11"/>
  <c r="E30" i="9"/>
  <c r="D335" i="13" s="1"/>
  <c r="F20" i="13"/>
  <c r="C169" i="13"/>
  <c r="M168" i="7"/>
  <c r="C176" i="13"/>
  <c r="M204" i="7"/>
  <c r="M62" i="4"/>
  <c r="E176" i="13" s="1"/>
  <c r="D183" i="13"/>
  <c r="N217" i="7"/>
  <c r="D197" i="13"/>
  <c r="D203" i="13"/>
  <c r="N285" i="7"/>
  <c r="N286" i="7"/>
  <c r="D215" i="13"/>
  <c r="N334" i="7"/>
  <c r="C222" i="13"/>
  <c r="M108" i="4"/>
  <c r="E222" i="13" s="1"/>
  <c r="M347" i="7"/>
  <c r="K6" i="6"/>
  <c r="N9" i="6"/>
  <c r="M19" i="6"/>
  <c r="R19" i="6"/>
  <c r="L42" i="6"/>
  <c r="N46" i="6"/>
  <c r="O58" i="6"/>
  <c r="N61" i="6"/>
  <c r="T70" i="6"/>
  <c r="O70" i="6"/>
  <c r="Q74" i="6"/>
  <c r="L74" i="6"/>
  <c r="C95" i="13"/>
  <c r="E75" i="6"/>
  <c r="N76" i="6"/>
  <c r="P82" i="6"/>
  <c r="K82" i="6"/>
  <c r="L85" i="6"/>
  <c r="Q85" i="6"/>
  <c r="C106" i="13"/>
  <c r="E86" i="6"/>
  <c r="P89" i="6"/>
  <c r="K89" i="6"/>
  <c r="N91" i="6"/>
  <c r="C115" i="13"/>
  <c r="E95" i="6"/>
  <c r="M43" i="8" s="1"/>
  <c r="L265" i="13" s="1"/>
  <c r="M6" i="7"/>
  <c r="I6" i="7"/>
  <c r="M54" i="7"/>
  <c r="J64" i="7"/>
  <c r="I66" i="7"/>
  <c r="I78" i="7"/>
  <c r="M78" i="7"/>
  <c r="H78" i="7"/>
  <c r="G78" i="7"/>
  <c r="S99" i="7"/>
  <c r="J111" i="7"/>
  <c r="S111" i="7"/>
  <c r="J115" i="7"/>
  <c r="S115" i="7"/>
  <c r="J126" i="7"/>
  <c r="S126" i="7"/>
  <c r="S144" i="7"/>
  <c r="J144" i="7"/>
  <c r="S155" i="7"/>
  <c r="S161" i="7"/>
  <c r="J161" i="7"/>
  <c r="S166" i="7"/>
  <c r="J166" i="7"/>
  <c r="J189" i="7"/>
  <c r="S198" i="7"/>
  <c r="J198" i="7"/>
  <c r="I198" i="7"/>
  <c r="S263" i="7"/>
  <c r="J263" i="7"/>
  <c r="S276" i="7"/>
  <c r="J276" i="7"/>
  <c r="N316" i="7"/>
  <c r="M10" i="8"/>
  <c r="L232" i="13" s="1"/>
  <c r="P34" i="8"/>
  <c r="O256" i="13" s="1"/>
  <c r="O34" i="8"/>
  <c r="N256" i="13" s="1"/>
  <c r="N34" i="8"/>
  <c r="M256" i="13" s="1"/>
  <c r="F11" i="13"/>
  <c r="J309" i="7"/>
  <c r="S309" i="7"/>
  <c r="P23" i="8"/>
  <c r="O245" i="13" s="1"/>
  <c r="O23" i="8"/>
  <c r="N245" i="13" s="1"/>
  <c r="N23" i="8"/>
  <c r="M245" i="13" s="1"/>
  <c r="I233" i="7"/>
  <c r="G237" i="7"/>
  <c r="I237" i="7"/>
  <c r="Q237" i="7"/>
  <c r="N261" i="7"/>
  <c r="S270" i="7"/>
  <c r="J270" i="7"/>
  <c r="J287" i="7"/>
  <c r="S287" i="7"/>
  <c r="Q296" i="7"/>
  <c r="M296" i="7"/>
  <c r="I296" i="7"/>
  <c r="N307" i="7"/>
  <c r="M307" i="7"/>
  <c r="Q307" i="7"/>
  <c r="H307" i="7"/>
  <c r="G307" i="7"/>
  <c r="Q326" i="7"/>
  <c r="N326" i="7"/>
  <c r="M326" i="7"/>
  <c r="I336" i="7"/>
  <c r="H336" i="7"/>
  <c r="Q336" i="7"/>
  <c r="N336" i="7"/>
  <c r="G336" i="7"/>
  <c r="C67" i="13"/>
  <c r="E47" i="6"/>
  <c r="C82" i="13"/>
  <c r="E62" i="6"/>
  <c r="D112" i="13"/>
  <c r="J23" i="7"/>
  <c r="M32" i="7"/>
  <c r="I32" i="7"/>
  <c r="H32" i="7"/>
  <c r="H40" i="7"/>
  <c r="G40" i="7"/>
  <c r="G90" i="7"/>
  <c r="Q90" i="7" s="1"/>
  <c r="H90" i="7"/>
  <c r="N96" i="7"/>
  <c r="H96" i="7"/>
  <c r="G96" i="7"/>
  <c r="M135" i="7"/>
  <c r="I135" i="7"/>
  <c r="N135" i="7"/>
  <c r="H135" i="7"/>
  <c r="H140" i="7"/>
  <c r="G140" i="7"/>
  <c r="I140" i="7" s="1"/>
  <c r="M140" i="7"/>
  <c r="J175" i="7"/>
  <c r="S182" i="7"/>
  <c r="J182" i="7"/>
  <c r="M192" i="7"/>
  <c r="G192" i="7"/>
  <c r="I192" i="7" s="1"/>
  <c r="G212" i="7"/>
  <c r="Q212" i="7" s="1"/>
  <c r="H212" i="7"/>
  <c r="M237" i="7"/>
  <c r="M242" i="7"/>
  <c r="Q242" i="7"/>
  <c r="H261" i="7"/>
  <c r="H280" i="7"/>
  <c r="G280" i="7"/>
  <c r="Q280" i="7" s="1"/>
  <c r="M280" i="7"/>
  <c r="H296" i="7"/>
  <c r="J319" i="7"/>
  <c r="H326" i="7"/>
  <c r="C111" i="13"/>
  <c r="E91" i="6"/>
  <c r="J31" i="7"/>
  <c r="M66" i="7"/>
  <c r="N66" i="7"/>
  <c r="Q66" i="7"/>
  <c r="J73" i="7"/>
  <c r="J110" i="7"/>
  <c r="Q135" i="7"/>
  <c r="I156" i="7"/>
  <c r="H156" i="7"/>
  <c r="G156" i="7"/>
  <c r="N156" i="7"/>
  <c r="M156" i="7"/>
  <c r="Q156" i="7"/>
  <c r="S199" i="7"/>
  <c r="J199" i="7"/>
  <c r="J215" i="7"/>
  <c r="H221" i="7"/>
  <c r="G221" i="7"/>
  <c r="Q221" i="7" s="1"/>
  <c r="J230" i="7"/>
  <c r="I242" i="7"/>
  <c r="M276" i="7"/>
  <c r="Q276" i="7"/>
  <c r="I276" i="7"/>
  <c r="V88" i="6"/>
  <c r="J7" i="7"/>
  <c r="J22" i="7"/>
  <c r="I27" i="7"/>
  <c r="N32" i="7"/>
  <c r="M40" i="7"/>
  <c r="G51" i="7"/>
  <c r="Q54" i="7"/>
  <c r="G44" i="9" s="1"/>
  <c r="F349" i="13" s="1"/>
  <c r="I54" i="7"/>
  <c r="AE11" i="3" s="1"/>
  <c r="AF11" i="3" s="1"/>
  <c r="G66" i="7"/>
  <c r="H70" i="7"/>
  <c r="J95" i="7"/>
  <c r="J101" i="7"/>
  <c r="M110" i="7"/>
  <c r="H110" i="7"/>
  <c r="G110" i="7"/>
  <c r="Q110" i="7" s="1"/>
  <c r="I123" i="7"/>
  <c r="M132" i="7"/>
  <c r="H199" i="7"/>
  <c r="S247" i="7"/>
  <c r="J247" i="7"/>
  <c r="J278" i="7"/>
  <c r="S278" i="7"/>
  <c r="C51" i="13"/>
  <c r="E31" i="6"/>
  <c r="E40" i="6"/>
  <c r="O45" i="6"/>
  <c r="C66" i="13"/>
  <c r="E46" i="6"/>
  <c r="L59" i="6"/>
  <c r="E68" i="6"/>
  <c r="K74" i="6"/>
  <c r="D96" i="13"/>
  <c r="V76" i="6"/>
  <c r="E83" i="6"/>
  <c r="N93" i="6"/>
  <c r="G17" i="7"/>
  <c r="M22" i="7"/>
  <c r="I22" i="7"/>
  <c r="G26" i="7"/>
  <c r="J27" i="7"/>
  <c r="J35" i="7"/>
  <c r="I46" i="7"/>
  <c r="Q46" i="7"/>
  <c r="H51" i="7"/>
  <c r="G54" i="7"/>
  <c r="H66" i="7"/>
  <c r="G70" i="7"/>
  <c r="Q70" i="7" s="1"/>
  <c r="G73" i="7"/>
  <c r="I73" i="7" s="1"/>
  <c r="J92" i="7"/>
  <c r="Q96" i="7"/>
  <c r="J123" i="7"/>
  <c r="G132" i="7"/>
  <c r="I132" i="7" s="1"/>
  <c r="Q167" i="7"/>
  <c r="M167" i="7"/>
  <c r="G199" i="7"/>
  <c r="I199" i="7" s="1"/>
  <c r="I201" i="7"/>
  <c r="S204" i="7"/>
  <c r="J204" i="7"/>
  <c r="M226" i="7"/>
  <c r="Q226" i="7"/>
  <c r="I226" i="7"/>
  <c r="Q247" i="7"/>
  <c r="M247" i="7"/>
  <c r="Q258" i="7"/>
  <c r="N258" i="7"/>
  <c r="M258" i="7"/>
  <c r="H276" i="7"/>
  <c r="S319" i="7"/>
  <c r="N330" i="7"/>
  <c r="M330" i="7"/>
  <c r="D75" i="13"/>
  <c r="C99" i="13"/>
  <c r="E79" i="6"/>
  <c r="C114" i="13"/>
  <c r="E94" i="6"/>
  <c r="M34" i="7"/>
  <c r="Q34" i="7"/>
  <c r="G42" i="9" s="1"/>
  <c r="F347" i="13" s="1"/>
  <c r="Q38" i="7"/>
  <c r="H38" i="7"/>
  <c r="G62" i="7"/>
  <c r="Q62" i="7" s="1"/>
  <c r="G92" i="7"/>
  <c r="M92" i="7"/>
  <c r="N114" i="7"/>
  <c r="M114" i="7"/>
  <c r="H114" i="7"/>
  <c r="G114" i="7"/>
  <c r="I125" i="7"/>
  <c r="H125" i="7"/>
  <c r="Q125" i="7"/>
  <c r="N125" i="7"/>
  <c r="M125" i="7"/>
  <c r="N136" i="7"/>
  <c r="Q136" i="7"/>
  <c r="S139" i="7"/>
  <c r="J139" i="7"/>
  <c r="I139" i="7"/>
  <c r="S150" i="7"/>
  <c r="J150" i="7"/>
  <c r="F359" i="13"/>
  <c r="H54" i="9"/>
  <c r="G359" i="13" s="1"/>
  <c r="Q165" i="7"/>
  <c r="N165" i="7"/>
  <c r="M165" i="7"/>
  <c r="S193" i="7"/>
  <c r="J193" i="7"/>
  <c r="J195" i="7"/>
  <c r="M221" i="7"/>
  <c r="I262" i="7"/>
  <c r="S312" i="7"/>
  <c r="J312" i="7"/>
  <c r="J320" i="7"/>
  <c r="S320" i="7"/>
  <c r="G330" i="7"/>
  <c r="I330" i="7" s="1"/>
  <c r="E350" i="13"/>
  <c r="M293" i="7"/>
  <c r="H293" i="7"/>
  <c r="G293" i="7"/>
  <c r="I293" i="7" s="1"/>
  <c r="O299" i="7"/>
  <c r="L299" i="7"/>
  <c r="M306" i="7"/>
  <c r="Q306" i="7"/>
  <c r="J325" i="7"/>
  <c r="S325" i="7"/>
  <c r="Q342" i="7"/>
  <c r="M342" i="7"/>
  <c r="J351" i="7"/>
  <c r="S351" i="7"/>
  <c r="J353" i="7"/>
  <c r="E327" i="13"/>
  <c r="E345" i="13"/>
  <c r="M354" i="7"/>
  <c r="I354" i="7"/>
  <c r="H354" i="7"/>
  <c r="G354" i="7"/>
  <c r="M227" i="7"/>
  <c r="S241" i="7"/>
  <c r="J241" i="7"/>
  <c r="F369" i="13"/>
  <c r="H64" i="9"/>
  <c r="G369" i="13" s="1"/>
  <c r="M274" i="7"/>
  <c r="I274" i="7"/>
  <c r="H274" i="7"/>
  <c r="J303" i="7"/>
  <c r="S303" i="7"/>
  <c r="Q314" i="7"/>
  <c r="G70" i="9" s="1"/>
  <c r="M314" i="7"/>
  <c r="I158" i="7"/>
  <c r="Q166" i="7"/>
  <c r="J176" i="7"/>
  <c r="S176" i="7"/>
  <c r="Q183" i="7"/>
  <c r="G227" i="7"/>
  <c r="J236" i="7"/>
  <c r="I236" i="7"/>
  <c r="Q264" i="7"/>
  <c r="G65" i="9" s="1"/>
  <c r="F370" i="13" s="1"/>
  <c r="N264" i="7"/>
  <c r="G274" i="7"/>
  <c r="J292" i="7"/>
  <c r="H303" i="7"/>
  <c r="G303" i="7"/>
  <c r="I303" i="7" s="1"/>
  <c r="Q310" i="7"/>
  <c r="N310" i="7"/>
  <c r="G314" i="7"/>
  <c r="M322" i="7"/>
  <c r="I322" i="7"/>
  <c r="H322" i="7"/>
  <c r="P7" i="8"/>
  <c r="O229" i="13" s="1"/>
  <c r="O7" i="8"/>
  <c r="N229" i="13" s="1"/>
  <c r="N7" i="8"/>
  <c r="M229" i="13" s="1"/>
  <c r="C200" i="13"/>
  <c r="M284" i="7"/>
  <c r="J63" i="7"/>
  <c r="N116" i="7"/>
  <c r="M116" i="7"/>
  <c r="H120" i="7"/>
  <c r="G120" i="7"/>
  <c r="Q120" i="7" s="1"/>
  <c r="H158" i="7"/>
  <c r="H166" i="7"/>
  <c r="H183" i="7"/>
  <c r="J190" i="7"/>
  <c r="S190" i="7"/>
  <c r="I204" i="7"/>
  <c r="J209" i="7"/>
  <c r="J220" i="7"/>
  <c r="I227" i="7"/>
  <c r="J255" i="7"/>
  <c r="S255" i="7"/>
  <c r="H264" i="7"/>
  <c r="H271" i="7"/>
  <c r="Q274" i="7"/>
  <c r="G66" i="9" s="1"/>
  <c r="Q278" i="7"/>
  <c r="I278" i="7"/>
  <c r="H278" i="7"/>
  <c r="N278" i="7"/>
  <c r="M278" i="7"/>
  <c r="G278" i="7"/>
  <c r="H310" i="7"/>
  <c r="I312" i="7"/>
  <c r="H312" i="7"/>
  <c r="I314" i="7"/>
  <c r="Q322" i="7"/>
  <c r="E321" i="13"/>
  <c r="C183" i="13"/>
  <c r="M217" i="7"/>
  <c r="L72" i="4"/>
  <c r="D186" i="13" s="1"/>
  <c r="L86" i="4"/>
  <c r="N275" i="7" s="1"/>
  <c r="L102" i="4"/>
  <c r="D216" i="13" s="1"/>
  <c r="G76" i="7"/>
  <c r="H101" i="7"/>
  <c r="Q104" i="7"/>
  <c r="G49" i="9" s="1"/>
  <c r="M104" i="7"/>
  <c r="G116" i="7"/>
  <c r="I128" i="7"/>
  <c r="H128" i="7"/>
  <c r="G131" i="7"/>
  <c r="I166" i="7"/>
  <c r="J173" i="7"/>
  <c r="S173" i="7"/>
  <c r="I183" i="7"/>
  <c r="I190" i="7"/>
  <c r="H190" i="7"/>
  <c r="Q190" i="7"/>
  <c r="M209" i="7"/>
  <c r="H209" i="7"/>
  <c r="J246" i="7"/>
  <c r="I255" i="7"/>
  <c r="H255" i="7"/>
  <c r="J257" i="7"/>
  <c r="I264" i="7"/>
  <c r="G271" i="7"/>
  <c r="I271" i="7" s="1"/>
  <c r="M303" i="7"/>
  <c r="I310" i="7"/>
  <c r="G312" i="7"/>
  <c r="Q312" i="7" s="1"/>
  <c r="Q327" i="7"/>
  <c r="M327" i="7"/>
  <c r="I327" i="7"/>
  <c r="E313" i="13"/>
  <c r="J134" i="7"/>
  <c r="M158" i="7"/>
  <c r="H173" i="7"/>
  <c r="G173" i="7"/>
  <c r="Q173" i="7" s="1"/>
  <c r="M178" i="7"/>
  <c r="I178" i="7"/>
  <c r="H178" i="7"/>
  <c r="G178" i="7"/>
  <c r="J224" i="7"/>
  <c r="S224" i="7"/>
  <c r="J229" i="7"/>
  <c r="M246" i="7"/>
  <c r="Q246" i="7"/>
  <c r="I246" i="7"/>
  <c r="Q257" i="7"/>
  <c r="N257" i="7"/>
  <c r="M257" i="7"/>
  <c r="H257" i="7"/>
  <c r="I267" i="7"/>
  <c r="H267" i="7"/>
  <c r="G267" i="7"/>
  <c r="M267" i="7"/>
  <c r="J286" i="7"/>
  <c r="J310" i="7"/>
  <c r="P11" i="8"/>
  <c r="O233" i="13" s="1"/>
  <c r="O11" i="8"/>
  <c r="N233" i="13" s="1"/>
  <c r="N11" i="8"/>
  <c r="M233" i="13" s="1"/>
  <c r="M11" i="8"/>
  <c r="L233" i="13" s="1"/>
  <c r="J109" i="7"/>
  <c r="H124" i="7"/>
  <c r="G124" i="7"/>
  <c r="N124" i="7"/>
  <c r="Q134" i="7"/>
  <c r="G52" i="9" s="1"/>
  <c r="F357" i="13" s="1"/>
  <c r="G134" i="7"/>
  <c r="J142" i="7"/>
  <c r="G149" i="7"/>
  <c r="I149" i="7" s="1"/>
  <c r="H153" i="7"/>
  <c r="G153" i="7"/>
  <c r="Q153" i="7" s="1"/>
  <c r="J157" i="7"/>
  <c r="G180" i="7"/>
  <c r="I180" i="7" s="1"/>
  <c r="J206" i="7"/>
  <c r="I216" i="7"/>
  <c r="G216" i="7"/>
  <c r="H222" i="7"/>
  <c r="M222" i="7"/>
  <c r="G222" i="7"/>
  <c r="Q222" i="7" s="1"/>
  <c r="M224" i="7"/>
  <c r="H229" i="7"/>
  <c r="F367" i="13"/>
  <c r="H62" i="9"/>
  <c r="G367" i="13" s="1"/>
  <c r="G246" i="7"/>
  <c r="Q248" i="7"/>
  <c r="I248" i="7"/>
  <c r="H248" i="7"/>
  <c r="G248" i="7"/>
  <c r="G250" i="7"/>
  <c r="I250" i="7" s="1"/>
  <c r="G257" i="7"/>
  <c r="Q267" i="7"/>
  <c r="S275" i="7"/>
  <c r="J275" i="7"/>
  <c r="M279" i="7"/>
  <c r="S292" i="7"/>
  <c r="F377" i="13"/>
  <c r="H72" i="9"/>
  <c r="G377" i="13" s="1"/>
  <c r="P26" i="8"/>
  <c r="O248" i="13" s="1"/>
  <c r="O26" i="8"/>
  <c r="N248" i="13" s="1"/>
  <c r="N26" i="8"/>
  <c r="M248" i="13" s="1"/>
  <c r="AD8" i="11"/>
  <c r="AD5" i="11"/>
  <c r="AD9" i="11"/>
  <c r="AD6" i="11"/>
  <c r="AD10" i="11"/>
  <c r="F19" i="13"/>
  <c r="E27" i="9"/>
  <c r="D332" i="13" s="1"/>
  <c r="I100" i="7"/>
  <c r="H100" i="7"/>
  <c r="M101" i="7"/>
  <c r="I104" i="7"/>
  <c r="H109" i="7"/>
  <c r="I124" i="7"/>
  <c r="M128" i="7"/>
  <c r="H134" i="7"/>
  <c r="Q137" i="7"/>
  <c r="M137" i="7"/>
  <c r="M145" i="7"/>
  <c r="Q145" i="7"/>
  <c r="H149" i="7"/>
  <c r="I157" i="7"/>
  <c r="AE16" i="3" s="1"/>
  <c r="AF16" i="3" s="1"/>
  <c r="H157" i="7"/>
  <c r="Q157" i="7"/>
  <c r="J160" i="7"/>
  <c r="I169" i="7"/>
  <c r="H180" i="7"/>
  <c r="M183" i="7"/>
  <c r="M190" i="7"/>
  <c r="J192" i="7"/>
  <c r="I197" i="7"/>
  <c r="I206" i="7"/>
  <c r="H206" i="7"/>
  <c r="Q206" i="7"/>
  <c r="M206" i="7"/>
  <c r="Q209" i="7"/>
  <c r="G213" i="7"/>
  <c r="I213" i="7" s="1"/>
  <c r="H216" i="7"/>
  <c r="G224" i="7"/>
  <c r="Q227" i="7"/>
  <c r="G229" i="7"/>
  <c r="I229" i="7" s="1"/>
  <c r="Q231" i="7"/>
  <c r="H238" i="7"/>
  <c r="N238" i="7"/>
  <c r="M238" i="7"/>
  <c r="I238" i="7"/>
  <c r="G238" i="7"/>
  <c r="G240" i="7"/>
  <c r="I240" i="7" s="1"/>
  <c r="H246" i="7"/>
  <c r="H250" i="7"/>
  <c r="N255" i="7"/>
  <c r="I257" i="7"/>
  <c r="G279" i="7"/>
  <c r="I279" i="7" s="1"/>
  <c r="S293" i="7"/>
  <c r="J293" i="7"/>
  <c r="M323" i="7"/>
  <c r="M26" i="8"/>
  <c r="L248" i="13" s="1"/>
  <c r="E344" i="13"/>
  <c r="E376" i="13"/>
  <c r="H71" i="9"/>
  <c r="G376" i="13" s="1"/>
  <c r="A452" i="13"/>
  <c r="A454" i="13"/>
  <c r="A451" i="13"/>
  <c r="A509" i="13"/>
  <c r="A453" i="13"/>
  <c r="A500" i="13"/>
  <c r="A492" i="13"/>
  <c r="A502" i="13"/>
  <c r="A494" i="13"/>
  <c r="A497" i="13"/>
  <c r="A490" i="13"/>
  <c r="A499" i="13"/>
  <c r="A495" i="13"/>
  <c r="A489" i="13"/>
  <c r="A496" i="13"/>
  <c r="A501" i="13"/>
  <c r="A511" i="13"/>
  <c r="A498" i="13"/>
  <c r="A491" i="13"/>
  <c r="A493" i="13"/>
  <c r="I142" i="7"/>
  <c r="I175" i="7"/>
  <c r="N195" i="7"/>
  <c r="M195" i="7"/>
  <c r="J222" i="7"/>
  <c r="Q241" i="7"/>
  <c r="I272" i="7"/>
  <c r="M275" i="7"/>
  <c r="Q275" i="7"/>
  <c r="J318" i="7"/>
  <c r="H320" i="7"/>
  <c r="S329" i="7"/>
  <c r="J329" i="7"/>
  <c r="I337" i="7"/>
  <c r="J339" i="7"/>
  <c r="S339" i="7"/>
  <c r="P17" i="8"/>
  <c r="O239" i="13" s="1"/>
  <c r="O17" i="8"/>
  <c r="N239" i="13" s="1"/>
  <c r="P39" i="8"/>
  <c r="O261" i="13" s="1"/>
  <c r="O39" i="8"/>
  <c r="N261" i="13" s="1"/>
  <c r="N39" i="8"/>
  <c r="M261" i="13" s="1"/>
  <c r="J159" i="7"/>
  <c r="I188" i="7"/>
  <c r="I205" i="7"/>
  <c r="H205" i="7"/>
  <c r="G205" i="7"/>
  <c r="J208" i="7"/>
  <c r="M225" i="7"/>
  <c r="J245" i="7"/>
  <c r="I286" i="7"/>
  <c r="J295" i="7"/>
  <c r="G297" i="7"/>
  <c r="M313" i="7"/>
  <c r="M329" i="7"/>
  <c r="J335" i="7"/>
  <c r="G337" i="7"/>
  <c r="N339" i="7"/>
  <c r="M339" i="7"/>
  <c r="Q345" i="7"/>
  <c r="M17" i="8"/>
  <c r="L239" i="13" s="1"/>
  <c r="M24" i="8"/>
  <c r="L246" i="13" s="1"/>
  <c r="M39" i="8"/>
  <c r="L261" i="13" s="1"/>
  <c r="J127" i="7"/>
  <c r="H141" i="7"/>
  <c r="M175" i="7"/>
  <c r="G181" i="7"/>
  <c r="I181" i="7" s="1"/>
  <c r="J191" i="7"/>
  <c r="I195" i="7"/>
  <c r="G198" i="7"/>
  <c r="M208" i="7"/>
  <c r="G215" i="7"/>
  <c r="G225" i="7"/>
  <c r="Q228" i="7"/>
  <c r="I241" i="7"/>
  <c r="I245" i="7"/>
  <c r="H245" i="7"/>
  <c r="J269" i="7"/>
  <c r="I275" i="7"/>
  <c r="I283" i="7"/>
  <c r="J290" i="7"/>
  <c r="S290" i="7"/>
  <c r="Q295" i="7"/>
  <c r="I295" i="7"/>
  <c r="H295" i="7"/>
  <c r="G295" i="7"/>
  <c r="H297" i="7"/>
  <c r="I304" i="7"/>
  <c r="H304" i="7"/>
  <c r="G313" i="7"/>
  <c r="I313" i="7" s="1"/>
  <c r="M320" i="7"/>
  <c r="G329" i="7"/>
  <c r="Q329" i="7" s="1"/>
  <c r="I335" i="7"/>
  <c r="H335" i="7"/>
  <c r="G335" i="7"/>
  <c r="N335" i="7"/>
  <c r="M335" i="7"/>
  <c r="H337" i="7"/>
  <c r="G339" i="7"/>
  <c r="I339" i="7" s="1"/>
  <c r="J341" i="7"/>
  <c r="G345" i="7"/>
  <c r="P15" i="8"/>
  <c r="O237" i="13" s="1"/>
  <c r="O15" i="8"/>
  <c r="N237" i="13" s="1"/>
  <c r="N15" i="8"/>
  <c r="M237" i="13" s="1"/>
  <c r="N17" i="8"/>
  <c r="M239" i="13" s="1"/>
  <c r="N24" i="8"/>
  <c r="M246" i="13" s="1"/>
  <c r="E363" i="13"/>
  <c r="G99" i="7"/>
  <c r="H108" i="7"/>
  <c r="G108" i="7"/>
  <c r="G141" i="7"/>
  <c r="Q141" i="7" s="1"/>
  <c r="N146" i="7"/>
  <c r="M146" i="7"/>
  <c r="G163" i="7"/>
  <c r="J174" i="7"/>
  <c r="H181" i="7"/>
  <c r="I191" i="7"/>
  <c r="H198" i="7"/>
  <c r="N211" i="7"/>
  <c r="M211" i="7"/>
  <c r="H215" i="7"/>
  <c r="H225" i="7"/>
  <c r="J240" i="7"/>
  <c r="J256" i="7"/>
  <c r="M262" i="7"/>
  <c r="I266" i="7"/>
  <c r="I297" i="7"/>
  <c r="J306" i="7"/>
  <c r="S306" i="7"/>
  <c r="H313" i="7"/>
  <c r="N320" i="7"/>
  <c r="J322" i="7"/>
  <c r="H329" i="7"/>
  <c r="M337" i="7"/>
  <c r="H339" i="7"/>
  <c r="M341" i="7"/>
  <c r="Q341" i="7"/>
  <c r="I341" i="7"/>
  <c r="H341" i="7"/>
  <c r="H345" i="7"/>
  <c r="O24" i="8"/>
  <c r="N246" i="13" s="1"/>
  <c r="E348" i="13"/>
  <c r="E318" i="13"/>
  <c r="I305" i="7"/>
  <c r="M338" i="7"/>
  <c r="I338" i="7"/>
  <c r="M260" i="7"/>
  <c r="J273" i="7"/>
  <c r="J288" i="7"/>
  <c r="G305" i="7"/>
  <c r="M308" i="7"/>
  <c r="I318" i="7"/>
  <c r="G338" i="7"/>
  <c r="M27" i="8"/>
  <c r="L249" i="13" s="1"/>
  <c r="E361" i="13"/>
  <c r="C506" i="13"/>
  <c r="A15" i="10"/>
  <c r="E5" i="10"/>
  <c r="AM8" i="11"/>
  <c r="B518" i="13" s="1"/>
  <c r="G188" i="7"/>
  <c r="G204" i="7"/>
  <c r="G220" i="7"/>
  <c r="Q220" i="7" s="1"/>
  <c r="G235" i="7"/>
  <c r="G244" i="7"/>
  <c r="G254" i="7"/>
  <c r="G260" i="7"/>
  <c r="Q260" i="7" s="1"/>
  <c r="G266" i="7"/>
  <c r="G282" i="7"/>
  <c r="Q282" i="7" s="1"/>
  <c r="I288" i="7"/>
  <c r="H288" i="7"/>
  <c r="H305" i="7"/>
  <c r="G308" i="7"/>
  <c r="J321" i="7"/>
  <c r="G328" i="7"/>
  <c r="H338" i="7"/>
  <c r="J352" i="7"/>
  <c r="N27" i="8"/>
  <c r="M249" i="13" s="1"/>
  <c r="M35" i="8"/>
  <c r="L257" i="13" s="1"/>
  <c r="B437" i="13"/>
  <c r="AN8" i="11"/>
  <c r="D518" i="13" s="1"/>
  <c r="H188" i="7"/>
  <c r="H204" i="7"/>
  <c r="H220" i="7"/>
  <c r="H235" i="7"/>
  <c r="H244" i="7"/>
  <c r="I254" i="7"/>
  <c r="H260" i="7"/>
  <c r="H266" i="7"/>
  <c r="H282" i="7"/>
  <c r="G288" i="7"/>
  <c r="M291" i="7"/>
  <c r="M305" i="7"/>
  <c r="H308" i="7"/>
  <c r="G311" i="7"/>
  <c r="I311" i="7" s="1"/>
  <c r="I321" i="7"/>
  <c r="H328" i="7"/>
  <c r="I334" i="7"/>
  <c r="N338" i="7"/>
  <c r="G343" i="7"/>
  <c r="I343" i="7" s="1"/>
  <c r="H352" i="7"/>
  <c r="G352" i="7"/>
  <c r="Q352" i="7" s="1"/>
  <c r="O27" i="8"/>
  <c r="N249" i="13" s="1"/>
  <c r="N35" i="8"/>
  <c r="M257" i="13" s="1"/>
  <c r="F5" i="10"/>
  <c r="F506" i="13" s="1"/>
  <c r="AO8" i="11"/>
  <c r="E518" i="13" s="1"/>
  <c r="I244" i="7"/>
  <c r="J272" i="7"/>
  <c r="Q281" i="7"/>
  <c r="Q294" i="7"/>
  <c r="G68" i="9" s="1"/>
  <c r="F373" i="13" s="1"/>
  <c r="N294" i="7"/>
  <c r="J304" i="7"/>
  <c r="N305" i="7"/>
  <c r="I308" i="7"/>
  <c r="N324" i="7"/>
  <c r="M324" i="7"/>
  <c r="I328" i="7"/>
  <c r="J337" i="7"/>
  <c r="N340" i="7"/>
  <c r="M340" i="7"/>
  <c r="E329" i="13"/>
  <c r="B438" i="13"/>
  <c r="A79" i="10"/>
  <c r="S9" i="11"/>
  <c r="E379" i="13"/>
  <c r="H74" i="9"/>
  <c r="G379" i="13" s="1"/>
  <c r="L17" i="11"/>
  <c r="D526" i="13" s="1"/>
  <c r="J17" i="11"/>
  <c r="B511" i="13"/>
  <c r="B417" i="13"/>
  <c r="A54" i="10"/>
  <c r="G351" i="7"/>
  <c r="Q351" i="7" s="1"/>
  <c r="M6" i="8"/>
  <c r="L228" i="13" s="1"/>
  <c r="M14" i="8"/>
  <c r="L236" i="13" s="1"/>
  <c r="M22" i="8"/>
  <c r="L244" i="13" s="1"/>
  <c r="M30" i="8"/>
  <c r="L252" i="13" s="1"/>
  <c r="M38" i="8"/>
  <c r="L260" i="13" s="1"/>
  <c r="G286" i="7"/>
  <c r="G302" i="7"/>
  <c r="Q302" i="7" s="1"/>
  <c r="G318" i="7"/>
  <c r="G334" i="7"/>
  <c r="G350" i="7"/>
  <c r="Q350" i="7" s="1"/>
  <c r="H351" i="7"/>
  <c r="N6" i="8"/>
  <c r="M228" i="13" s="1"/>
  <c r="N14" i="8"/>
  <c r="M236" i="13" s="1"/>
  <c r="N22" i="8"/>
  <c r="M244" i="13" s="1"/>
  <c r="N30" i="8"/>
  <c r="M252" i="13" s="1"/>
  <c r="N38" i="8"/>
  <c r="M260" i="13" s="1"/>
  <c r="E336" i="13"/>
  <c r="E374" i="13"/>
  <c r="H69" i="9"/>
  <c r="G374" i="13" s="1"/>
  <c r="H286" i="7"/>
  <c r="H302" i="7"/>
  <c r="H318" i="7"/>
  <c r="G333" i="7"/>
  <c r="H334" i="7"/>
  <c r="G349" i="7"/>
  <c r="H350" i="7"/>
  <c r="M5" i="8"/>
  <c r="L227" i="13" s="1"/>
  <c r="O6" i="8"/>
  <c r="N228" i="13" s="1"/>
  <c r="M13" i="8"/>
  <c r="L235" i="13" s="1"/>
  <c r="O14" i="8"/>
  <c r="N236" i="13" s="1"/>
  <c r="O22" i="8"/>
  <c r="N244" i="13" s="1"/>
  <c r="O30" i="8"/>
  <c r="N252" i="13" s="1"/>
  <c r="O38" i="8"/>
  <c r="N260" i="13" s="1"/>
  <c r="C521" i="13"/>
  <c r="AM11" i="11"/>
  <c r="B521" i="13" s="1"/>
  <c r="E360" i="13"/>
  <c r="C520" i="13"/>
  <c r="AO10" i="11"/>
  <c r="E520" i="13" s="1"/>
  <c r="AN10" i="11"/>
  <c r="D520" i="13" s="1"/>
  <c r="AM10" i="11"/>
  <c r="B520" i="13" s="1"/>
  <c r="H53" i="9"/>
  <c r="G358" i="13" s="1"/>
  <c r="C519" i="13"/>
  <c r="AM9" i="11"/>
  <c r="B519" i="13" s="1"/>
  <c r="E365" i="13"/>
  <c r="C511" i="13"/>
  <c r="E10" i="10"/>
  <c r="A141" i="10"/>
  <c r="E347" i="13"/>
  <c r="A484" i="13"/>
  <c r="A476" i="13"/>
  <c r="A468" i="13"/>
  <c r="A460" i="13"/>
  <c r="A486" i="13"/>
  <c r="A478" i="13"/>
  <c r="A470" i="13"/>
  <c r="A462" i="13"/>
  <c r="A458" i="13"/>
  <c r="A510" i="13"/>
  <c r="A471" i="13"/>
  <c r="A461" i="13"/>
  <c r="A487" i="13"/>
  <c r="A477" i="13"/>
  <c r="A467" i="13"/>
  <c r="A474" i="13"/>
  <c r="A466" i="13"/>
  <c r="A481" i="13"/>
  <c r="A457" i="13"/>
  <c r="A472" i="13"/>
  <c r="A465" i="13"/>
  <c r="A483" i="13"/>
  <c r="A459" i="13"/>
  <c r="A464" i="13"/>
  <c r="A482" i="13"/>
  <c r="A473" i="13"/>
  <c r="A480" i="13"/>
  <c r="A463" i="13"/>
  <c r="A455" i="13"/>
  <c r="A479" i="13"/>
  <c r="A488" i="13"/>
  <c r="A485" i="13"/>
  <c r="A469" i="13"/>
  <c r="A475" i="13"/>
  <c r="D506" i="13"/>
  <c r="C510" i="13"/>
  <c r="A103" i="10"/>
  <c r="A436" i="13"/>
  <c r="A428" i="13"/>
  <c r="A420" i="13"/>
  <c r="A430" i="13"/>
  <c r="A422" i="13"/>
  <c r="A425" i="13"/>
  <c r="A418" i="13"/>
  <c r="A426" i="13"/>
  <c r="A435" i="13"/>
  <c r="A434" i="13"/>
  <c r="A429" i="13"/>
  <c r="A424" i="13"/>
  <c r="A433" i="13"/>
  <c r="A427" i="13"/>
  <c r="A421" i="13"/>
  <c r="A419" i="13"/>
  <c r="A432" i="13"/>
  <c r="A417" i="13"/>
  <c r="D510" i="13"/>
  <c r="S6" i="11"/>
  <c r="H47" i="9"/>
  <c r="G352" i="13" s="1"/>
  <c r="A412" i="13"/>
  <c r="A404" i="13"/>
  <c r="A396" i="13"/>
  <c r="A388" i="13"/>
  <c r="A414" i="13"/>
  <c r="A406" i="13"/>
  <c r="A398" i="13"/>
  <c r="A390" i="13"/>
  <c r="A399" i="13"/>
  <c r="A389" i="13"/>
  <c r="A402" i="13"/>
  <c r="A392" i="13"/>
  <c r="A408" i="13"/>
  <c r="A385" i="13"/>
  <c r="A401" i="13"/>
  <c r="A393" i="13"/>
  <c r="A416" i="13"/>
  <c r="A411" i="13"/>
  <c r="A407" i="13"/>
  <c r="A506" i="13"/>
  <c r="A394" i="13"/>
  <c r="A387" i="13"/>
  <c r="A410" i="13"/>
  <c r="A415" i="13"/>
  <c r="A403" i="13"/>
  <c r="A395" i="13"/>
  <c r="A386" i="13"/>
  <c r="A409" i="13"/>
  <c r="A400" i="13"/>
  <c r="A391" i="13"/>
  <c r="A405" i="13"/>
  <c r="A384" i="13"/>
  <c r="A413" i="13"/>
  <c r="A383" i="13"/>
  <c r="C507" i="13"/>
  <c r="E6" i="10"/>
  <c r="E8" i="10"/>
  <c r="F9" i="10"/>
  <c r="F510" i="13" s="1"/>
  <c r="A95" i="10"/>
  <c r="A431" i="13"/>
  <c r="A444" i="13"/>
  <c r="A446" i="13"/>
  <c r="A438" i="13"/>
  <c r="A448" i="13"/>
  <c r="A450" i="13"/>
  <c r="A442" i="13"/>
  <c r="A443" i="13"/>
  <c r="A439" i="13"/>
  <c r="A508" i="13"/>
  <c r="A440" i="13"/>
  <c r="A437" i="13"/>
  <c r="A447" i="13"/>
  <c r="A445" i="13"/>
  <c r="A449" i="13"/>
  <c r="H63" i="9"/>
  <c r="G368" i="13" s="1"/>
  <c r="F6" i="10"/>
  <c r="F507" i="13" s="1"/>
  <c r="F10" i="10"/>
  <c r="F511" i="13" s="1"/>
  <c r="H52" i="9"/>
  <c r="G357" i="13" s="1"/>
  <c r="H73" i="9"/>
  <c r="G378" i="13" s="1"/>
  <c r="A441" i="13"/>
  <c r="N247" i="7" l="1"/>
  <c r="Q140" i="7"/>
  <c r="I11" i="7"/>
  <c r="V28" i="6"/>
  <c r="Q170" i="7"/>
  <c r="Q93" i="7"/>
  <c r="AC22" i="6"/>
  <c r="E42" i="13" s="1"/>
  <c r="U23" i="6"/>
  <c r="P299" i="7"/>
  <c r="Q293" i="7"/>
  <c r="I23" i="7"/>
  <c r="O23" i="7" s="1"/>
  <c r="I251" i="7"/>
  <c r="N118" i="7"/>
  <c r="O118" i="7" s="1"/>
  <c r="I122" i="7"/>
  <c r="I252" i="7"/>
  <c r="V85" i="6"/>
  <c r="Q311" i="7"/>
  <c r="U33" i="6"/>
  <c r="V70" i="6"/>
  <c r="I320" i="7"/>
  <c r="I82" i="7"/>
  <c r="AE12" i="3" s="1"/>
  <c r="AF12" i="3" s="1"/>
  <c r="H45" i="9"/>
  <c r="G350" i="13" s="1"/>
  <c r="Q261" i="7"/>
  <c r="I263" i="7"/>
  <c r="I161" i="7"/>
  <c r="U25" i="6"/>
  <c r="AA25" i="6" s="1"/>
  <c r="H45" i="13" s="1"/>
  <c r="N226" i="7"/>
  <c r="O226" i="7" s="1"/>
  <c r="D131" i="13"/>
  <c r="N46" i="7"/>
  <c r="I331" i="7"/>
  <c r="N178" i="7"/>
  <c r="N228" i="7"/>
  <c r="Q339" i="7"/>
  <c r="Q271" i="7"/>
  <c r="N137" i="7"/>
  <c r="Q230" i="7"/>
  <c r="Q119" i="7"/>
  <c r="AC7" i="6"/>
  <c r="E27" i="13" s="1"/>
  <c r="N177" i="7"/>
  <c r="N308" i="7"/>
  <c r="O308" i="7" s="1"/>
  <c r="N327" i="7"/>
  <c r="N7" i="7"/>
  <c r="O7" i="7" s="1"/>
  <c r="Q192" i="7"/>
  <c r="U70" i="6"/>
  <c r="G90" i="13" s="1"/>
  <c r="Q71" i="7"/>
  <c r="G23" i="9"/>
  <c r="F328" i="13" s="1"/>
  <c r="I110" i="7"/>
  <c r="AC13" i="6"/>
  <c r="E33" i="13" s="1"/>
  <c r="H68" i="9"/>
  <c r="G373" i="13" s="1"/>
  <c r="M33" i="8"/>
  <c r="L255" i="13" s="1"/>
  <c r="I109" i="7"/>
  <c r="N274" i="7"/>
  <c r="N266" i="7"/>
  <c r="N117" i="7"/>
  <c r="O117" i="7" s="1"/>
  <c r="G15" i="9"/>
  <c r="F320" i="13" s="1"/>
  <c r="N54" i="7"/>
  <c r="N27" i="7"/>
  <c r="U22" i="6"/>
  <c r="G42" i="13" s="1"/>
  <c r="U92" i="6"/>
  <c r="AC92" i="6" s="1"/>
  <c r="E112" i="13" s="1"/>
  <c r="G112" i="13"/>
  <c r="AA92" i="6"/>
  <c r="H112" i="13" s="1"/>
  <c r="Y92" i="6"/>
  <c r="I112" i="13" s="1"/>
  <c r="W92" i="6"/>
  <c r="F112" i="13" s="1"/>
  <c r="I9" i="7"/>
  <c r="K9" i="7" s="1"/>
  <c r="L9" i="7" s="1"/>
  <c r="V21" i="6"/>
  <c r="V57" i="6"/>
  <c r="V29" i="6"/>
  <c r="Z13" i="3"/>
  <c r="K353" i="7" s="1"/>
  <c r="L353" i="7" s="1"/>
  <c r="Q103" i="7"/>
  <c r="O300" i="7"/>
  <c r="K300" i="7"/>
  <c r="L300" i="7" s="1"/>
  <c r="G36" i="9"/>
  <c r="F341" i="13" s="1"/>
  <c r="N276" i="7"/>
  <c r="O276" i="7" s="1"/>
  <c r="I280" i="7"/>
  <c r="V92" i="6"/>
  <c r="AB92" i="6" s="1"/>
  <c r="L112" i="13" s="1"/>
  <c r="N97" i="7"/>
  <c r="O97" i="7" s="1"/>
  <c r="N44" i="7"/>
  <c r="Q91" i="7"/>
  <c r="Q53" i="7"/>
  <c r="I60" i="7"/>
  <c r="N174" i="7"/>
  <c r="V23" i="6"/>
  <c r="I43" i="7"/>
  <c r="D43" i="13"/>
  <c r="Q162" i="7"/>
  <c r="K16" i="7"/>
  <c r="L16" i="7" s="1"/>
  <c r="P16" i="7" s="1"/>
  <c r="U13" i="6"/>
  <c r="AA13" i="6" s="1"/>
  <c r="H33" i="13" s="1"/>
  <c r="N248" i="7"/>
  <c r="I221" i="7"/>
  <c r="O221" i="7" s="1"/>
  <c r="I193" i="7"/>
  <c r="I160" i="7"/>
  <c r="I69" i="7"/>
  <c r="K69" i="7" s="1"/>
  <c r="L69" i="7" s="1"/>
  <c r="D155" i="13"/>
  <c r="N126" i="7"/>
  <c r="O126" i="7" s="1"/>
  <c r="O16" i="7"/>
  <c r="H57" i="9"/>
  <c r="G362" i="13" s="1"/>
  <c r="I302" i="7"/>
  <c r="Q240" i="7"/>
  <c r="G28" i="9" s="1"/>
  <c r="H41" i="9"/>
  <c r="G346" i="13" s="1"/>
  <c r="I301" i="7"/>
  <c r="N34" i="7"/>
  <c r="Q290" i="7"/>
  <c r="Q20" i="7"/>
  <c r="N176" i="7"/>
  <c r="O176" i="7" s="1"/>
  <c r="U93" i="6"/>
  <c r="AC93" i="6" s="1"/>
  <c r="E113" i="13" s="1"/>
  <c r="I210" i="7"/>
  <c r="U5" i="6"/>
  <c r="G25" i="13" s="1"/>
  <c r="N166" i="7"/>
  <c r="I270" i="7"/>
  <c r="AC64" i="6"/>
  <c r="E84" i="13" s="1"/>
  <c r="Z7" i="3"/>
  <c r="N158" i="7"/>
  <c r="Q343" i="7"/>
  <c r="G38" i="9" s="1"/>
  <c r="Q199" i="7"/>
  <c r="V33" i="6"/>
  <c r="K53" i="13" s="1"/>
  <c r="N175" i="7"/>
  <c r="O175" i="7" s="1"/>
  <c r="I329" i="7"/>
  <c r="N227" i="7"/>
  <c r="O227" i="7" s="1"/>
  <c r="I90" i="7"/>
  <c r="I219" i="7"/>
  <c r="AE17" i="3" s="1"/>
  <c r="AF17" i="3" s="1"/>
  <c r="D93" i="13"/>
  <c r="U73" i="6"/>
  <c r="AC73" i="6" s="1"/>
  <c r="E93" i="13" s="1"/>
  <c r="U77" i="6"/>
  <c r="AC77" i="6" s="1"/>
  <c r="E97" i="13" s="1"/>
  <c r="G31" i="9"/>
  <c r="F336" i="13" s="1"/>
  <c r="U57" i="6"/>
  <c r="G77" i="13" s="1"/>
  <c r="D53" i="13"/>
  <c r="I151" i="7"/>
  <c r="W44" i="6"/>
  <c r="F64" i="13" s="1"/>
  <c r="H65" i="9"/>
  <c r="G370" i="13" s="1"/>
  <c r="Q132" i="7"/>
  <c r="N26" i="7"/>
  <c r="N184" i="7"/>
  <c r="O184" i="7" s="1"/>
  <c r="I29" i="7"/>
  <c r="N157" i="7"/>
  <c r="O157" i="7" s="1"/>
  <c r="M32" i="8"/>
  <c r="L254" i="13" s="1"/>
  <c r="V90" i="6"/>
  <c r="AB90" i="6" s="1"/>
  <c r="L110" i="13" s="1"/>
  <c r="V12" i="6"/>
  <c r="K32" i="13" s="1"/>
  <c r="V41" i="6"/>
  <c r="AB41" i="6" s="1"/>
  <c r="L61" i="13" s="1"/>
  <c r="AC18" i="6"/>
  <c r="E38" i="13" s="1"/>
  <c r="AA44" i="6"/>
  <c r="H64" i="13" s="1"/>
  <c r="L111" i="7"/>
  <c r="G30" i="9"/>
  <c r="F335" i="13" s="1"/>
  <c r="AC44" i="6"/>
  <c r="E64" i="13" s="1"/>
  <c r="Y44" i="6"/>
  <c r="I64" i="13" s="1"/>
  <c r="Y19" i="3"/>
  <c r="O111" i="7"/>
  <c r="D209" i="13"/>
  <c r="N306" i="7"/>
  <c r="O306" i="7" s="1"/>
  <c r="V77" i="6"/>
  <c r="N36" i="7"/>
  <c r="H42" i="9"/>
  <c r="G347" i="13" s="1"/>
  <c r="Q250" i="7"/>
  <c r="G29" i="9" s="1"/>
  <c r="AE15" i="3"/>
  <c r="AF15" i="3" s="1"/>
  <c r="N25" i="7"/>
  <c r="O25" i="7" s="1"/>
  <c r="U55" i="6"/>
  <c r="Y55" i="6" s="1"/>
  <c r="I75" i="13" s="1"/>
  <c r="I239" i="7"/>
  <c r="I282" i="7"/>
  <c r="V22" i="6"/>
  <c r="X22" i="6" s="1"/>
  <c r="J42" i="13" s="1"/>
  <c r="I10" i="7"/>
  <c r="AE8" i="3" s="1"/>
  <c r="AF8" i="3" s="1"/>
  <c r="V45" i="6"/>
  <c r="K65" i="13" s="1"/>
  <c r="V16" i="6"/>
  <c r="AB16" i="6" s="1"/>
  <c r="L36" i="13" s="1"/>
  <c r="K199" i="7"/>
  <c r="L199" i="7" s="1"/>
  <c r="K105" i="13"/>
  <c r="AB85" i="6"/>
  <c r="L105" i="13" s="1"/>
  <c r="Z85" i="6"/>
  <c r="M105" i="13" s="1"/>
  <c r="X85" i="6"/>
  <c r="J105" i="13" s="1"/>
  <c r="G48" i="13"/>
  <c r="Y28" i="6"/>
  <c r="I48" i="13" s="1"/>
  <c r="AA28" i="6"/>
  <c r="H48" i="13" s="1"/>
  <c r="W28" i="6"/>
  <c r="F48" i="13" s="1"/>
  <c r="AD28" i="6"/>
  <c r="K77" i="13"/>
  <c r="Z57" i="6"/>
  <c r="M77" i="13" s="1"/>
  <c r="X57" i="6"/>
  <c r="J77" i="13" s="1"/>
  <c r="AB57" i="6"/>
  <c r="L77" i="13" s="1"/>
  <c r="K179" i="7"/>
  <c r="L179" i="7" s="1"/>
  <c r="W93" i="6"/>
  <c r="F113" i="13" s="1"/>
  <c r="Y93" i="6"/>
  <c r="I113" i="13" s="1"/>
  <c r="AA93" i="6"/>
  <c r="H113" i="13" s="1"/>
  <c r="K42" i="7"/>
  <c r="L42" i="7" s="1"/>
  <c r="O42" i="7"/>
  <c r="G24" i="9"/>
  <c r="K30" i="13"/>
  <c r="Z10" i="6"/>
  <c r="M30" i="13" s="1"/>
  <c r="X10" i="6"/>
  <c r="J30" i="13" s="1"/>
  <c r="AB10" i="6"/>
  <c r="L30" i="13" s="1"/>
  <c r="K41" i="7"/>
  <c r="O41" i="7"/>
  <c r="L41" i="7"/>
  <c r="K110" i="13"/>
  <c r="Z90" i="6"/>
  <c r="M110" i="13" s="1"/>
  <c r="K271" i="7"/>
  <c r="L271" i="7" s="1"/>
  <c r="O271" i="7"/>
  <c r="G10" i="9"/>
  <c r="O52" i="7"/>
  <c r="K52" i="7"/>
  <c r="L52" i="7" s="1"/>
  <c r="G45" i="13"/>
  <c r="Y25" i="6"/>
  <c r="I45" i="13" s="1"/>
  <c r="W25" i="6"/>
  <c r="F45" i="13" s="1"/>
  <c r="G81" i="13"/>
  <c r="W61" i="6"/>
  <c r="F81" i="13" s="1"/>
  <c r="Y61" i="6"/>
  <c r="AA61" i="6"/>
  <c r="H81" i="13" s="1"/>
  <c r="O21" i="7"/>
  <c r="K21" i="7"/>
  <c r="L21" i="7" s="1"/>
  <c r="C29" i="12"/>
  <c r="G41" i="13"/>
  <c r="AA21" i="6"/>
  <c r="H41" i="13" s="1"/>
  <c r="Y21" i="6"/>
  <c r="I41" i="13" s="1"/>
  <c r="W21" i="6"/>
  <c r="F41" i="13" s="1"/>
  <c r="U94" i="6"/>
  <c r="D114" i="13"/>
  <c r="V94" i="6"/>
  <c r="K169" i="7"/>
  <c r="L169" i="7" s="1"/>
  <c r="D208" i="13"/>
  <c r="N298" i="7"/>
  <c r="O264" i="7"/>
  <c r="E509" i="13"/>
  <c r="O318" i="7"/>
  <c r="K191" i="7"/>
  <c r="L191" i="7" s="1"/>
  <c r="O191" i="7"/>
  <c r="O124" i="7"/>
  <c r="O310" i="7"/>
  <c r="K310" i="7"/>
  <c r="L310" i="7" s="1"/>
  <c r="F371" i="13"/>
  <c r="H66" i="9"/>
  <c r="G371" i="13" s="1"/>
  <c r="O274" i="7"/>
  <c r="D51" i="13"/>
  <c r="V31" i="6"/>
  <c r="U31" i="6"/>
  <c r="AC31" i="6"/>
  <c r="E51" i="13" s="1"/>
  <c r="Q40" i="7"/>
  <c r="I40" i="7"/>
  <c r="D106" i="13"/>
  <c r="U86" i="6"/>
  <c r="AC86" i="6" s="1"/>
  <c r="E106" i="13" s="1"/>
  <c r="V86" i="6"/>
  <c r="V60" i="6"/>
  <c r="V5" i="6"/>
  <c r="D76" i="13"/>
  <c r="V56" i="6"/>
  <c r="U56" i="6"/>
  <c r="AC56" i="6" s="1"/>
  <c r="E76" i="13" s="1"/>
  <c r="U10" i="6"/>
  <c r="Q172" i="7"/>
  <c r="G21" i="9" s="1"/>
  <c r="G84" i="13"/>
  <c r="W64" i="6"/>
  <c r="F84" i="13" s="1"/>
  <c r="AA64" i="6"/>
  <c r="H84" i="13" s="1"/>
  <c r="Y64" i="6"/>
  <c r="I84" i="13" s="1"/>
  <c r="D100" i="13"/>
  <c r="V80" i="6"/>
  <c r="U80" i="6"/>
  <c r="D40" i="13"/>
  <c r="AC20" i="6"/>
  <c r="E40" i="13" s="1"/>
  <c r="V20" i="6"/>
  <c r="U20" i="6"/>
  <c r="D119" i="13"/>
  <c r="N6" i="7"/>
  <c r="V18" i="6"/>
  <c r="D163" i="13"/>
  <c r="N148" i="7"/>
  <c r="O256" i="7"/>
  <c r="W5" i="3"/>
  <c r="Z5" i="3"/>
  <c r="K5" i="7" s="1"/>
  <c r="L5" i="7" s="1"/>
  <c r="U16" i="6"/>
  <c r="O315" i="7"/>
  <c r="O165" i="7"/>
  <c r="K49" i="7"/>
  <c r="L49" i="7" s="1"/>
  <c r="O285" i="7"/>
  <c r="AK7" i="11"/>
  <c r="AJ7" i="11"/>
  <c r="AL7" i="11" s="1"/>
  <c r="O45" i="7"/>
  <c r="D101" i="13"/>
  <c r="V81" i="6"/>
  <c r="U81" i="6"/>
  <c r="D74" i="13"/>
  <c r="U54" i="6"/>
  <c r="V54" i="6"/>
  <c r="O196" i="7"/>
  <c r="O265" i="7"/>
  <c r="K109" i="7"/>
  <c r="L109" i="7"/>
  <c r="D79" i="13"/>
  <c r="U59" i="6"/>
  <c r="V59" i="6"/>
  <c r="O151" i="7"/>
  <c r="Q73" i="7"/>
  <c r="O336" i="7"/>
  <c r="K128" i="7"/>
  <c r="L128" i="7" s="1"/>
  <c r="O128" i="7"/>
  <c r="O72" i="7"/>
  <c r="K72" i="7"/>
  <c r="L72" i="7" s="1"/>
  <c r="O33" i="7"/>
  <c r="K33" i="7"/>
  <c r="L33" i="7" s="1"/>
  <c r="O11" i="7"/>
  <c r="K11" i="7"/>
  <c r="L11" i="7" s="1"/>
  <c r="D103" i="13"/>
  <c r="V83" i="6"/>
  <c r="U83" i="6"/>
  <c r="E41" i="8"/>
  <c r="E33" i="8"/>
  <c r="E25" i="8"/>
  <c r="E17" i="8"/>
  <c r="E9" i="8"/>
  <c r="E42" i="8"/>
  <c r="E34" i="8"/>
  <c r="E26" i="8"/>
  <c r="E18" i="8"/>
  <c r="E10" i="8"/>
  <c r="E15" i="8"/>
  <c r="E7" i="8"/>
  <c r="E37" i="8"/>
  <c r="E29" i="8"/>
  <c r="E43" i="8"/>
  <c r="E40" i="8"/>
  <c r="E21" i="8"/>
  <c r="E13" i="8"/>
  <c r="E5" i="8"/>
  <c r="E38" i="8"/>
  <c r="E36" i="8"/>
  <c r="E11" i="8"/>
  <c r="E31" i="8"/>
  <c r="E22" i="8"/>
  <c r="E20" i="8"/>
  <c r="E27" i="8"/>
  <c r="E39" i="8"/>
  <c r="E12" i="8"/>
  <c r="E35" i="8"/>
  <c r="E14" i="8"/>
  <c r="E32" i="8"/>
  <c r="E23" i="8"/>
  <c r="E19" i="8"/>
  <c r="E8" i="8"/>
  <c r="E16" i="8"/>
  <c r="E6" i="8"/>
  <c r="E30" i="8"/>
  <c r="E44" i="8"/>
  <c r="E28" i="8"/>
  <c r="E24" i="8"/>
  <c r="O181" i="7"/>
  <c r="K181" i="7"/>
  <c r="L181" i="7" s="1"/>
  <c r="Q149" i="7"/>
  <c r="Q303" i="7"/>
  <c r="G34" i="9" s="1"/>
  <c r="Q330" i="7"/>
  <c r="I351" i="7"/>
  <c r="I212" i="7"/>
  <c r="O261" i="7"/>
  <c r="K261" i="7"/>
  <c r="L261" i="7" s="1"/>
  <c r="D95" i="13"/>
  <c r="U75" i="6"/>
  <c r="V75" i="6"/>
  <c r="D130" i="13"/>
  <c r="N38" i="7"/>
  <c r="O38" i="7" s="1"/>
  <c r="K23" i="7"/>
  <c r="L23" i="7"/>
  <c r="Q150" i="7"/>
  <c r="I143" i="7"/>
  <c r="O211" i="7"/>
  <c r="K211" i="7"/>
  <c r="L211" i="7" s="1"/>
  <c r="U45" i="6"/>
  <c r="K90" i="13"/>
  <c r="AB70" i="6"/>
  <c r="L90" i="13" s="1"/>
  <c r="Z70" i="6"/>
  <c r="M90" i="13" s="1"/>
  <c r="X70" i="6"/>
  <c r="J90" i="13" s="1"/>
  <c r="D156" i="13"/>
  <c r="N127" i="7"/>
  <c r="O127" i="7" s="1"/>
  <c r="G15" i="13"/>
  <c r="F17" i="9"/>
  <c r="U85" i="6"/>
  <c r="AC85" i="6" s="1"/>
  <c r="E105" i="13" s="1"/>
  <c r="O174" i="7"/>
  <c r="I130" i="7"/>
  <c r="D173" i="13"/>
  <c r="N185" i="7"/>
  <c r="O185" i="7" s="1"/>
  <c r="N186" i="7"/>
  <c r="O186" i="7" s="1"/>
  <c r="O96" i="7"/>
  <c r="D129" i="13"/>
  <c r="N37" i="7"/>
  <c r="O37" i="7" s="1"/>
  <c r="O108" i="7"/>
  <c r="O324" i="7"/>
  <c r="AC28" i="6"/>
  <c r="E48" i="13" s="1"/>
  <c r="AE13" i="3"/>
  <c r="AF13" i="3" s="1"/>
  <c r="K108" i="13"/>
  <c r="X88" i="6"/>
  <c r="J108" i="13" s="1"/>
  <c r="Z88" i="6"/>
  <c r="M108" i="13" s="1"/>
  <c r="AB88" i="6"/>
  <c r="L108" i="13" s="1"/>
  <c r="K209" i="7"/>
  <c r="L209" i="7" s="1"/>
  <c r="O43" i="7"/>
  <c r="K43" i="7"/>
  <c r="L43" i="7" s="1"/>
  <c r="O325" i="7"/>
  <c r="K43" i="13"/>
  <c r="X23" i="6"/>
  <c r="J43" i="13" s="1"/>
  <c r="AB23" i="6"/>
  <c r="L43" i="13" s="1"/>
  <c r="Z23" i="6"/>
  <c r="M43" i="13" s="1"/>
  <c r="AK5" i="11"/>
  <c r="AJ5" i="11"/>
  <c r="AL5" i="11" s="1"/>
  <c r="O53" i="7"/>
  <c r="K53" i="7"/>
  <c r="L53" i="7" s="1"/>
  <c r="O314" i="7"/>
  <c r="Q52" i="7"/>
  <c r="O330" i="7"/>
  <c r="K330" i="7"/>
  <c r="L330" i="7" s="1"/>
  <c r="N287" i="7"/>
  <c r="D83" i="13"/>
  <c r="V63" i="6"/>
  <c r="U63" i="6"/>
  <c r="AC63" i="6"/>
  <c r="E83" i="13" s="1"/>
  <c r="D91" i="13"/>
  <c r="V71" i="6"/>
  <c r="U71" i="6"/>
  <c r="Z10" i="3"/>
  <c r="K166" i="7" s="1"/>
  <c r="L166" i="7" s="1"/>
  <c r="W10" i="3"/>
  <c r="O231" i="7"/>
  <c r="K231" i="7"/>
  <c r="L231" i="7" s="1"/>
  <c r="O298" i="7"/>
  <c r="O294" i="7"/>
  <c r="V87" i="6"/>
  <c r="K159" i="7"/>
  <c r="L159" i="7" s="1"/>
  <c r="AE14" i="3"/>
  <c r="AF14" i="3" s="1"/>
  <c r="D221" i="13"/>
  <c r="N346" i="7"/>
  <c r="O346" i="7" s="1"/>
  <c r="K93" i="13"/>
  <c r="X73" i="6"/>
  <c r="J93" i="13" s="1"/>
  <c r="AB73" i="6"/>
  <c r="L93" i="13" s="1"/>
  <c r="Z73" i="6"/>
  <c r="M93" i="13" s="1"/>
  <c r="D123" i="13"/>
  <c r="N17" i="7"/>
  <c r="O17" i="7" s="1"/>
  <c r="D206" i="13"/>
  <c r="N304" i="7"/>
  <c r="O304" i="7" s="1"/>
  <c r="N295" i="7"/>
  <c r="O295" i="7" s="1"/>
  <c r="D102" i="13"/>
  <c r="V82" i="6"/>
  <c r="U82" i="6"/>
  <c r="AC82" i="6" s="1"/>
  <c r="E102" i="13" s="1"/>
  <c r="D73" i="13"/>
  <c r="V53" i="6"/>
  <c r="U53" i="6"/>
  <c r="O247" i="7"/>
  <c r="O195" i="7"/>
  <c r="K195" i="7"/>
  <c r="L195" i="7" s="1"/>
  <c r="I173" i="7"/>
  <c r="I200" i="7"/>
  <c r="O121" i="7"/>
  <c r="K121" i="7"/>
  <c r="L121" i="7" s="1"/>
  <c r="I70" i="7"/>
  <c r="O116" i="7"/>
  <c r="K81" i="7"/>
  <c r="L81" i="7" s="1"/>
  <c r="O81" i="7"/>
  <c r="O214" i="7"/>
  <c r="B526" i="13"/>
  <c r="N17" i="11"/>
  <c r="F526" i="13" s="1"/>
  <c r="M17" i="11"/>
  <c r="Q229" i="7"/>
  <c r="G27" i="9" s="1"/>
  <c r="F332" i="13" s="1"/>
  <c r="D175" i="13"/>
  <c r="N188" i="7"/>
  <c r="V52" i="6"/>
  <c r="U52" i="6"/>
  <c r="N218" i="7"/>
  <c r="D184" i="13"/>
  <c r="AJ6" i="11"/>
  <c r="AL6" i="11" s="1"/>
  <c r="E506" i="13"/>
  <c r="F354" i="13"/>
  <c r="H49" i="9"/>
  <c r="G354" i="13" s="1"/>
  <c r="O46" i="7"/>
  <c r="O54" i="7"/>
  <c r="O135" i="7"/>
  <c r="K135" i="7"/>
  <c r="L135" i="7" s="1"/>
  <c r="D63" i="13"/>
  <c r="U43" i="6"/>
  <c r="V43" i="6"/>
  <c r="O225" i="7"/>
  <c r="I309" i="7"/>
  <c r="O345" i="7"/>
  <c r="U87" i="6"/>
  <c r="AC25" i="6"/>
  <c r="E45" i="13" s="1"/>
  <c r="O338" i="7"/>
  <c r="D88" i="13"/>
  <c r="V68" i="6"/>
  <c r="U68" i="6"/>
  <c r="AC68" i="6" s="1"/>
  <c r="E88" i="13" s="1"/>
  <c r="K48" i="13"/>
  <c r="Z28" i="6"/>
  <c r="M48" i="13" s="1"/>
  <c r="X28" i="6"/>
  <c r="J48" i="13" s="1"/>
  <c r="AB28" i="6"/>
  <c r="L48" i="13" s="1"/>
  <c r="Q99" i="7"/>
  <c r="I99" i="7"/>
  <c r="D111" i="13"/>
  <c r="U91" i="6"/>
  <c r="V91" i="6"/>
  <c r="D68" i="13"/>
  <c r="V48" i="6"/>
  <c r="U48" i="6"/>
  <c r="AC48" i="6" s="1"/>
  <c r="E68" i="13" s="1"/>
  <c r="G43" i="13"/>
  <c r="W23" i="6"/>
  <c r="F43" i="13" s="1"/>
  <c r="Y23" i="6"/>
  <c r="I43" i="13" s="1"/>
  <c r="AA23" i="6"/>
  <c r="H43" i="13" s="1"/>
  <c r="D71" i="13"/>
  <c r="U51" i="6"/>
  <c r="V51" i="6"/>
  <c r="O136" i="7"/>
  <c r="D188" i="13"/>
  <c r="N235" i="7"/>
  <c r="N236" i="7"/>
  <c r="O236" i="7" s="1"/>
  <c r="O246" i="7"/>
  <c r="Y17" i="3"/>
  <c r="Z17" i="3" s="1"/>
  <c r="Q353" i="7"/>
  <c r="G39" i="9" s="1"/>
  <c r="Q292" i="7"/>
  <c r="Q41" i="7"/>
  <c r="K41" i="13"/>
  <c r="AB21" i="6"/>
  <c r="L41" i="13" s="1"/>
  <c r="X21" i="6"/>
  <c r="J41" i="13" s="1"/>
  <c r="Z21" i="6"/>
  <c r="M41" i="13" s="1"/>
  <c r="K69" i="13"/>
  <c r="X49" i="6"/>
  <c r="J69" i="13" s="1"/>
  <c r="AB49" i="6"/>
  <c r="L69" i="13" s="1"/>
  <c r="Z49" i="6"/>
  <c r="M69" i="13" s="1"/>
  <c r="F13" i="13"/>
  <c r="E12" i="9"/>
  <c r="D317" i="13" s="1"/>
  <c r="O177" i="7"/>
  <c r="O255" i="7"/>
  <c r="G33" i="13"/>
  <c r="W13" i="6"/>
  <c r="F33" i="13" s="1"/>
  <c r="Y70" i="6"/>
  <c r="I90" i="13" s="1"/>
  <c r="W70" i="6"/>
  <c r="F90" i="13" s="1"/>
  <c r="D86" i="13"/>
  <c r="U66" i="6"/>
  <c r="V66" i="6"/>
  <c r="O187" i="7"/>
  <c r="H55" i="9"/>
  <c r="G360" i="13" s="1"/>
  <c r="O257" i="7"/>
  <c r="K283" i="7"/>
  <c r="L283" i="7"/>
  <c r="O201" i="7"/>
  <c r="K201" i="7"/>
  <c r="L201" i="7"/>
  <c r="Q21" i="7"/>
  <c r="K39" i="7"/>
  <c r="L39" i="7" s="1"/>
  <c r="K19" i="7"/>
  <c r="L19" i="7" s="1"/>
  <c r="Q181" i="7"/>
  <c r="K6" i="7"/>
  <c r="L6" i="7"/>
  <c r="O6" i="7"/>
  <c r="N85" i="7"/>
  <c r="O85" i="7" s="1"/>
  <c r="D54" i="13"/>
  <c r="AC34" i="6"/>
  <c r="E54" i="13" s="1"/>
  <c r="V34" i="6"/>
  <c r="U34" i="6"/>
  <c r="I141" i="7"/>
  <c r="I51" i="7"/>
  <c r="Q51" i="7"/>
  <c r="G9" i="9" s="1"/>
  <c r="F314" i="13" s="1"/>
  <c r="V74" i="6"/>
  <c r="U74" i="6"/>
  <c r="AC74" i="6" s="1"/>
  <c r="E94" i="13" s="1"/>
  <c r="O235" i="7"/>
  <c r="V55" i="6"/>
  <c r="W8" i="3"/>
  <c r="Z8" i="3" s="1"/>
  <c r="D181" i="13"/>
  <c r="N208" i="7"/>
  <c r="H56" i="9"/>
  <c r="G361" i="13" s="1"/>
  <c r="H58" i="9"/>
  <c r="G363" i="13" s="1"/>
  <c r="I222" i="7"/>
  <c r="N267" i="7"/>
  <c r="O267" i="7" s="1"/>
  <c r="O204" i="7"/>
  <c r="N354" i="7"/>
  <c r="O354" i="7" s="1"/>
  <c r="I62" i="7"/>
  <c r="N167" i="7"/>
  <c r="O167" i="7" s="1"/>
  <c r="D115" i="13"/>
  <c r="V95" i="6"/>
  <c r="U95" i="6"/>
  <c r="AC95" i="6"/>
  <c r="E115" i="13" s="1"/>
  <c r="D31" i="13"/>
  <c r="U11" i="6"/>
  <c r="V11" i="6"/>
  <c r="AC11" i="6"/>
  <c r="E31" i="13" s="1"/>
  <c r="I129" i="7"/>
  <c r="O24" i="7"/>
  <c r="K24" i="7"/>
  <c r="L24" i="7" s="1"/>
  <c r="D144" i="13"/>
  <c r="N87" i="7"/>
  <c r="O87" i="7" s="1"/>
  <c r="W9" i="3"/>
  <c r="Z9" i="3" s="1"/>
  <c r="E317" i="13"/>
  <c r="I289" i="7"/>
  <c r="D28" i="13"/>
  <c r="U8" i="6"/>
  <c r="V8" i="6"/>
  <c r="AC8" i="6"/>
  <c r="E28" i="13" s="1"/>
  <c r="D46" i="13"/>
  <c r="AC26" i="6"/>
  <c r="E46" i="13" s="1"/>
  <c r="V26" i="6"/>
  <c r="U26" i="6"/>
  <c r="D136" i="13"/>
  <c r="N58" i="7"/>
  <c r="O58" i="7" s="1"/>
  <c r="O74" i="7"/>
  <c r="K79" i="7"/>
  <c r="L79" i="7"/>
  <c r="D177" i="13"/>
  <c r="N197" i="7"/>
  <c r="O197" i="7" s="1"/>
  <c r="V7" i="6"/>
  <c r="D52" i="13"/>
  <c r="V32" i="6"/>
  <c r="AC32" i="6"/>
  <c r="E52" i="13" s="1"/>
  <c r="U32" i="6"/>
  <c r="V25" i="6"/>
  <c r="Q179" i="7"/>
  <c r="G22" i="9" s="1"/>
  <c r="O107" i="7"/>
  <c r="O194" i="7"/>
  <c r="D55" i="13"/>
  <c r="AC35" i="6"/>
  <c r="E55" i="13" s="1"/>
  <c r="U35" i="6"/>
  <c r="V35" i="6"/>
  <c r="V13" i="6"/>
  <c r="O134" i="7"/>
  <c r="O326" i="7"/>
  <c r="W15" i="3"/>
  <c r="O281" i="7"/>
  <c r="K281" i="7"/>
  <c r="L281" i="7" s="1"/>
  <c r="O234" i="7"/>
  <c r="O348" i="7"/>
  <c r="B418" i="13"/>
  <c r="A55" i="10"/>
  <c r="O44" i="7"/>
  <c r="K44" i="7"/>
  <c r="L44" i="7" s="1"/>
  <c r="V9" i="6"/>
  <c r="U9" i="6"/>
  <c r="O164" i="7"/>
  <c r="I163" i="7"/>
  <c r="Q163" i="7"/>
  <c r="O78" i="7"/>
  <c r="K97" i="13"/>
  <c r="AB77" i="6"/>
  <c r="L97" i="13" s="1"/>
  <c r="Z77" i="6"/>
  <c r="M97" i="13" s="1"/>
  <c r="X77" i="6"/>
  <c r="J97" i="13" s="1"/>
  <c r="D26" i="13"/>
  <c r="AC6" i="6"/>
  <c r="E26" i="13" s="1"/>
  <c r="U6" i="6"/>
  <c r="V6" i="6"/>
  <c r="I120" i="7"/>
  <c r="Q223" i="7"/>
  <c r="G26" i="9" s="1"/>
  <c r="F331" i="13" s="1"/>
  <c r="K171" i="7"/>
  <c r="O171" i="7"/>
  <c r="L171" i="7"/>
  <c r="D44" i="13"/>
  <c r="AC24" i="6"/>
  <c r="E44" i="13" s="1"/>
  <c r="V24" i="6"/>
  <c r="U24" i="6"/>
  <c r="O35" i="7"/>
  <c r="D47" i="13"/>
  <c r="U27" i="6"/>
  <c r="V27" i="6"/>
  <c r="AC27" i="6"/>
  <c r="E47" i="13" s="1"/>
  <c r="W12" i="3"/>
  <c r="Z12" i="3" s="1"/>
  <c r="B439" i="13"/>
  <c r="A80" i="10"/>
  <c r="H60" i="9"/>
  <c r="G365" i="13" s="1"/>
  <c r="I260" i="7"/>
  <c r="O305" i="7"/>
  <c r="O245" i="7"/>
  <c r="Q313" i="7"/>
  <c r="G35" i="9" s="1"/>
  <c r="Q180" i="7"/>
  <c r="O327" i="7"/>
  <c r="F375" i="13"/>
  <c r="H70" i="9"/>
  <c r="G375" i="13" s="1"/>
  <c r="D66" i="13"/>
  <c r="U46" i="6"/>
  <c r="V46" i="6"/>
  <c r="AC46" i="6"/>
  <c r="E66" i="13" s="1"/>
  <c r="K296" i="7"/>
  <c r="L296" i="7" s="1"/>
  <c r="O71" i="7"/>
  <c r="K71" i="7"/>
  <c r="L71" i="7" s="1"/>
  <c r="D85" i="13"/>
  <c r="V65" i="6"/>
  <c r="U65" i="6"/>
  <c r="AC65" i="6" s="1"/>
  <c r="E85" i="13" s="1"/>
  <c r="D56" i="13"/>
  <c r="AC36" i="6"/>
  <c r="E56" i="13" s="1"/>
  <c r="V36" i="6"/>
  <c r="U36" i="6"/>
  <c r="F10" i="13"/>
  <c r="E6" i="9"/>
  <c r="D311" i="13" s="1"/>
  <c r="M20" i="8"/>
  <c r="L242" i="13" s="1"/>
  <c r="D62" i="13"/>
  <c r="V42" i="6"/>
  <c r="U42" i="6"/>
  <c r="D58" i="13"/>
  <c r="AC38" i="6"/>
  <c r="E58" i="13" s="1"/>
  <c r="U38" i="6"/>
  <c r="V38" i="6"/>
  <c r="N5" i="7"/>
  <c r="O5" i="7" s="1"/>
  <c r="U7" i="6"/>
  <c r="U41" i="6"/>
  <c r="O215" i="7"/>
  <c r="U18" i="6"/>
  <c r="V93" i="6"/>
  <c r="AE7" i="3"/>
  <c r="AF7" i="3" s="1"/>
  <c r="G49" i="13"/>
  <c r="W29" i="6"/>
  <c r="F49" i="13" s="1"/>
  <c r="Y29" i="6"/>
  <c r="I49" i="13" s="1"/>
  <c r="AA29" i="6"/>
  <c r="H49" i="13" s="1"/>
  <c r="O148" i="7"/>
  <c r="K148" i="7"/>
  <c r="L148" i="7" s="1"/>
  <c r="O95" i="7"/>
  <c r="O14" i="7"/>
  <c r="K14" i="7"/>
  <c r="L14" i="7"/>
  <c r="AJ10" i="11"/>
  <c r="AK10" i="11" s="1"/>
  <c r="U72" i="6"/>
  <c r="AC16" i="6"/>
  <c r="E36" i="13" s="1"/>
  <c r="E507" i="13"/>
  <c r="I131" i="7"/>
  <c r="Q131" i="7"/>
  <c r="K73" i="7"/>
  <c r="O73" i="7"/>
  <c r="L73" i="7"/>
  <c r="AC90" i="6"/>
  <c r="E110" i="13" s="1"/>
  <c r="K175" i="7"/>
  <c r="L175" i="7" s="1"/>
  <c r="O104" i="7"/>
  <c r="K32" i="7"/>
  <c r="L32" i="7" s="1"/>
  <c r="O32" i="7"/>
  <c r="O67" i="7"/>
  <c r="K64" i="13"/>
  <c r="AB44" i="6"/>
  <c r="L64" i="13" s="1"/>
  <c r="X44" i="6"/>
  <c r="J64" i="13" s="1"/>
  <c r="Z44" i="6"/>
  <c r="M64" i="13" s="1"/>
  <c r="K31" i="7"/>
  <c r="L31" i="7" s="1"/>
  <c r="O31" i="7"/>
  <c r="K339" i="7"/>
  <c r="L339" i="7" s="1"/>
  <c r="O339" i="7"/>
  <c r="W20" i="3"/>
  <c r="Z20" i="3" s="1"/>
  <c r="E310" i="13"/>
  <c r="D219" i="13"/>
  <c r="N337" i="7"/>
  <c r="O337" i="7" s="1"/>
  <c r="D182" i="13"/>
  <c r="N215" i="7"/>
  <c r="N216" i="7"/>
  <c r="O216" i="7" s="1"/>
  <c r="N224" i="7"/>
  <c r="O224" i="7" s="1"/>
  <c r="D205" i="13"/>
  <c r="N288" i="7"/>
  <c r="O288" i="7" s="1"/>
  <c r="K149" i="7"/>
  <c r="L149" i="7"/>
  <c r="X92" i="6"/>
  <c r="J112" i="13" s="1"/>
  <c r="Z92" i="6"/>
  <c r="M112" i="13" s="1"/>
  <c r="U49" i="6"/>
  <c r="E338" i="13"/>
  <c r="Q333" i="7"/>
  <c r="I333" i="7"/>
  <c r="N244" i="7"/>
  <c r="K188" i="7"/>
  <c r="O188" i="7"/>
  <c r="L188" i="7"/>
  <c r="G5" i="9"/>
  <c r="F310" i="13" s="1"/>
  <c r="G96" i="13"/>
  <c r="Y76" i="6"/>
  <c r="I96" i="13" s="1"/>
  <c r="W76" i="6"/>
  <c r="F96" i="13" s="1"/>
  <c r="AA76" i="6"/>
  <c r="H96" i="13" s="1"/>
  <c r="E314" i="13"/>
  <c r="D59" i="13"/>
  <c r="AC39" i="6"/>
  <c r="E59" i="13" s="1"/>
  <c r="V39" i="6"/>
  <c r="U39" i="6"/>
  <c r="O8" i="7"/>
  <c r="K8" i="7"/>
  <c r="L8" i="7" s="1"/>
  <c r="B383" i="13"/>
  <c r="A16" i="10"/>
  <c r="I92" i="7"/>
  <c r="Q92" i="7"/>
  <c r="G18" i="9"/>
  <c r="I50" i="7"/>
  <c r="D213" i="13"/>
  <c r="N317" i="7"/>
  <c r="O317" i="7" s="1"/>
  <c r="O144" i="7"/>
  <c r="E511" i="13"/>
  <c r="E7" i="12"/>
  <c r="O334" i="7"/>
  <c r="O335" i="7"/>
  <c r="D67" i="13"/>
  <c r="V47" i="6"/>
  <c r="U47" i="6"/>
  <c r="O344" i="7"/>
  <c r="D185" i="13"/>
  <c r="N234" i="7"/>
  <c r="Q133" i="7"/>
  <c r="K42" i="13"/>
  <c r="AB22" i="6"/>
  <c r="L42" i="13" s="1"/>
  <c r="Z22" i="6"/>
  <c r="M42" i="13" s="1"/>
  <c r="O287" i="7"/>
  <c r="G53" i="13"/>
  <c r="AA33" i="6"/>
  <c r="H53" i="13" s="1"/>
  <c r="W33" i="6"/>
  <c r="F53" i="13" s="1"/>
  <c r="Y33" i="6"/>
  <c r="O244" i="7"/>
  <c r="M41" i="8"/>
  <c r="L263" i="13" s="1"/>
  <c r="K313" i="7"/>
  <c r="L313" i="7" s="1"/>
  <c r="K241" i="7"/>
  <c r="L241" i="7" s="1"/>
  <c r="O241" i="7"/>
  <c r="K238" i="7"/>
  <c r="L238" i="7" s="1"/>
  <c r="O238" i="7"/>
  <c r="D200" i="13"/>
  <c r="N284" i="7"/>
  <c r="O284" i="7" s="1"/>
  <c r="O22" i="7"/>
  <c r="K22" i="7"/>
  <c r="L22" i="7" s="1"/>
  <c r="O27" i="7"/>
  <c r="K233" i="7"/>
  <c r="L233" i="7" s="1"/>
  <c r="D157" i="13"/>
  <c r="N128" i="7"/>
  <c r="O340" i="7"/>
  <c r="L340" i="7"/>
  <c r="K340" i="7"/>
  <c r="O105" i="7"/>
  <c r="O61" i="7"/>
  <c r="K61" i="7"/>
  <c r="L61" i="7"/>
  <c r="D207" i="13"/>
  <c r="N297" i="7"/>
  <c r="O297" i="7" s="1"/>
  <c r="K59" i="7"/>
  <c r="L59" i="7" s="1"/>
  <c r="D134" i="13"/>
  <c r="N56" i="7"/>
  <c r="O56" i="7" s="1"/>
  <c r="D37" i="13"/>
  <c r="U17" i="6"/>
  <c r="V17" i="6"/>
  <c r="AC17" i="6"/>
  <c r="E37" i="13" s="1"/>
  <c r="E349" i="13"/>
  <c r="H44" i="9"/>
  <c r="G349" i="13" s="1"/>
  <c r="W6" i="3"/>
  <c r="Z6" i="3" s="1"/>
  <c r="I189" i="7"/>
  <c r="W19" i="3"/>
  <c r="Z19" i="3" s="1"/>
  <c r="O258" i="7"/>
  <c r="U12" i="6"/>
  <c r="V69" i="6"/>
  <c r="N88" i="7"/>
  <c r="O88" i="7" s="1"/>
  <c r="K49" i="13"/>
  <c r="X29" i="6"/>
  <c r="J49" i="13" s="1"/>
  <c r="AB29" i="6"/>
  <c r="L49" i="13" s="1"/>
  <c r="Z29" i="6"/>
  <c r="M49" i="13" s="1"/>
  <c r="O168" i="7"/>
  <c r="K168" i="7"/>
  <c r="L168" i="7" s="1"/>
  <c r="O114" i="7"/>
  <c r="O137" i="7"/>
  <c r="K63" i="7"/>
  <c r="L63" i="7" s="1"/>
  <c r="O63" i="7"/>
  <c r="K138" i="7"/>
  <c r="L138" i="7" s="1"/>
  <c r="O138" i="7"/>
  <c r="O217" i="7"/>
  <c r="V72" i="6"/>
  <c r="AC10" i="6"/>
  <c r="E30" i="13" s="1"/>
  <c r="O166" i="7"/>
  <c r="O147" i="7"/>
  <c r="O316" i="7"/>
  <c r="U90" i="6"/>
  <c r="D98" i="13"/>
  <c r="U78" i="6"/>
  <c r="V78" i="6"/>
  <c r="D99" i="13"/>
  <c r="V79" i="6"/>
  <c r="U79" i="6"/>
  <c r="AC79" i="6" s="1"/>
  <c r="E99" i="13" s="1"/>
  <c r="F21" i="13"/>
  <c r="E33" i="9"/>
  <c r="D338" i="13" s="1"/>
  <c r="O218" i="7"/>
  <c r="K218" i="7"/>
  <c r="L218" i="7" s="1"/>
  <c r="W11" i="3"/>
  <c r="Z11" i="3" s="1"/>
  <c r="AE6" i="3"/>
  <c r="AF6" i="3" s="1"/>
  <c r="G18" i="13"/>
  <c r="F26" i="9"/>
  <c r="I349" i="7"/>
  <c r="Q349" i="7"/>
  <c r="O266" i="7"/>
  <c r="O66" i="7"/>
  <c r="O57" i="7"/>
  <c r="I12" i="7"/>
  <c r="D39" i="13"/>
  <c r="AC19" i="6"/>
  <c r="E39" i="13" s="1"/>
  <c r="V19" i="6"/>
  <c r="U19" i="6"/>
  <c r="D160" i="13"/>
  <c r="N138" i="7"/>
  <c r="O84" i="7"/>
  <c r="K203" i="7"/>
  <c r="L203" i="7" s="1"/>
  <c r="O254" i="7"/>
  <c r="Q279" i="7"/>
  <c r="K96" i="13"/>
  <c r="X76" i="6"/>
  <c r="J96" i="13" s="1"/>
  <c r="AB76" i="6"/>
  <c r="L96" i="13" s="1"/>
  <c r="Z76" i="6"/>
  <c r="M96" i="13" s="1"/>
  <c r="D140" i="13"/>
  <c r="N75" i="7"/>
  <c r="O75" i="7" s="1"/>
  <c r="O155" i="7"/>
  <c r="K93" i="7"/>
  <c r="L93" i="7" s="1"/>
  <c r="K101" i="7"/>
  <c r="L101" i="7" s="1"/>
  <c r="O101" i="7"/>
  <c r="AJ8" i="11"/>
  <c r="AK8" i="11" s="1"/>
  <c r="I352" i="7"/>
  <c r="K320" i="7"/>
  <c r="L320" i="7"/>
  <c r="O320" i="7"/>
  <c r="I153" i="7"/>
  <c r="O156" i="7"/>
  <c r="D82" i="13"/>
  <c r="U62" i="6"/>
  <c r="V62" i="6"/>
  <c r="D179" i="13"/>
  <c r="N205" i="7"/>
  <c r="O205" i="7" s="1"/>
  <c r="N206" i="7"/>
  <c r="O206" i="7" s="1"/>
  <c r="O228" i="7"/>
  <c r="K228" i="7"/>
  <c r="L228" i="7" s="1"/>
  <c r="B489" i="13"/>
  <c r="A142" i="10"/>
  <c r="O275" i="7"/>
  <c r="K158" i="7"/>
  <c r="L158" i="7" s="1"/>
  <c r="O158" i="7"/>
  <c r="N237" i="7"/>
  <c r="O237" i="7" s="1"/>
  <c r="E325" i="13"/>
  <c r="N77" i="7"/>
  <c r="O77" i="7" s="1"/>
  <c r="AJ9" i="11"/>
  <c r="AK9" i="11" s="1"/>
  <c r="G19" i="9"/>
  <c r="N76" i="7"/>
  <c r="O76" i="7" s="1"/>
  <c r="K139" i="7"/>
  <c r="L139" i="7" s="1"/>
  <c r="B451" i="13"/>
  <c r="A96" i="10"/>
  <c r="N277" i="7"/>
  <c r="O277" i="7" s="1"/>
  <c r="K183" i="7"/>
  <c r="L183" i="7" s="1"/>
  <c r="O278" i="7"/>
  <c r="H40" i="9"/>
  <c r="G345" i="13" s="1"/>
  <c r="N296" i="7"/>
  <c r="O296" i="7" s="1"/>
  <c r="O198" i="7"/>
  <c r="K198" i="7"/>
  <c r="L198" i="7" s="1"/>
  <c r="D178" i="13"/>
  <c r="N198" i="7"/>
  <c r="I220" i="7"/>
  <c r="E311" i="13"/>
  <c r="D87" i="13"/>
  <c r="U67" i="6"/>
  <c r="AC67" i="6" s="1"/>
  <c r="E87" i="13" s="1"/>
  <c r="V67" i="6"/>
  <c r="AC9" i="6"/>
  <c r="E29" i="13" s="1"/>
  <c r="G19" i="13"/>
  <c r="F27" i="9"/>
  <c r="O115" i="7"/>
  <c r="K13" i="7"/>
  <c r="L13" i="7" s="1"/>
  <c r="O13" i="7"/>
  <c r="O207" i="7"/>
  <c r="AC12" i="6"/>
  <c r="E32" i="13" s="1"/>
  <c r="N86" i="7"/>
  <c r="O86" i="7" s="1"/>
  <c r="D35" i="13"/>
  <c r="V15" i="6"/>
  <c r="U15" i="6"/>
  <c r="AC15" i="6"/>
  <c r="E35" i="13" s="1"/>
  <c r="O307" i="7"/>
  <c r="D57" i="13"/>
  <c r="AC37" i="6"/>
  <c r="E57" i="13" s="1"/>
  <c r="U37" i="6"/>
  <c r="V37" i="6"/>
  <c r="O319" i="7"/>
  <c r="K319" i="7"/>
  <c r="L319" i="7" s="1"/>
  <c r="AC21" i="6"/>
  <c r="E41" i="13" s="1"/>
  <c r="K119" i="7"/>
  <c r="L119" i="7" s="1"/>
  <c r="K208" i="7"/>
  <c r="L208" i="7" s="1"/>
  <c r="O208" i="7"/>
  <c r="O28" i="7"/>
  <c r="O146" i="7"/>
  <c r="O268" i="7"/>
  <c r="O347" i="7"/>
  <c r="AC76" i="6"/>
  <c r="E96" i="13" s="1"/>
  <c r="U69" i="6"/>
  <c r="K290" i="7"/>
  <c r="L290" i="7" s="1"/>
  <c r="O290" i="7"/>
  <c r="F16" i="13"/>
  <c r="E20" i="9"/>
  <c r="D325" i="13" s="1"/>
  <c r="K161" i="7"/>
  <c r="L161" i="7" s="1"/>
  <c r="O161" i="7"/>
  <c r="O125" i="7"/>
  <c r="G108" i="13"/>
  <c r="W88" i="6"/>
  <c r="F108" i="13" s="1"/>
  <c r="AA88" i="6"/>
  <c r="H108" i="13" s="1"/>
  <c r="Y88" i="6"/>
  <c r="I108" i="13" s="1"/>
  <c r="O94" i="7"/>
  <c r="O98" i="7"/>
  <c r="O106" i="7"/>
  <c r="D34" i="13"/>
  <c r="U14" i="6"/>
  <c r="AC14" i="6"/>
  <c r="E34" i="13" s="1"/>
  <c r="V14" i="6"/>
  <c r="K89" i="7"/>
  <c r="L89" i="7"/>
  <c r="G32" i="9"/>
  <c r="V61" i="6"/>
  <c r="AC61" i="6" s="1"/>
  <c r="E81" i="13" s="1"/>
  <c r="K84" i="13"/>
  <c r="Z64" i="6"/>
  <c r="M84" i="13" s="1"/>
  <c r="X64" i="6"/>
  <c r="J84" i="13" s="1"/>
  <c r="AB64" i="6"/>
  <c r="L84" i="13" s="1"/>
  <c r="O91" i="7"/>
  <c r="K91" i="7"/>
  <c r="L91" i="7" s="1"/>
  <c r="K251" i="7"/>
  <c r="L251" i="7" s="1"/>
  <c r="O251" i="7"/>
  <c r="D50" i="13"/>
  <c r="U30" i="6"/>
  <c r="AC30" i="6"/>
  <c r="E50" i="13" s="1"/>
  <c r="V30" i="6"/>
  <c r="O15" i="7"/>
  <c r="B455" i="13"/>
  <c r="A104" i="10"/>
  <c r="O248" i="7"/>
  <c r="K248" i="7"/>
  <c r="L248" i="7" s="1"/>
  <c r="H15" i="9"/>
  <c r="G320" i="13" s="1"/>
  <c r="H43" i="9"/>
  <c r="G348" i="13" s="1"/>
  <c r="O286" i="7"/>
  <c r="Q213" i="7"/>
  <c r="G25" i="9" s="1"/>
  <c r="O178" i="7"/>
  <c r="K178" i="7"/>
  <c r="L178" i="7" s="1"/>
  <c r="I350" i="7"/>
  <c r="D60" i="13"/>
  <c r="V40" i="6"/>
  <c r="U40" i="6"/>
  <c r="AC40" i="6" s="1"/>
  <c r="E60" i="13" s="1"/>
  <c r="U89" i="6"/>
  <c r="V89" i="6"/>
  <c r="Q83" i="7"/>
  <c r="G12" i="9" s="1"/>
  <c r="D150" i="13"/>
  <c r="N107" i="7"/>
  <c r="G7" i="9"/>
  <c r="D124" i="13"/>
  <c r="N18" i="7"/>
  <c r="O18" i="7" s="1"/>
  <c r="O65" i="7"/>
  <c r="O55" i="7"/>
  <c r="D161" i="13"/>
  <c r="N154" i="7"/>
  <c r="O154" i="7" s="1"/>
  <c r="N145" i="7"/>
  <c r="O145" i="7" s="1"/>
  <c r="D104" i="13"/>
  <c r="U84" i="6"/>
  <c r="V84" i="6"/>
  <c r="K263" i="7"/>
  <c r="L263" i="7" s="1"/>
  <c r="G16" i="9"/>
  <c r="N64" i="7"/>
  <c r="O64" i="7" s="1"/>
  <c r="E335" i="13"/>
  <c r="H30" i="9"/>
  <c r="G335" i="13" s="1"/>
  <c r="D70" i="13"/>
  <c r="V50" i="6"/>
  <c r="U50" i="6"/>
  <c r="AC50" i="6"/>
  <c r="E70" i="13" s="1"/>
  <c r="D132" i="13"/>
  <c r="N47" i="7"/>
  <c r="O47" i="7" s="1"/>
  <c r="D78" i="13"/>
  <c r="U58" i="6"/>
  <c r="V58" i="6"/>
  <c r="U60" i="6"/>
  <c r="D217" i="13"/>
  <c r="N328" i="7"/>
  <c r="O328" i="7" s="1"/>
  <c r="O68" i="7"/>
  <c r="O26" i="7"/>
  <c r="K26" i="7"/>
  <c r="L26" i="7" s="1"/>
  <c r="O34" i="7"/>
  <c r="K34" i="7"/>
  <c r="L34" i="7" s="1"/>
  <c r="AE5" i="3"/>
  <c r="AF5" i="3" s="1"/>
  <c r="O36" i="7"/>
  <c r="K36" i="7"/>
  <c r="L36" i="7" s="1"/>
  <c r="N48" i="7"/>
  <c r="O48" i="7" s="1"/>
  <c r="E5" i="9"/>
  <c r="D310" i="13" s="1"/>
  <c r="F334" i="13" l="1"/>
  <c r="H29" i="9"/>
  <c r="G334" i="13" s="1"/>
  <c r="P6" i="7"/>
  <c r="X90" i="6"/>
  <c r="J110" i="13" s="1"/>
  <c r="AC57" i="6"/>
  <c r="E77" i="13" s="1"/>
  <c r="K112" i="13"/>
  <c r="X41" i="6"/>
  <c r="J61" i="13" s="1"/>
  <c r="G75" i="13"/>
  <c r="Y5" i="6"/>
  <c r="AD25" i="6"/>
  <c r="N45" i="13" s="1"/>
  <c r="G11" i="9"/>
  <c r="F316" i="13" s="1"/>
  <c r="Z41" i="6"/>
  <c r="M61" i="13" s="1"/>
  <c r="W22" i="6"/>
  <c r="F42" i="13" s="1"/>
  <c r="W5" i="6"/>
  <c r="F25" i="13" s="1"/>
  <c r="G33" i="9"/>
  <c r="F338" i="13" s="1"/>
  <c r="AC78" i="6"/>
  <c r="E98" i="13" s="1"/>
  <c r="Y22" i="6"/>
  <c r="I42" i="13" s="1"/>
  <c r="AC80" i="6"/>
  <c r="E100" i="13" s="1"/>
  <c r="K61" i="13"/>
  <c r="X12" i="6"/>
  <c r="J32" i="13" s="1"/>
  <c r="AA5" i="6"/>
  <c r="H25" i="13" s="1"/>
  <c r="AC70" i="6"/>
  <c r="E90" i="13" s="1"/>
  <c r="AA70" i="6"/>
  <c r="H90" i="13" s="1"/>
  <c r="AA22" i="6"/>
  <c r="H42" i="13" s="1"/>
  <c r="K216" i="7"/>
  <c r="L216" i="7" s="1"/>
  <c r="AB12" i="6"/>
  <c r="L32" i="13" s="1"/>
  <c r="W57" i="6"/>
  <c r="F77" i="13" s="1"/>
  <c r="G20" i="9"/>
  <c r="F325" i="13" s="1"/>
  <c r="K206" i="7"/>
  <c r="L206" i="7" s="1"/>
  <c r="P206" i="7" s="1"/>
  <c r="Z12" i="6"/>
  <c r="M32" i="13" s="1"/>
  <c r="AA57" i="6"/>
  <c r="H77" i="13" s="1"/>
  <c r="G13" i="9"/>
  <c r="Y57" i="6"/>
  <c r="I77" i="13" s="1"/>
  <c r="H36" i="9"/>
  <c r="G341" i="13" s="1"/>
  <c r="P111" i="7"/>
  <c r="AC5" i="6"/>
  <c r="E25" i="13" s="1"/>
  <c r="P31" i="7"/>
  <c r="W55" i="6"/>
  <c r="F75" i="13" s="1"/>
  <c r="G113" i="13"/>
  <c r="K221" i="7"/>
  <c r="L221" i="7" s="1"/>
  <c r="K176" i="7"/>
  <c r="L176" i="7" s="1"/>
  <c r="AC84" i="6"/>
  <c r="E104" i="13" s="1"/>
  <c r="K226" i="7"/>
  <c r="L226" i="7" s="1"/>
  <c r="P226" i="7" s="1"/>
  <c r="H23" i="9"/>
  <c r="G328" i="13" s="1"/>
  <c r="AC53" i="6"/>
  <c r="E73" i="13" s="1"/>
  <c r="F343" i="13"/>
  <c r="H38" i="9"/>
  <c r="G343" i="13" s="1"/>
  <c r="K108" i="7"/>
  <c r="L108" i="7" s="1"/>
  <c r="K58" i="7"/>
  <c r="L58" i="7" s="1"/>
  <c r="P58" i="7" s="1"/>
  <c r="K98" i="7"/>
  <c r="L98" i="7" s="1"/>
  <c r="K68" i="7"/>
  <c r="L68" i="7" s="1"/>
  <c r="I18" i="8" s="1"/>
  <c r="K118" i="7"/>
  <c r="L118" i="7" s="1"/>
  <c r="P118" i="7" s="1"/>
  <c r="K78" i="7"/>
  <c r="L78" i="7" s="1"/>
  <c r="K28" i="7"/>
  <c r="L28" i="7" s="1"/>
  <c r="P28" i="7" s="1"/>
  <c r="K88" i="7"/>
  <c r="L88" i="7" s="1"/>
  <c r="P88" i="7" s="1"/>
  <c r="K38" i="7"/>
  <c r="L38" i="7" s="1"/>
  <c r="P38" i="7" s="1"/>
  <c r="R8" i="8" s="1"/>
  <c r="K18" i="7"/>
  <c r="L18" i="7" s="1"/>
  <c r="P18" i="7" s="1"/>
  <c r="Y14" i="3"/>
  <c r="K48" i="7"/>
  <c r="L48" i="7" s="1"/>
  <c r="P216" i="7"/>
  <c r="F333" i="13"/>
  <c r="H28" i="9"/>
  <c r="G333" i="13" s="1"/>
  <c r="K321" i="7"/>
  <c r="L321" i="7" s="1"/>
  <c r="K331" i="7"/>
  <c r="L331" i="7" s="1"/>
  <c r="K311" i="7"/>
  <c r="L311" i="7" s="1"/>
  <c r="K341" i="7"/>
  <c r="L341" i="7" s="1"/>
  <c r="AC75" i="6"/>
  <c r="E95" i="13" s="1"/>
  <c r="P238" i="7"/>
  <c r="K35" i="7"/>
  <c r="L35" i="7" s="1"/>
  <c r="P35" i="7" s="1"/>
  <c r="R5" i="8" s="1"/>
  <c r="Y13" i="6"/>
  <c r="I33" i="13" s="1"/>
  <c r="K29" i="7"/>
  <c r="L29" i="7" s="1"/>
  <c r="Y18" i="3"/>
  <c r="Z18" i="3" s="1"/>
  <c r="K315" i="7" s="1"/>
  <c r="L315" i="7" s="1"/>
  <c r="P315" i="7" s="1"/>
  <c r="AA55" i="6"/>
  <c r="H75" i="13" s="1"/>
  <c r="K303" i="7"/>
  <c r="L303" i="7" s="1"/>
  <c r="G17" i="9"/>
  <c r="F322" i="13" s="1"/>
  <c r="Z16" i="6"/>
  <c r="M36" i="13" s="1"/>
  <c r="K155" i="7"/>
  <c r="L155" i="7" s="1"/>
  <c r="AC87" i="6"/>
  <c r="E107" i="13" s="1"/>
  <c r="K343" i="7"/>
  <c r="L343" i="7" s="1"/>
  <c r="K151" i="7"/>
  <c r="L151" i="7" s="1"/>
  <c r="P151" i="7" s="1"/>
  <c r="K36" i="13"/>
  <c r="H31" i="9"/>
  <c r="G336" i="13" s="1"/>
  <c r="P191" i="7"/>
  <c r="AC54" i="6"/>
  <c r="E74" i="13" s="1"/>
  <c r="P78" i="7"/>
  <c r="AD23" i="6"/>
  <c r="AD92" i="6"/>
  <c r="AE92" i="6" s="1"/>
  <c r="X16" i="6"/>
  <c r="J36" i="13" s="1"/>
  <c r="K326" i="7"/>
  <c r="L326" i="7" s="1"/>
  <c r="P326" i="7" s="1"/>
  <c r="K253" i="7"/>
  <c r="L253" i="7" s="1"/>
  <c r="K213" i="7"/>
  <c r="L213" i="7" s="1"/>
  <c r="K66" i="7"/>
  <c r="L66" i="7" s="1"/>
  <c r="O329" i="7"/>
  <c r="K103" i="7"/>
  <c r="L103" i="7" s="1"/>
  <c r="K205" i="7"/>
  <c r="L205" i="7" s="1"/>
  <c r="P205" i="7" s="1"/>
  <c r="G37" i="9"/>
  <c r="H37" i="9" s="1"/>
  <c r="G342" i="13" s="1"/>
  <c r="K293" i="7"/>
  <c r="L293" i="7" s="1"/>
  <c r="AB45" i="6"/>
  <c r="L65" i="13" s="1"/>
  <c r="AC33" i="6"/>
  <c r="E53" i="13" s="1"/>
  <c r="P73" i="7"/>
  <c r="P300" i="7"/>
  <c r="K246" i="7"/>
  <c r="L246" i="7" s="1"/>
  <c r="K96" i="7"/>
  <c r="L96" i="7" s="1"/>
  <c r="P96" i="7" s="1"/>
  <c r="K329" i="7"/>
  <c r="L329" i="7" s="1"/>
  <c r="P329" i="7" s="1"/>
  <c r="K193" i="7"/>
  <c r="L193" i="7" s="1"/>
  <c r="X45" i="6"/>
  <c r="J65" i="13" s="1"/>
  <c r="K106" i="7"/>
  <c r="L106" i="7" s="1"/>
  <c r="P106" i="7" s="1"/>
  <c r="Z33" i="6"/>
  <c r="K243" i="7"/>
  <c r="L243" i="7" s="1"/>
  <c r="K316" i="7"/>
  <c r="L316" i="7" s="1"/>
  <c r="P316" i="7" s="1"/>
  <c r="K323" i="7"/>
  <c r="L323" i="7" s="1"/>
  <c r="K123" i="7"/>
  <c r="L123" i="7" s="1"/>
  <c r="AC91" i="6"/>
  <c r="E111" i="13" s="1"/>
  <c r="K116" i="7"/>
  <c r="L116" i="7" s="1"/>
  <c r="K85" i="7"/>
  <c r="L85" i="7" s="1"/>
  <c r="P85" i="7" s="1"/>
  <c r="K273" i="7"/>
  <c r="L273" i="7" s="1"/>
  <c r="Z45" i="6"/>
  <c r="M65" i="13" s="1"/>
  <c r="G97" i="13"/>
  <c r="W77" i="6"/>
  <c r="F97" i="13" s="1"/>
  <c r="AA77" i="6"/>
  <c r="H97" i="13" s="1"/>
  <c r="Y77" i="6"/>
  <c r="I97" i="13" s="1"/>
  <c r="AC71" i="6"/>
  <c r="E91" i="13" s="1"/>
  <c r="AC58" i="6"/>
  <c r="E78" i="13" s="1"/>
  <c r="AB33" i="6"/>
  <c r="L53" i="13" s="1"/>
  <c r="K133" i="7"/>
  <c r="L133" i="7" s="1"/>
  <c r="K136" i="7"/>
  <c r="L136" i="7" s="1"/>
  <c r="P136" i="7" s="1"/>
  <c r="AC60" i="6"/>
  <c r="E80" i="13" s="1"/>
  <c r="G93" i="13"/>
  <c r="Y73" i="6"/>
  <c r="I93" i="13" s="1"/>
  <c r="W73" i="6"/>
  <c r="F93" i="13" s="1"/>
  <c r="AA73" i="6"/>
  <c r="H93" i="13" s="1"/>
  <c r="K113" i="7"/>
  <c r="L113" i="7" s="1"/>
  <c r="X33" i="6"/>
  <c r="J53" i="13" s="1"/>
  <c r="AC72" i="6"/>
  <c r="E92" i="13" s="1"/>
  <c r="P91" i="7"/>
  <c r="P101" i="7"/>
  <c r="K215" i="7"/>
  <c r="L215" i="7" s="1"/>
  <c r="P215" i="7" s="1"/>
  <c r="G6" i="9"/>
  <c r="F311" i="13" s="1"/>
  <c r="C17" i="12"/>
  <c r="K223" i="7"/>
  <c r="L223" i="7" s="1"/>
  <c r="G8" i="9"/>
  <c r="K105" i="7"/>
  <c r="L105" i="7" s="1"/>
  <c r="P105" i="7" s="1"/>
  <c r="G14" i="9"/>
  <c r="H14" i="9" s="1"/>
  <c r="G319" i="13" s="1"/>
  <c r="K83" i="7"/>
  <c r="L83" i="7" s="1"/>
  <c r="AC51" i="6"/>
  <c r="E71" i="13" s="1"/>
  <c r="AD21" i="6"/>
  <c r="F326" i="13"/>
  <c r="H21" i="9"/>
  <c r="G326" i="13" s="1"/>
  <c r="D61" i="9"/>
  <c r="K152" i="7"/>
  <c r="L152" i="7" s="1"/>
  <c r="K202" i="7"/>
  <c r="L202" i="7" s="1"/>
  <c r="K262" i="7"/>
  <c r="L262" i="7" s="1"/>
  <c r="K332" i="7"/>
  <c r="L332" i="7" s="1"/>
  <c r="K112" i="7"/>
  <c r="L112" i="7" s="1"/>
  <c r="K292" i="7"/>
  <c r="L292" i="7" s="1"/>
  <c r="I32" i="8" s="1"/>
  <c r="K122" i="7"/>
  <c r="L122" i="7" s="1"/>
  <c r="K272" i="7"/>
  <c r="L272" i="7" s="1"/>
  <c r="K102" i="7"/>
  <c r="L102" i="7" s="1"/>
  <c r="K182" i="7"/>
  <c r="L182" i="7" s="1"/>
  <c r="K242" i="7"/>
  <c r="L242" i="7" s="1"/>
  <c r="K142" i="7"/>
  <c r="L142" i="7" s="1"/>
  <c r="K192" i="7"/>
  <c r="L192" i="7" s="1"/>
  <c r="K82" i="7"/>
  <c r="L82" i="7" s="1"/>
  <c r="K312" i="7"/>
  <c r="L312" i="7" s="1"/>
  <c r="K162" i="7"/>
  <c r="L162" i="7" s="1"/>
  <c r="K322" i="7"/>
  <c r="L322" i="7" s="1"/>
  <c r="K132" i="7"/>
  <c r="L132" i="7" s="1"/>
  <c r="K232" i="7"/>
  <c r="L232" i="7" s="1"/>
  <c r="K302" i="7"/>
  <c r="L302" i="7" s="1"/>
  <c r="K342" i="7"/>
  <c r="L342" i="7" s="1"/>
  <c r="K252" i="7"/>
  <c r="L252" i="7" s="1"/>
  <c r="K172" i="7"/>
  <c r="L172" i="7" s="1"/>
  <c r="K282" i="7"/>
  <c r="L282" i="7" s="1"/>
  <c r="K147" i="7"/>
  <c r="L147" i="7" s="1"/>
  <c r="P147" i="7" s="1"/>
  <c r="K7" i="7"/>
  <c r="L7" i="7" s="1"/>
  <c r="P7" i="7" s="1"/>
  <c r="K27" i="7"/>
  <c r="L27" i="7" s="1"/>
  <c r="P27" i="7" s="1"/>
  <c r="K107" i="7"/>
  <c r="L107" i="7" s="1"/>
  <c r="Y15" i="3"/>
  <c r="Z15" i="3" s="1"/>
  <c r="Y16" i="3" s="1"/>
  <c r="Z16" i="3" s="1"/>
  <c r="K97" i="7"/>
  <c r="L97" i="7" s="1"/>
  <c r="K57" i="7"/>
  <c r="L57" i="7" s="1"/>
  <c r="P57" i="7" s="1"/>
  <c r="K17" i="7"/>
  <c r="L17" i="7" s="1"/>
  <c r="P17" i="7" s="1"/>
  <c r="K37" i="7"/>
  <c r="L37" i="7" s="1"/>
  <c r="I7" i="8" s="1"/>
  <c r="K47" i="7"/>
  <c r="L47" i="7" s="1"/>
  <c r="P47" i="7" s="1"/>
  <c r="K87" i="7"/>
  <c r="L87" i="7" s="1"/>
  <c r="P87" i="7" s="1"/>
  <c r="K117" i="7"/>
  <c r="L117" i="7" s="1"/>
  <c r="P117" i="7" s="1"/>
  <c r="K137" i="7"/>
  <c r="L137" i="7" s="1"/>
  <c r="P137" i="7" s="1"/>
  <c r="K77" i="7"/>
  <c r="L77" i="7" s="1"/>
  <c r="P77" i="7" s="1"/>
  <c r="K127" i="7"/>
  <c r="L127" i="7" s="1"/>
  <c r="P127" i="7" s="1"/>
  <c r="K67" i="7"/>
  <c r="L67" i="7" s="1"/>
  <c r="I17" i="8" s="1"/>
  <c r="F318" i="13"/>
  <c r="H13" i="9"/>
  <c r="G318" i="13" s="1"/>
  <c r="F330" i="13"/>
  <c r="H25" i="9"/>
  <c r="G330" i="13" s="1"/>
  <c r="K335" i="7"/>
  <c r="L335" i="7" s="1"/>
  <c r="P335" i="7" s="1"/>
  <c r="K225" i="7"/>
  <c r="L225" i="7" s="1"/>
  <c r="P225" i="7" s="1"/>
  <c r="K235" i="7"/>
  <c r="L235" i="7" s="1"/>
  <c r="P235" i="7" s="1"/>
  <c r="K308" i="7"/>
  <c r="L308" i="7" s="1"/>
  <c r="K348" i="7"/>
  <c r="L348" i="7" s="1"/>
  <c r="K338" i="7"/>
  <c r="L338" i="7" s="1"/>
  <c r="K288" i="7"/>
  <c r="L288" i="7" s="1"/>
  <c r="P288" i="7" s="1"/>
  <c r="R28" i="8" s="1"/>
  <c r="K318" i="7"/>
  <c r="L318" i="7" s="1"/>
  <c r="P318" i="7" s="1"/>
  <c r="K278" i="7"/>
  <c r="L278" i="7" s="1"/>
  <c r="K258" i="7"/>
  <c r="L258" i="7" s="1"/>
  <c r="P258" i="7" s="1"/>
  <c r="K298" i="7"/>
  <c r="L298" i="7" s="1"/>
  <c r="P298" i="7" s="1"/>
  <c r="K328" i="7"/>
  <c r="L328" i="7" s="1"/>
  <c r="P328" i="7" s="1"/>
  <c r="K268" i="7"/>
  <c r="L268" i="7" s="1"/>
  <c r="P268" i="7" s="1"/>
  <c r="K279" i="7"/>
  <c r="L279" i="7" s="1"/>
  <c r="K229" i="7"/>
  <c r="L229" i="7" s="1"/>
  <c r="K249" i="7"/>
  <c r="L249" i="7" s="1"/>
  <c r="K259" i="7"/>
  <c r="L259" i="7" s="1"/>
  <c r="K269" i="7"/>
  <c r="L269" i="7" s="1"/>
  <c r="K219" i="7"/>
  <c r="L219" i="7" s="1"/>
  <c r="K239" i="7"/>
  <c r="L239" i="7" s="1"/>
  <c r="F317" i="13"/>
  <c r="H12" i="9"/>
  <c r="G317" i="13" s="1"/>
  <c r="P296" i="7"/>
  <c r="H11" i="9"/>
  <c r="G316" i="13" s="1"/>
  <c r="D67" i="9"/>
  <c r="F340" i="13"/>
  <c r="H35" i="9"/>
  <c r="G340" i="13" s="1"/>
  <c r="F327" i="13"/>
  <c r="H22" i="9"/>
  <c r="G327" i="13" s="1"/>
  <c r="K314" i="7"/>
  <c r="L314" i="7" s="1"/>
  <c r="K294" i="7"/>
  <c r="L294" i="7" s="1"/>
  <c r="I34" i="8" s="1"/>
  <c r="K214" i="7"/>
  <c r="L214" i="7" s="1"/>
  <c r="K254" i="7"/>
  <c r="L254" i="7" s="1"/>
  <c r="K84" i="7"/>
  <c r="L84" i="7" s="1"/>
  <c r="P84" i="7" s="1"/>
  <c r="K244" i="7"/>
  <c r="L244" i="7" s="1"/>
  <c r="P244" i="7" s="1"/>
  <c r="K144" i="7"/>
  <c r="L144" i="7" s="1"/>
  <c r="P144" i="7" s="1"/>
  <c r="K174" i="7"/>
  <c r="L174" i="7" s="1"/>
  <c r="P174" i="7" s="1"/>
  <c r="K104" i="7"/>
  <c r="L104" i="7" s="1"/>
  <c r="P104" i="7" s="1"/>
  <c r="K154" i="7"/>
  <c r="L154" i="7" s="1"/>
  <c r="P154" i="7" s="1"/>
  <c r="K164" i="7"/>
  <c r="L164" i="7" s="1"/>
  <c r="P164" i="7" s="1"/>
  <c r="K64" i="7"/>
  <c r="L64" i="7" s="1"/>
  <c r="P64" i="7" s="1"/>
  <c r="K284" i="7"/>
  <c r="L284" i="7" s="1"/>
  <c r="P284" i="7" s="1"/>
  <c r="K194" i="7"/>
  <c r="L194" i="7" s="1"/>
  <c r="P194" i="7" s="1"/>
  <c r="K344" i="7"/>
  <c r="L344" i="7" s="1"/>
  <c r="P344" i="7" s="1"/>
  <c r="K274" i="7"/>
  <c r="L274" i="7" s="1"/>
  <c r="K204" i="7"/>
  <c r="L204" i="7" s="1"/>
  <c r="K264" i="7"/>
  <c r="L264" i="7" s="1"/>
  <c r="K114" i="7"/>
  <c r="L114" i="7" s="1"/>
  <c r="K124" i="7"/>
  <c r="L124" i="7" s="1"/>
  <c r="K324" i="7"/>
  <c r="L324" i="7" s="1"/>
  <c r="P324" i="7" s="1"/>
  <c r="K94" i="7"/>
  <c r="L94" i="7" s="1"/>
  <c r="P94" i="7" s="1"/>
  <c r="K334" i="7"/>
  <c r="L334" i="7" s="1"/>
  <c r="P334" i="7" s="1"/>
  <c r="K304" i="7"/>
  <c r="L304" i="7" s="1"/>
  <c r="P304" i="7" s="1"/>
  <c r="K224" i="7"/>
  <c r="L224" i="7" s="1"/>
  <c r="P224" i="7" s="1"/>
  <c r="K354" i="7"/>
  <c r="L354" i="7" s="1"/>
  <c r="P354" i="7" s="1"/>
  <c r="K134" i="7"/>
  <c r="L134" i="7" s="1"/>
  <c r="P134" i="7" s="1"/>
  <c r="K74" i="7"/>
  <c r="L74" i="7" s="1"/>
  <c r="P74" i="7" s="1"/>
  <c r="R24" i="8" s="1"/>
  <c r="K54" i="7"/>
  <c r="L54" i="7" s="1"/>
  <c r="P54" i="7" s="1"/>
  <c r="K234" i="7"/>
  <c r="L234" i="7" s="1"/>
  <c r="P234" i="7" s="1"/>
  <c r="K184" i="7"/>
  <c r="L184" i="7" s="1"/>
  <c r="K190" i="7"/>
  <c r="L190" i="7" s="1"/>
  <c r="K250" i="7"/>
  <c r="L250" i="7" s="1"/>
  <c r="K80" i="7"/>
  <c r="L80" i="7" s="1"/>
  <c r="K240" i="7"/>
  <c r="L240" i="7" s="1"/>
  <c r="K210" i="7"/>
  <c r="L210" i="7" s="1"/>
  <c r="K230" i="7"/>
  <c r="L230" i="7" s="1"/>
  <c r="K270" i="7"/>
  <c r="L270" i="7" s="1"/>
  <c r="K170" i="7"/>
  <c r="L170" i="7" s="1"/>
  <c r="K110" i="7"/>
  <c r="L110" i="7" s="1"/>
  <c r="K10" i="7"/>
  <c r="L10" i="7" s="1"/>
  <c r="K20" i="7"/>
  <c r="L20" i="7" s="1"/>
  <c r="K100" i="7"/>
  <c r="L100" i="7" s="1"/>
  <c r="K280" i="7"/>
  <c r="L280" i="7" s="1"/>
  <c r="K150" i="7"/>
  <c r="L150" i="7" s="1"/>
  <c r="K60" i="7"/>
  <c r="L60" i="7" s="1"/>
  <c r="K140" i="7"/>
  <c r="L140" i="7" s="1"/>
  <c r="K90" i="7"/>
  <c r="L90" i="7" s="1"/>
  <c r="K30" i="7"/>
  <c r="L30" i="7" s="1"/>
  <c r="K180" i="7"/>
  <c r="L180" i="7" s="1"/>
  <c r="K160" i="7"/>
  <c r="L160" i="7" s="1"/>
  <c r="F339" i="13"/>
  <c r="H34" i="9"/>
  <c r="G339" i="13" s="1"/>
  <c r="D45" i="9"/>
  <c r="F313" i="13"/>
  <c r="H8" i="9"/>
  <c r="G313" i="13" s="1"/>
  <c r="K62" i="13"/>
  <c r="AB42" i="6"/>
  <c r="L62" i="13" s="1"/>
  <c r="Z42" i="6"/>
  <c r="M62" i="13" s="1"/>
  <c r="X42" i="6"/>
  <c r="J62" i="13" s="1"/>
  <c r="E322" i="13"/>
  <c r="F315" i="13"/>
  <c r="H10" i="9"/>
  <c r="G315" i="13" s="1"/>
  <c r="K71" i="13"/>
  <c r="Z51" i="6"/>
  <c r="M71" i="13" s="1"/>
  <c r="AB51" i="6"/>
  <c r="L71" i="13" s="1"/>
  <c r="X51" i="6"/>
  <c r="J71" i="13" s="1"/>
  <c r="F323" i="13"/>
  <c r="H18" i="9"/>
  <c r="G323" i="13" s="1"/>
  <c r="K82" i="13"/>
  <c r="X62" i="6"/>
  <c r="J82" i="13" s="1"/>
  <c r="AB62" i="6"/>
  <c r="L82" i="13" s="1"/>
  <c r="Z62" i="6"/>
  <c r="M82" i="13" s="1"/>
  <c r="P138" i="7"/>
  <c r="K37" i="13"/>
  <c r="X17" i="6"/>
  <c r="J37" i="13" s="1"/>
  <c r="Z17" i="6"/>
  <c r="M37" i="13" s="1"/>
  <c r="AB17" i="6"/>
  <c r="L37" i="13" s="1"/>
  <c r="D72" i="9"/>
  <c r="K92" i="7"/>
  <c r="L92" i="7" s="1"/>
  <c r="K56" i="13"/>
  <c r="Z36" i="6"/>
  <c r="M56" i="13" s="1"/>
  <c r="X36" i="6"/>
  <c r="J56" i="13" s="1"/>
  <c r="AB36" i="6"/>
  <c r="L56" i="13" s="1"/>
  <c r="P171" i="7"/>
  <c r="K55" i="13"/>
  <c r="Z35" i="6"/>
  <c r="M55" i="13" s="1"/>
  <c r="AB35" i="6"/>
  <c r="L55" i="13" s="1"/>
  <c r="X35" i="6"/>
  <c r="J55" i="13" s="1"/>
  <c r="P246" i="7"/>
  <c r="AK6" i="11"/>
  <c r="AN6" i="11" s="1"/>
  <c r="D516" i="13" s="1"/>
  <c r="K70" i="7"/>
  <c r="L70" i="7" s="1"/>
  <c r="I20" i="8" s="1"/>
  <c r="I242" i="13" s="1"/>
  <c r="K25" i="7"/>
  <c r="L25" i="7" s="1"/>
  <c r="P23" i="7"/>
  <c r="Q24" i="8"/>
  <c r="K24" i="8"/>
  <c r="K246" i="13" s="1"/>
  <c r="J24" i="8"/>
  <c r="J246" i="13" s="1"/>
  <c r="G24" i="8"/>
  <c r="Q22" i="8"/>
  <c r="K22" i="8"/>
  <c r="K244" i="13" s="1"/>
  <c r="J22" i="8"/>
  <c r="J244" i="13" s="1"/>
  <c r="I22" i="8"/>
  <c r="H22" i="8"/>
  <c r="H244" i="13" s="1"/>
  <c r="G22" i="8"/>
  <c r="G26" i="8"/>
  <c r="G248" i="13" s="1"/>
  <c r="Q26" i="8"/>
  <c r="P248" i="13" s="1"/>
  <c r="K26" i="8"/>
  <c r="K248" i="13" s="1"/>
  <c r="J26" i="8"/>
  <c r="J248" i="13" s="1"/>
  <c r="K76" i="13"/>
  <c r="AB56" i="6"/>
  <c r="L76" i="13" s="1"/>
  <c r="X56" i="6"/>
  <c r="J76" i="13" s="1"/>
  <c r="Z56" i="6"/>
  <c r="M76" i="13" s="1"/>
  <c r="F324" i="13"/>
  <c r="H19" i="9"/>
  <c r="G324" i="13" s="1"/>
  <c r="K67" i="13"/>
  <c r="AB47" i="6"/>
  <c r="L67" i="13" s="1"/>
  <c r="Z47" i="6"/>
  <c r="M67" i="13" s="1"/>
  <c r="X47" i="6"/>
  <c r="J67" i="13" s="1"/>
  <c r="P175" i="7"/>
  <c r="P71" i="7"/>
  <c r="R21" i="8" s="1"/>
  <c r="P48" i="7"/>
  <c r="P107" i="7"/>
  <c r="P5" i="7"/>
  <c r="P208" i="7"/>
  <c r="K333" i="7"/>
  <c r="L333" i="7" s="1"/>
  <c r="K29" i="8"/>
  <c r="K251" i="13" s="1"/>
  <c r="J29" i="8"/>
  <c r="J251" i="13" s="1"/>
  <c r="G29" i="8"/>
  <c r="P72" i="7"/>
  <c r="R22" i="8" s="1"/>
  <c r="P195" i="7"/>
  <c r="P261" i="7"/>
  <c r="K50" i="13"/>
  <c r="X30" i="6"/>
  <c r="J50" i="13" s="1"/>
  <c r="AB30" i="6"/>
  <c r="L50" i="13" s="1"/>
  <c r="Z30" i="6"/>
  <c r="M50" i="13" s="1"/>
  <c r="E331" i="13"/>
  <c r="H26" i="9"/>
  <c r="G331" i="13" s="1"/>
  <c r="P22" i="7"/>
  <c r="D55" i="9"/>
  <c r="K212" i="7"/>
  <c r="L212" i="7"/>
  <c r="K50" i="7"/>
  <c r="L50" i="7" s="1"/>
  <c r="D52" i="9"/>
  <c r="D57" i="9"/>
  <c r="P184" i="7"/>
  <c r="G83" i="13"/>
  <c r="Y63" i="6"/>
  <c r="I83" i="13" s="1"/>
  <c r="W63" i="6"/>
  <c r="F83" i="13" s="1"/>
  <c r="AA63" i="6"/>
  <c r="H83" i="13" s="1"/>
  <c r="AD63" i="6"/>
  <c r="P53" i="7"/>
  <c r="K351" i="7"/>
  <c r="L351" i="7" s="1"/>
  <c r="I41" i="8" s="1"/>
  <c r="K101" i="13"/>
  <c r="X81" i="6"/>
  <c r="J101" i="13" s="1"/>
  <c r="AB81" i="6"/>
  <c r="L101" i="13" s="1"/>
  <c r="Z81" i="6"/>
  <c r="M101" i="13" s="1"/>
  <c r="G36" i="13"/>
  <c r="W16" i="6"/>
  <c r="F36" i="13" s="1"/>
  <c r="AA16" i="6"/>
  <c r="H36" i="13" s="1"/>
  <c r="Y16" i="6"/>
  <c r="I36" i="13" s="1"/>
  <c r="D65" i="9"/>
  <c r="P264" i="7"/>
  <c r="P26" i="7"/>
  <c r="P55" i="7"/>
  <c r="K60" i="13"/>
  <c r="X40" i="6"/>
  <c r="J60" i="13" s="1"/>
  <c r="Z40" i="6"/>
  <c r="M60" i="13" s="1"/>
  <c r="AB40" i="6"/>
  <c r="L60" i="13" s="1"/>
  <c r="G50" i="13"/>
  <c r="Y30" i="6"/>
  <c r="I50" i="13" s="1"/>
  <c r="W30" i="6"/>
  <c r="F50" i="13" s="1"/>
  <c r="AA30" i="6"/>
  <c r="H50" i="13" s="1"/>
  <c r="G99" i="13"/>
  <c r="Y79" i="6"/>
  <c r="I99" i="13" s="1"/>
  <c r="AA79" i="6"/>
  <c r="H99" i="13" s="1"/>
  <c r="W79" i="6"/>
  <c r="F99" i="13" s="1"/>
  <c r="K66" i="13"/>
  <c r="X46" i="6"/>
  <c r="J66" i="13" s="1"/>
  <c r="AB46" i="6"/>
  <c r="L66" i="13" s="1"/>
  <c r="Z46" i="6"/>
  <c r="M66" i="13" s="1"/>
  <c r="K29" i="13"/>
  <c r="X9" i="6"/>
  <c r="J29" i="13" s="1"/>
  <c r="Z9" i="6"/>
  <c r="M29" i="13" s="1"/>
  <c r="AB9" i="6"/>
  <c r="L29" i="13" s="1"/>
  <c r="D41" i="9"/>
  <c r="P24" i="7"/>
  <c r="K83" i="13"/>
  <c r="AB63" i="6"/>
  <c r="L83" i="13" s="1"/>
  <c r="X63" i="6"/>
  <c r="J83" i="13" s="1"/>
  <c r="Z63" i="6"/>
  <c r="M83" i="13" s="1"/>
  <c r="K106" i="13"/>
  <c r="AB86" i="6"/>
  <c r="L106" i="13" s="1"/>
  <c r="Z86" i="6"/>
  <c r="M106" i="13" s="1"/>
  <c r="X86" i="6"/>
  <c r="J106" i="13" s="1"/>
  <c r="K52" i="13"/>
  <c r="Z32" i="6"/>
  <c r="M52" i="13" s="1"/>
  <c r="AB32" i="6"/>
  <c r="L52" i="13" s="1"/>
  <c r="X32" i="6"/>
  <c r="J52" i="13" s="1"/>
  <c r="O350" i="7"/>
  <c r="Q40" i="8" s="1"/>
  <c r="P262" i="13" s="1"/>
  <c r="K350" i="7"/>
  <c r="L350" i="7" s="1"/>
  <c r="I40" i="8" s="1"/>
  <c r="I262" i="13" s="1"/>
  <c r="B456" i="13"/>
  <c r="A105" i="10"/>
  <c r="K28" i="8"/>
  <c r="K250" i="13" s="1"/>
  <c r="J28" i="8"/>
  <c r="J250" i="13" s="1"/>
  <c r="H28" i="8"/>
  <c r="H250" i="13" s="1"/>
  <c r="Q28" i="8"/>
  <c r="G28" i="8"/>
  <c r="P228" i="7"/>
  <c r="P340" i="7"/>
  <c r="H5" i="9"/>
  <c r="G310" i="13" s="1"/>
  <c r="G28" i="13"/>
  <c r="AA8" i="6"/>
  <c r="H28" i="13" s="1"/>
  <c r="Y8" i="6"/>
  <c r="W8" i="6"/>
  <c r="F28" i="13" s="1"/>
  <c r="G31" i="13"/>
  <c r="Y11" i="6"/>
  <c r="AA11" i="6"/>
  <c r="H31" i="13" s="1"/>
  <c r="W11" i="6"/>
  <c r="F31" i="13" s="1"/>
  <c r="K301" i="7"/>
  <c r="L301" i="7" s="1"/>
  <c r="K94" i="13"/>
  <c r="AB74" i="6"/>
  <c r="L94" i="13" s="1"/>
  <c r="Z74" i="6"/>
  <c r="M94" i="13" s="1"/>
  <c r="X74" i="6"/>
  <c r="J94" i="13" s="1"/>
  <c r="K186" i="7"/>
  <c r="L186" i="7" s="1"/>
  <c r="P186" i="7" s="1"/>
  <c r="K44" i="8"/>
  <c r="K266" i="13" s="1"/>
  <c r="J44" i="8"/>
  <c r="J266" i="13" s="1"/>
  <c r="Q44" i="8"/>
  <c r="G44" i="8"/>
  <c r="J11" i="8"/>
  <c r="J233" i="13" s="1"/>
  <c r="I11" i="8"/>
  <c r="H11" i="8"/>
  <c r="H233" i="13" s="1"/>
  <c r="G11" i="8"/>
  <c r="Q11" i="8"/>
  <c r="K11" i="8"/>
  <c r="K233" i="13" s="1"/>
  <c r="G42" i="8"/>
  <c r="K42" i="8"/>
  <c r="K264" i="13" s="1"/>
  <c r="K100" i="13"/>
  <c r="Z80" i="6"/>
  <c r="M100" i="13" s="1"/>
  <c r="X80" i="6"/>
  <c r="J100" i="13" s="1"/>
  <c r="AB80" i="6"/>
  <c r="L100" i="13" s="1"/>
  <c r="K40" i="7"/>
  <c r="H10" i="8" s="1"/>
  <c r="H232" i="13" s="1"/>
  <c r="L40" i="7"/>
  <c r="I10" i="8" s="1"/>
  <c r="I232" i="13" s="1"/>
  <c r="K236" i="7"/>
  <c r="L236" i="7" s="1"/>
  <c r="P236" i="7" s="1"/>
  <c r="P271" i="7"/>
  <c r="I25" i="13"/>
  <c r="I43" i="8"/>
  <c r="H43" i="8"/>
  <c r="H265" i="13" s="1"/>
  <c r="G43" i="8"/>
  <c r="K43" i="8"/>
  <c r="K265" i="13" s="1"/>
  <c r="K25" i="13"/>
  <c r="AB5" i="6"/>
  <c r="L25" i="13" s="1"/>
  <c r="X5" i="6"/>
  <c r="J25" i="13" s="1"/>
  <c r="Z5" i="6"/>
  <c r="M25" i="13" s="1"/>
  <c r="D42" i="9"/>
  <c r="P34" i="7"/>
  <c r="P155" i="7"/>
  <c r="K260" i="7"/>
  <c r="L260" i="7" s="1"/>
  <c r="D70" i="9"/>
  <c r="P314" i="7"/>
  <c r="B490" i="13"/>
  <c r="A143" i="10"/>
  <c r="D54" i="9"/>
  <c r="K349" i="7"/>
  <c r="H39" i="8" s="1"/>
  <c r="H261" i="13" s="1"/>
  <c r="O349" i="7"/>
  <c r="H9" i="9"/>
  <c r="G314" i="13" s="1"/>
  <c r="P148" i="7"/>
  <c r="B440" i="13"/>
  <c r="A81" i="10"/>
  <c r="D50" i="9"/>
  <c r="P114" i="7"/>
  <c r="G10" i="8"/>
  <c r="G232" i="13" s="1"/>
  <c r="K10" i="8"/>
  <c r="K232" i="13" s="1"/>
  <c r="P128" i="7"/>
  <c r="D66" i="9"/>
  <c r="P274" i="7"/>
  <c r="K129" i="7"/>
  <c r="L129" i="7" s="1"/>
  <c r="D44" i="9"/>
  <c r="P25" i="7"/>
  <c r="P231" i="7"/>
  <c r="K55" i="7"/>
  <c r="L55" i="7" s="1"/>
  <c r="P251" i="7"/>
  <c r="G34" i="8"/>
  <c r="K34" i="8"/>
  <c r="K256" i="13" s="1"/>
  <c r="J34" i="8"/>
  <c r="J256" i="13" s="1"/>
  <c r="Q34" i="8"/>
  <c r="G100" i="13"/>
  <c r="W80" i="6"/>
  <c r="F100" i="13" s="1"/>
  <c r="AA80" i="6"/>
  <c r="H100" i="13" s="1"/>
  <c r="Y80" i="6"/>
  <c r="I100" i="13" s="1"/>
  <c r="K65" i="7"/>
  <c r="L65" i="7" s="1"/>
  <c r="G82" i="13"/>
  <c r="AA62" i="6"/>
  <c r="H82" i="13" s="1"/>
  <c r="Y62" i="6"/>
  <c r="I82" i="13" s="1"/>
  <c r="W62" i="6"/>
  <c r="F82" i="13" s="1"/>
  <c r="K98" i="13"/>
  <c r="X78" i="6"/>
  <c r="J98" i="13" s="1"/>
  <c r="AB78" i="6"/>
  <c r="L98" i="13" s="1"/>
  <c r="Z78" i="6"/>
  <c r="M98" i="13" s="1"/>
  <c r="Q30" i="8"/>
  <c r="P252" i="13" s="1"/>
  <c r="K30" i="8"/>
  <c r="K252" i="13" s="1"/>
  <c r="J30" i="8"/>
  <c r="J252" i="13" s="1"/>
  <c r="I30" i="8"/>
  <c r="I252" i="13" s="1"/>
  <c r="R30" i="8"/>
  <c r="Q252" i="13" s="1"/>
  <c r="G30" i="8"/>
  <c r="G252" i="13" s="1"/>
  <c r="H30" i="8"/>
  <c r="H252" i="13" s="1"/>
  <c r="G80" i="13"/>
  <c r="W60" i="6"/>
  <c r="F80" i="13" s="1"/>
  <c r="AA60" i="6"/>
  <c r="H80" i="13" s="1"/>
  <c r="Y60" i="6"/>
  <c r="I80" i="13" s="1"/>
  <c r="D59" i="9"/>
  <c r="P204" i="7"/>
  <c r="K38" i="8"/>
  <c r="K260" i="13" s="1"/>
  <c r="J38" i="8"/>
  <c r="J260" i="13" s="1"/>
  <c r="I38" i="8"/>
  <c r="H38" i="8"/>
  <c r="H260" i="13" s="1"/>
  <c r="Q38" i="8"/>
  <c r="G38" i="8"/>
  <c r="Q17" i="8"/>
  <c r="K17" i="8"/>
  <c r="K239" i="13" s="1"/>
  <c r="G17" i="8"/>
  <c r="J17" i="8"/>
  <c r="J239" i="13" s="1"/>
  <c r="P11" i="7"/>
  <c r="K45" i="7"/>
  <c r="L45" i="7" s="1"/>
  <c r="P45" i="7" s="1"/>
  <c r="D69" i="9"/>
  <c r="G86" i="13"/>
  <c r="Y66" i="6"/>
  <c r="I86" i="13" s="1"/>
  <c r="W66" i="6"/>
  <c r="F86" i="13" s="1"/>
  <c r="AA66" i="6"/>
  <c r="H86" i="13" s="1"/>
  <c r="K63" i="13"/>
  <c r="Z43" i="6"/>
  <c r="M63" i="13" s="1"/>
  <c r="X43" i="6"/>
  <c r="J63" i="13" s="1"/>
  <c r="AB43" i="6"/>
  <c r="L63" i="13" s="1"/>
  <c r="G72" i="13"/>
  <c r="AA52" i="6"/>
  <c r="H72" i="13" s="1"/>
  <c r="Y52" i="6"/>
  <c r="I72" i="13" s="1"/>
  <c r="W52" i="6"/>
  <c r="F72" i="13" s="1"/>
  <c r="AC52" i="6"/>
  <c r="E72" i="13" s="1"/>
  <c r="K91" i="13"/>
  <c r="AB71" i="6"/>
  <c r="L91" i="13" s="1"/>
  <c r="Z71" i="6"/>
  <c r="M91" i="13" s="1"/>
  <c r="X71" i="6"/>
  <c r="J91" i="13" s="1"/>
  <c r="K103" i="13"/>
  <c r="Z83" i="6"/>
  <c r="M103" i="13" s="1"/>
  <c r="AB83" i="6"/>
  <c r="L103" i="13" s="1"/>
  <c r="X83" i="6"/>
  <c r="J103" i="13" s="1"/>
  <c r="F344" i="13"/>
  <c r="H39" i="9"/>
  <c r="G344" i="13" s="1"/>
  <c r="AC66" i="6"/>
  <c r="E86" i="13" s="1"/>
  <c r="G107" i="13"/>
  <c r="W87" i="6"/>
  <c r="F107" i="13" s="1"/>
  <c r="AA87" i="6"/>
  <c r="H107" i="13" s="1"/>
  <c r="Y87" i="6"/>
  <c r="I107" i="13" s="1"/>
  <c r="G109" i="13"/>
  <c r="AA89" i="6"/>
  <c r="H109" i="13" s="1"/>
  <c r="Y89" i="6"/>
  <c r="W89" i="6"/>
  <c r="F109" i="13" s="1"/>
  <c r="AC89" i="6"/>
  <c r="E109" i="13" s="1"/>
  <c r="G44" i="13"/>
  <c r="Y24" i="6"/>
  <c r="I44" i="13" s="1"/>
  <c r="W24" i="6"/>
  <c r="F44" i="13" s="1"/>
  <c r="AA24" i="6"/>
  <c r="H44" i="13" s="1"/>
  <c r="K45" i="13"/>
  <c r="Z25" i="6"/>
  <c r="M45" i="13" s="1"/>
  <c r="AB25" i="6"/>
  <c r="L45" i="13" s="1"/>
  <c r="X25" i="6"/>
  <c r="J45" i="13" s="1"/>
  <c r="K143" i="7"/>
  <c r="L143" i="7" s="1"/>
  <c r="K79" i="13"/>
  <c r="Z59" i="6"/>
  <c r="M79" i="13" s="1"/>
  <c r="AB59" i="6"/>
  <c r="L79" i="13" s="1"/>
  <c r="X59" i="6"/>
  <c r="J79" i="13" s="1"/>
  <c r="D51" i="9"/>
  <c r="P124" i="7"/>
  <c r="G70" i="13"/>
  <c r="Y50" i="6"/>
  <c r="I70" i="13" s="1"/>
  <c r="W50" i="6"/>
  <c r="F70" i="13" s="1"/>
  <c r="AA50" i="6"/>
  <c r="H70" i="13" s="1"/>
  <c r="AD73" i="6"/>
  <c r="Q7" i="8"/>
  <c r="K7" i="8"/>
  <c r="K229" i="13" s="1"/>
  <c r="J7" i="8"/>
  <c r="J229" i="13" s="1"/>
  <c r="G7" i="8"/>
  <c r="G101" i="13"/>
  <c r="AA81" i="6"/>
  <c r="H101" i="13" s="1"/>
  <c r="W81" i="6"/>
  <c r="F101" i="13" s="1"/>
  <c r="Y81" i="6"/>
  <c r="I101" i="13" s="1"/>
  <c r="N41" i="13"/>
  <c r="AE21" i="6"/>
  <c r="K70" i="13"/>
  <c r="AB50" i="6"/>
  <c r="L70" i="13" s="1"/>
  <c r="X50" i="6"/>
  <c r="J70" i="13" s="1"/>
  <c r="Z50" i="6"/>
  <c r="M70" i="13" s="1"/>
  <c r="G35" i="13"/>
  <c r="Y15" i="6"/>
  <c r="I35" i="13" s="1"/>
  <c r="W15" i="6"/>
  <c r="F35" i="13" s="1"/>
  <c r="AA15" i="6"/>
  <c r="H35" i="13" s="1"/>
  <c r="G29" i="13"/>
  <c r="Y9" i="6"/>
  <c r="I29" i="13" s="1"/>
  <c r="AA9" i="6"/>
  <c r="H29" i="13" s="1"/>
  <c r="W9" i="6"/>
  <c r="F29" i="13" s="1"/>
  <c r="P348" i="7"/>
  <c r="R38" i="8" s="1"/>
  <c r="G52" i="13"/>
  <c r="W32" i="6"/>
  <c r="F52" i="13" s="1"/>
  <c r="AA32" i="6"/>
  <c r="H52" i="13" s="1"/>
  <c r="AD32" i="6"/>
  <c r="Y32" i="6"/>
  <c r="F337" i="13"/>
  <c r="H32" i="9"/>
  <c r="G337" i="13" s="1"/>
  <c r="P161" i="7"/>
  <c r="K35" i="13"/>
  <c r="X15" i="6"/>
  <c r="J35" i="13" s="1"/>
  <c r="AB15" i="6"/>
  <c r="L35" i="13" s="1"/>
  <c r="Z15" i="6"/>
  <c r="M35" i="13" s="1"/>
  <c r="AD76" i="6"/>
  <c r="G69" i="13"/>
  <c r="AA49" i="6"/>
  <c r="H69" i="13" s="1"/>
  <c r="W49" i="6"/>
  <c r="F69" i="13" s="1"/>
  <c r="Y49" i="6"/>
  <c r="I69" i="13" s="1"/>
  <c r="G61" i="13"/>
  <c r="W41" i="6"/>
  <c r="F61" i="13" s="1"/>
  <c r="AA41" i="6"/>
  <c r="H61" i="13" s="1"/>
  <c r="Y41" i="6"/>
  <c r="I61" i="13" s="1"/>
  <c r="P308" i="7"/>
  <c r="AC81" i="6"/>
  <c r="E101" i="13" s="1"/>
  <c r="G30" i="13"/>
  <c r="W10" i="6"/>
  <c r="F30" i="13" s="1"/>
  <c r="AA10" i="6"/>
  <c r="H30" i="13" s="1"/>
  <c r="Y10" i="6"/>
  <c r="I30" i="13" s="1"/>
  <c r="P248" i="7"/>
  <c r="B452" i="13"/>
  <c r="A97" i="10"/>
  <c r="K99" i="13"/>
  <c r="AB79" i="6"/>
  <c r="L99" i="13" s="1"/>
  <c r="Z79" i="6"/>
  <c r="M99" i="13" s="1"/>
  <c r="X79" i="6"/>
  <c r="J99" i="13" s="1"/>
  <c r="K185" i="7"/>
  <c r="L185" i="7" s="1"/>
  <c r="P185" i="7" s="1"/>
  <c r="AC49" i="6"/>
  <c r="E69" i="13" s="1"/>
  <c r="AD29" i="6"/>
  <c r="G56" i="13"/>
  <c r="AA36" i="6"/>
  <c r="H56" i="13" s="1"/>
  <c r="Y36" i="6"/>
  <c r="I56" i="13" s="1"/>
  <c r="W36" i="6"/>
  <c r="F56" i="13" s="1"/>
  <c r="K33" i="13"/>
  <c r="X13" i="6"/>
  <c r="J33" i="13" s="1"/>
  <c r="Z13" i="6"/>
  <c r="M33" i="13" s="1"/>
  <c r="AB13" i="6"/>
  <c r="L33" i="13" s="1"/>
  <c r="K20" i="8"/>
  <c r="K242" i="13" s="1"/>
  <c r="G20" i="8"/>
  <c r="G242" i="13" s="1"/>
  <c r="G106" i="13"/>
  <c r="AA86" i="6"/>
  <c r="H106" i="13" s="1"/>
  <c r="Y86" i="6"/>
  <c r="I106" i="13" s="1"/>
  <c r="W86" i="6"/>
  <c r="F106" i="13" s="1"/>
  <c r="K220" i="7"/>
  <c r="L220" i="7" s="1"/>
  <c r="K115" i="7"/>
  <c r="L115" i="7" s="1"/>
  <c r="P115" i="7" s="1"/>
  <c r="G31" i="8"/>
  <c r="K31" i="8"/>
  <c r="K253" i="13" s="1"/>
  <c r="K256" i="7"/>
  <c r="L256" i="7" s="1"/>
  <c r="P256" i="7" s="1"/>
  <c r="AD57" i="6"/>
  <c r="F321" i="13"/>
  <c r="H16" i="9"/>
  <c r="G321" i="13" s="1"/>
  <c r="K36" i="8"/>
  <c r="K258" i="13" s="1"/>
  <c r="J36" i="8"/>
  <c r="J258" i="13" s="1"/>
  <c r="Q36" i="8"/>
  <c r="P258" i="13" s="1"/>
  <c r="G36" i="8"/>
  <c r="G258" i="13" s="1"/>
  <c r="P319" i="7"/>
  <c r="O131" i="7"/>
  <c r="K131" i="7"/>
  <c r="L131" i="7"/>
  <c r="K58" i="13"/>
  <c r="AB38" i="6"/>
  <c r="L58" i="13" s="1"/>
  <c r="Z38" i="6"/>
  <c r="M58" i="13" s="1"/>
  <c r="X38" i="6"/>
  <c r="J58" i="13" s="1"/>
  <c r="K289" i="7"/>
  <c r="L289" i="7" s="1"/>
  <c r="I29" i="8" s="1"/>
  <c r="O289" i="7"/>
  <c r="Q29" i="8" s="1"/>
  <c r="O51" i="7"/>
  <c r="K51" i="7"/>
  <c r="L51" i="7" s="1"/>
  <c r="K46" i="7"/>
  <c r="L46" i="7" s="1"/>
  <c r="P46" i="7" s="1"/>
  <c r="E526" i="13"/>
  <c r="O17" i="11"/>
  <c r="K73" i="13"/>
  <c r="AB53" i="6"/>
  <c r="L73" i="13" s="1"/>
  <c r="Z53" i="6"/>
  <c r="M73" i="13" s="1"/>
  <c r="X53" i="6"/>
  <c r="J73" i="13" s="1"/>
  <c r="P108" i="7"/>
  <c r="G65" i="13"/>
  <c r="W45" i="6"/>
  <c r="F65" i="13" s="1"/>
  <c r="Y45" i="6"/>
  <c r="I65" i="13" s="1"/>
  <c r="AA45" i="6"/>
  <c r="H65" i="13" s="1"/>
  <c r="AD88" i="6"/>
  <c r="K57" i="13"/>
  <c r="AB37" i="6"/>
  <c r="L57" i="13" s="1"/>
  <c r="Z37" i="6"/>
  <c r="M57" i="13" s="1"/>
  <c r="X37" i="6"/>
  <c r="J57" i="13" s="1"/>
  <c r="P158" i="7"/>
  <c r="G110" i="13"/>
  <c r="Y90" i="6"/>
  <c r="I110" i="13" s="1"/>
  <c r="W90" i="6"/>
  <c r="F110" i="13" s="1"/>
  <c r="AA90" i="6"/>
  <c r="H110" i="13" s="1"/>
  <c r="I53" i="13"/>
  <c r="O31" i="8"/>
  <c r="N253" i="13" s="1"/>
  <c r="G58" i="13"/>
  <c r="AA38" i="6"/>
  <c r="H58" i="13" s="1"/>
  <c r="Y38" i="6"/>
  <c r="I58" i="13" s="1"/>
  <c r="W38" i="6"/>
  <c r="F58" i="13" s="1"/>
  <c r="K85" i="13"/>
  <c r="X65" i="6"/>
  <c r="J85" i="13" s="1"/>
  <c r="Z65" i="6"/>
  <c r="M85" i="13" s="1"/>
  <c r="AB65" i="6"/>
  <c r="L85" i="13" s="1"/>
  <c r="K47" i="13"/>
  <c r="X27" i="6"/>
  <c r="J47" i="13" s="1"/>
  <c r="Z27" i="6"/>
  <c r="M47" i="13" s="1"/>
  <c r="AB27" i="6"/>
  <c r="L47" i="13" s="1"/>
  <c r="B419" i="13"/>
  <c r="A56" i="10"/>
  <c r="G115" i="13"/>
  <c r="Y95" i="6"/>
  <c r="AA95" i="6"/>
  <c r="H115" i="13" s="1"/>
  <c r="W95" i="6"/>
  <c r="F115" i="13" s="1"/>
  <c r="O141" i="7"/>
  <c r="K141" i="7"/>
  <c r="L141" i="7"/>
  <c r="R16" i="8"/>
  <c r="Q238" i="13" s="1"/>
  <c r="Q16" i="8"/>
  <c r="P238" i="13" s="1"/>
  <c r="K16" i="8"/>
  <c r="K238" i="13" s="1"/>
  <c r="J16" i="8"/>
  <c r="J238" i="13" s="1"/>
  <c r="I16" i="8"/>
  <c r="I238" i="13" s="1"/>
  <c r="G16" i="8"/>
  <c r="G238" i="13" s="1"/>
  <c r="K5" i="8"/>
  <c r="K227" i="13" s="1"/>
  <c r="J5" i="8"/>
  <c r="J227" i="13" s="1"/>
  <c r="G5" i="8"/>
  <c r="Q5" i="8"/>
  <c r="Q25" i="8"/>
  <c r="G25" i="8"/>
  <c r="K25" i="8"/>
  <c r="K247" i="13" s="1"/>
  <c r="J25" i="8"/>
  <c r="J247" i="13" s="1"/>
  <c r="P52" i="7"/>
  <c r="P41" i="7"/>
  <c r="R11" i="8" s="1"/>
  <c r="F329" i="13"/>
  <c r="H24" i="9"/>
  <c r="G329" i="13" s="1"/>
  <c r="J35" i="8"/>
  <c r="J257" i="13" s="1"/>
  <c r="G35" i="8"/>
  <c r="K35" i="8"/>
  <c r="K257" i="13" s="1"/>
  <c r="Q35" i="8"/>
  <c r="G114" i="13"/>
  <c r="AA94" i="6"/>
  <c r="H114" i="13" s="1"/>
  <c r="Y94" i="6"/>
  <c r="I114" i="13" s="1"/>
  <c r="W94" i="6"/>
  <c r="F114" i="13" s="1"/>
  <c r="K44" i="13"/>
  <c r="Z24" i="6"/>
  <c r="M44" i="13" s="1"/>
  <c r="AB24" i="6"/>
  <c r="L44" i="13" s="1"/>
  <c r="X24" i="6"/>
  <c r="J44" i="13" s="1"/>
  <c r="K46" i="13"/>
  <c r="AB26" i="6"/>
  <c r="L46" i="13" s="1"/>
  <c r="X26" i="6"/>
  <c r="J46" i="13" s="1"/>
  <c r="Z26" i="6"/>
  <c r="M46" i="13" s="1"/>
  <c r="K75" i="13"/>
  <c r="X55" i="6"/>
  <c r="J75" i="13" s="1"/>
  <c r="AB55" i="6"/>
  <c r="L75" i="13" s="1"/>
  <c r="Z55" i="6"/>
  <c r="M75" i="13" s="1"/>
  <c r="G71" i="13"/>
  <c r="Y51" i="6"/>
  <c r="I71" i="13" s="1"/>
  <c r="W51" i="6"/>
  <c r="F71" i="13" s="1"/>
  <c r="AA51" i="6"/>
  <c r="H71" i="13" s="1"/>
  <c r="P135" i="7"/>
  <c r="Q15" i="8"/>
  <c r="K15" i="8"/>
  <c r="K237" i="13" s="1"/>
  <c r="J15" i="8"/>
  <c r="J237" i="13" s="1"/>
  <c r="I15" i="8"/>
  <c r="G15" i="8"/>
  <c r="P181" i="7"/>
  <c r="G76" i="13"/>
  <c r="AA56" i="6"/>
  <c r="H76" i="13" s="1"/>
  <c r="Y56" i="6"/>
  <c r="I76" i="13" s="1"/>
  <c r="W56" i="6"/>
  <c r="F76" i="13" s="1"/>
  <c r="P68" i="7"/>
  <c r="R18" i="8" s="1"/>
  <c r="P65" i="7"/>
  <c r="R15" i="8" s="1"/>
  <c r="AC62" i="6"/>
  <c r="E82" i="13" s="1"/>
  <c r="K27" i="13"/>
  <c r="AB7" i="6"/>
  <c r="L27" i="13" s="1"/>
  <c r="X7" i="6"/>
  <c r="J27" i="13" s="1"/>
  <c r="Z7" i="6"/>
  <c r="M27" i="13" s="1"/>
  <c r="AD13" i="6"/>
  <c r="K130" i="7"/>
  <c r="L130" i="7" s="1"/>
  <c r="AD5" i="6"/>
  <c r="K34" i="13"/>
  <c r="X14" i="6"/>
  <c r="J34" i="13" s="1"/>
  <c r="AB14" i="6"/>
  <c r="L34" i="13" s="1"/>
  <c r="Z14" i="6"/>
  <c r="M34" i="13" s="1"/>
  <c r="P178" i="7"/>
  <c r="K145" i="7"/>
  <c r="L145" i="7" s="1"/>
  <c r="P145" i="7" s="1"/>
  <c r="K120" i="7"/>
  <c r="L120" i="7" s="1"/>
  <c r="G88" i="13"/>
  <c r="AA68" i="6"/>
  <c r="H88" i="13" s="1"/>
  <c r="W68" i="6"/>
  <c r="F88" i="13" s="1"/>
  <c r="Y68" i="6"/>
  <c r="I88" i="13" s="1"/>
  <c r="G73" i="13"/>
  <c r="AA53" i="6"/>
  <c r="H73" i="13" s="1"/>
  <c r="Y53" i="6"/>
  <c r="I73" i="13" s="1"/>
  <c r="W53" i="6"/>
  <c r="F73" i="13" s="1"/>
  <c r="K107" i="13"/>
  <c r="AB87" i="6"/>
  <c r="L107" i="13" s="1"/>
  <c r="X87" i="6"/>
  <c r="J107" i="13" s="1"/>
  <c r="Z87" i="6"/>
  <c r="M107" i="13" s="1"/>
  <c r="P330" i="7"/>
  <c r="N48" i="13"/>
  <c r="AE28" i="6"/>
  <c r="E332" i="13"/>
  <c r="H27" i="9"/>
  <c r="G332" i="13" s="1"/>
  <c r="K156" i="7"/>
  <c r="L156" i="7" s="1"/>
  <c r="P156" i="7" s="1"/>
  <c r="P188" i="7"/>
  <c r="P32" i="7"/>
  <c r="G85" i="13"/>
  <c r="AA65" i="6"/>
  <c r="H85" i="13" s="1"/>
  <c r="W65" i="6"/>
  <c r="F85" i="13" s="1"/>
  <c r="Y65" i="6"/>
  <c r="I85" i="13" s="1"/>
  <c r="K88" i="13"/>
  <c r="Z68" i="6"/>
  <c r="M88" i="13" s="1"/>
  <c r="X68" i="6"/>
  <c r="J88" i="13" s="1"/>
  <c r="AB68" i="6"/>
  <c r="L88" i="13" s="1"/>
  <c r="Q6" i="8"/>
  <c r="P228" i="13" s="1"/>
  <c r="K6" i="8"/>
  <c r="K228" i="13" s="1"/>
  <c r="J6" i="8"/>
  <c r="J228" i="13" s="1"/>
  <c r="I6" i="8"/>
  <c r="I228" i="13" s="1"/>
  <c r="H6" i="8"/>
  <c r="H228" i="13" s="1"/>
  <c r="G6" i="8"/>
  <c r="G228" i="13" s="1"/>
  <c r="K78" i="13"/>
  <c r="Z58" i="6"/>
  <c r="M78" i="13" s="1"/>
  <c r="X58" i="6"/>
  <c r="J78" i="13" s="1"/>
  <c r="AB58" i="6"/>
  <c r="L78" i="13" s="1"/>
  <c r="F312" i="13"/>
  <c r="H7" i="9"/>
  <c r="G312" i="13" s="1"/>
  <c r="K286" i="7"/>
  <c r="L286" i="7" s="1"/>
  <c r="I26" i="8" s="1"/>
  <c r="I248" i="13" s="1"/>
  <c r="K15" i="7"/>
  <c r="L15" i="7" s="1"/>
  <c r="P290" i="7"/>
  <c r="G57" i="13"/>
  <c r="AA37" i="6"/>
  <c r="H57" i="13" s="1"/>
  <c r="Y37" i="6"/>
  <c r="I57" i="13" s="1"/>
  <c r="W37" i="6"/>
  <c r="F57" i="13" s="1"/>
  <c r="P278" i="7"/>
  <c r="AD44" i="6"/>
  <c r="P218" i="7"/>
  <c r="P63" i="7"/>
  <c r="K126" i="7"/>
  <c r="L126" i="7" s="1"/>
  <c r="P241" i="7"/>
  <c r="AD33" i="6"/>
  <c r="D73" i="9"/>
  <c r="P8" i="7"/>
  <c r="P339" i="7"/>
  <c r="D49" i="9"/>
  <c r="D40" i="9"/>
  <c r="P14" i="7"/>
  <c r="G47" i="13"/>
  <c r="W27" i="6"/>
  <c r="F47" i="13" s="1"/>
  <c r="Y27" i="6"/>
  <c r="I47" i="13" s="1"/>
  <c r="AA27" i="6"/>
  <c r="H47" i="13" s="1"/>
  <c r="D58" i="9"/>
  <c r="K115" i="13"/>
  <c r="AB95" i="6"/>
  <c r="L115" i="13" s="1"/>
  <c r="Z95" i="6"/>
  <c r="X95" i="6"/>
  <c r="J115" i="13" s="1"/>
  <c r="G54" i="13"/>
  <c r="Y34" i="6"/>
  <c r="I54" i="13" s="1"/>
  <c r="AA34" i="6"/>
  <c r="H54" i="13" s="1"/>
  <c r="W34" i="6"/>
  <c r="F54" i="13" s="1"/>
  <c r="P338" i="7"/>
  <c r="P121" i="7"/>
  <c r="G102" i="13"/>
  <c r="Y82" i="6"/>
  <c r="I102" i="13" s="1"/>
  <c r="AA82" i="6"/>
  <c r="H102" i="13" s="1"/>
  <c r="W82" i="6"/>
  <c r="F102" i="13" s="1"/>
  <c r="K346" i="7"/>
  <c r="L346" i="7" s="1"/>
  <c r="P346" i="7" s="1"/>
  <c r="R36" i="8" s="1"/>
  <c r="Q258" i="13" s="1"/>
  <c r="D56" i="9"/>
  <c r="K95" i="13"/>
  <c r="AB75" i="6"/>
  <c r="L95" i="13" s="1"/>
  <c r="Z75" i="6"/>
  <c r="M95" i="13" s="1"/>
  <c r="X75" i="6"/>
  <c r="J95" i="13" s="1"/>
  <c r="Q8" i="8"/>
  <c r="K8" i="8"/>
  <c r="K230" i="13" s="1"/>
  <c r="J8" i="8"/>
  <c r="J230" i="13" s="1"/>
  <c r="I8" i="8"/>
  <c r="H8" i="8"/>
  <c r="H230" i="13" s="1"/>
  <c r="G8" i="8"/>
  <c r="K13" i="8"/>
  <c r="K235" i="13" s="1"/>
  <c r="J13" i="8"/>
  <c r="J235" i="13" s="1"/>
  <c r="I13" i="8"/>
  <c r="H13" i="8"/>
  <c r="H235" i="13" s="1"/>
  <c r="G13" i="8"/>
  <c r="Q13" i="8"/>
  <c r="K33" i="8"/>
  <c r="K255" i="13" s="1"/>
  <c r="I33" i="8"/>
  <c r="H33" i="8"/>
  <c r="H255" i="13" s="1"/>
  <c r="G33" i="8"/>
  <c r="P33" i="7"/>
  <c r="K196" i="7"/>
  <c r="L196" i="7" s="1"/>
  <c r="P196" i="7" s="1"/>
  <c r="K76" i="7"/>
  <c r="L76" i="7" s="1"/>
  <c r="P76" i="7" s="1"/>
  <c r="G89" i="13"/>
  <c r="AA69" i="6"/>
  <c r="H89" i="13" s="1"/>
  <c r="Y69" i="6"/>
  <c r="I89" i="13" s="1"/>
  <c r="W69" i="6"/>
  <c r="F89" i="13" s="1"/>
  <c r="K39" i="13"/>
  <c r="Z19" i="6"/>
  <c r="M39" i="13" s="1"/>
  <c r="AB19" i="6"/>
  <c r="L39" i="13" s="1"/>
  <c r="X19" i="6"/>
  <c r="J39" i="13" s="1"/>
  <c r="G38" i="13"/>
  <c r="Y18" i="6"/>
  <c r="I38" i="13" s="1"/>
  <c r="W18" i="6"/>
  <c r="F38" i="13" s="1"/>
  <c r="AA18" i="6"/>
  <c r="H38" i="13" s="1"/>
  <c r="G32" i="8"/>
  <c r="K32" i="8"/>
  <c r="K254" i="13" s="1"/>
  <c r="K38" i="13"/>
  <c r="AB18" i="6"/>
  <c r="L38" i="13" s="1"/>
  <c r="X18" i="6"/>
  <c r="J38" i="13" s="1"/>
  <c r="Z18" i="6"/>
  <c r="M38" i="13" s="1"/>
  <c r="K51" i="13"/>
  <c r="AB31" i="6"/>
  <c r="L51" i="13" s="1"/>
  <c r="Z31" i="6"/>
  <c r="M51" i="13" s="1"/>
  <c r="X31" i="6"/>
  <c r="J51" i="13" s="1"/>
  <c r="K114" i="13"/>
  <c r="X94" i="6"/>
  <c r="J114" i="13" s="1"/>
  <c r="AB94" i="6"/>
  <c r="L114" i="13" s="1"/>
  <c r="Z94" i="6"/>
  <c r="M114" i="13" s="1"/>
  <c r="K109" i="13"/>
  <c r="AB89" i="6"/>
  <c r="L109" i="13" s="1"/>
  <c r="X89" i="6"/>
  <c r="J109" i="13" s="1"/>
  <c r="Z89" i="6"/>
  <c r="M53" i="13"/>
  <c r="P31" i="8"/>
  <c r="O253" i="13" s="1"/>
  <c r="K72" i="13"/>
  <c r="Z52" i="6"/>
  <c r="M72" i="13" s="1"/>
  <c r="AB52" i="6"/>
  <c r="L72" i="13" s="1"/>
  <c r="X52" i="6"/>
  <c r="J72" i="13" s="1"/>
  <c r="P81" i="7"/>
  <c r="Q14" i="8"/>
  <c r="K14" i="8"/>
  <c r="K236" i="13" s="1"/>
  <c r="H14" i="8"/>
  <c r="H236" i="13" s="1"/>
  <c r="G14" i="8"/>
  <c r="I14" i="8"/>
  <c r="J14" i="8"/>
  <c r="J236" i="13" s="1"/>
  <c r="AC83" i="6"/>
  <c r="E103" i="13" s="1"/>
  <c r="K80" i="13"/>
  <c r="AB60" i="6"/>
  <c r="L80" i="13" s="1"/>
  <c r="Z60" i="6"/>
  <c r="M80" i="13" s="1"/>
  <c r="X60" i="6"/>
  <c r="J80" i="13" s="1"/>
  <c r="I81" i="13"/>
  <c r="O32" i="8"/>
  <c r="N254" i="13" s="1"/>
  <c r="G92" i="13"/>
  <c r="W72" i="6"/>
  <c r="F92" i="13" s="1"/>
  <c r="Y72" i="6"/>
  <c r="I92" i="13" s="1"/>
  <c r="AA72" i="6"/>
  <c r="H92" i="13" s="1"/>
  <c r="AC69" i="6"/>
  <c r="E89" i="13" s="1"/>
  <c r="G60" i="13"/>
  <c r="W40" i="6"/>
  <c r="F60" i="13" s="1"/>
  <c r="Y40" i="6"/>
  <c r="I60" i="13" s="1"/>
  <c r="AA40" i="6"/>
  <c r="H60" i="13" s="1"/>
  <c r="P201" i="7"/>
  <c r="K12" i="8"/>
  <c r="K234" i="13" s="1"/>
  <c r="J12" i="8"/>
  <c r="J234" i="13" s="1"/>
  <c r="I12" i="8"/>
  <c r="H12" i="8"/>
  <c r="H234" i="13" s="1"/>
  <c r="Q12" i="8"/>
  <c r="G12" i="8"/>
  <c r="AC59" i="6"/>
  <c r="E79" i="13" s="1"/>
  <c r="K81" i="13"/>
  <c r="X61" i="6"/>
  <c r="J81" i="13" s="1"/>
  <c r="AB61" i="6"/>
  <c r="L81" i="13" s="1"/>
  <c r="Z61" i="6"/>
  <c r="P13" i="7"/>
  <c r="Q39" i="8"/>
  <c r="K39" i="8"/>
  <c r="K261" i="13" s="1"/>
  <c r="J39" i="8"/>
  <c r="J261" i="13" s="1"/>
  <c r="G39" i="8"/>
  <c r="G79" i="13"/>
  <c r="AA59" i="6"/>
  <c r="H79" i="13" s="1"/>
  <c r="Y59" i="6"/>
  <c r="I79" i="13" s="1"/>
  <c r="W59" i="6"/>
  <c r="F79" i="13" s="1"/>
  <c r="K40" i="13"/>
  <c r="Z20" i="6"/>
  <c r="M40" i="13" s="1"/>
  <c r="X20" i="6"/>
  <c r="J40" i="13" s="1"/>
  <c r="AB20" i="6"/>
  <c r="L40" i="13" s="1"/>
  <c r="P98" i="7"/>
  <c r="J27" i="8"/>
  <c r="J249" i="13" s="1"/>
  <c r="G27" i="8"/>
  <c r="K27" i="8"/>
  <c r="K249" i="13" s="1"/>
  <c r="Q27" i="8"/>
  <c r="K62" i="7"/>
  <c r="L62" i="7" s="1"/>
  <c r="O62" i="7"/>
  <c r="K111" i="13"/>
  <c r="Z91" i="6"/>
  <c r="M111" i="13" s="1"/>
  <c r="X91" i="6"/>
  <c r="J111" i="13" s="1"/>
  <c r="AB91" i="6"/>
  <c r="L111" i="13" s="1"/>
  <c r="C516" i="13"/>
  <c r="AM6" i="11"/>
  <c r="B516" i="13" s="1"/>
  <c r="P116" i="7"/>
  <c r="B384" i="13"/>
  <c r="A17" i="10"/>
  <c r="K28" i="13"/>
  <c r="Z8" i="6"/>
  <c r="X8" i="6"/>
  <c r="J28" i="13" s="1"/>
  <c r="AB8" i="6"/>
  <c r="L28" i="13" s="1"/>
  <c r="G94" i="13"/>
  <c r="Y74" i="6"/>
  <c r="I94" i="13" s="1"/>
  <c r="W74" i="6"/>
  <c r="F94" i="13" s="1"/>
  <c r="AA74" i="6"/>
  <c r="H94" i="13" s="1"/>
  <c r="G111" i="13"/>
  <c r="Y91" i="6"/>
  <c r="I111" i="13" s="1"/>
  <c r="W91" i="6"/>
  <c r="F111" i="13" s="1"/>
  <c r="AA91" i="6"/>
  <c r="H111" i="13" s="1"/>
  <c r="AC55" i="6"/>
  <c r="E75" i="13" s="1"/>
  <c r="C515" i="13"/>
  <c r="AO5" i="11"/>
  <c r="E515" i="13" s="1"/>
  <c r="AN5" i="11"/>
  <c r="D515" i="13" s="1"/>
  <c r="AM5" i="11"/>
  <c r="K146" i="7"/>
  <c r="L146" i="7" s="1"/>
  <c r="P146" i="7" s="1"/>
  <c r="P221" i="7"/>
  <c r="D47" i="9"/>
  <c r="P306" i="7"/>
  <c r="K86" i="7"/>
  <c r="L86" i="7" s="1"/>
  <c r="P86" i="7" s="1"/>
  <c r="K163" i="7"/>
  <c r="L163" i="7" s="1"/>
  <c r="P281" i="7"/>
  <c r="N43" i="13"/>
  <c r="AE23" i="6"/>
  <c r="H9" i="8"/>
  <c r="H231" i="13" s="1"/>
  <c r="G9" i="8"/>
  <c r="I9" i="8"/>
  <c r="K9" i="8"/>
  <c r="K231" i="13" s="1"/>
  <c r="K336" i="7"/>
  <c r="L336" i="7" s="1"/>
  <c r="P336" i="7" s="1"/>
  <c r="K75" i="7"/>
  <c r="L75" i="7" s="1"/>
  <c r="P75" i="7" s="1"/>
  <c r="P36" i="7"/>
  <c r="R6" i="8" s="1"/>
  <c r="Q228" i="13" s="1"/>
  <c r="K306" i="7"/>
  <c r="L306" i="7" s="1"/>
  <c r="G34" i="13"/>
  <c r="W14" i="6"/>
  <c r="F34" i="13" s="1"/>
  <c r="Y14" i="6"/>
  <c r="I34" i="13" s="1"/>
  <c r="AA14" i="6"/>
  <c r="H34" i="13" s="1"/>
  <c r="P97" i="7"/>
  <c r="K276" i="7"/>
  <c r="L276" i="7" s="1"/>
  <c r="P276" i="7" s="1"/>
  <c r="G78" i="13"/>
  <c r="Y58" i="6"/>
  <c r="I78" i="13" s="1"/>
  <c r="W58" i="6"/>
  <c r="F78" i="13" s="1"/>
  <c r="AA58" i="6"/>
  <c r="H78" i="13" s="1"/>
  <c r="K104" i="13"/>
  <c r="Z84" i="6"/>
  <c r="M104" i="13" s="1"/>
  <c r="AB84" i="6"/>
  <c r="L104" i="13" s="1"/>
  <c r="X84" i="6"/>
  <c r="J104" i="13" s="1"/>
  <c r="K125" i="7"/>
  <c r="L125" i="7" s="1"/>
  <c r="P125" i="7" s="1"/>
  <c r="K87" i="13"/>
  <c r="Z67" i="6"/>
  <c r="X67" i="6"/>
  <c r="J87" i="13" s="1"/>
  <c r="AB67" i="6"/>
  <c r="L87" i="13" s="1"/>
  <c r="K153" i="7"/>
  <c r="L153" i="7" s="1"/>
  <c r="D64" i="9"/>
  <c r="P254" i="7"/>
  <c r="P166" i="7"/>
  <c r="K89" i="13"/>
  <c r="AB69" i="6"/>
  <c r="L89" i="13" s="1"/>
  <c r="Z69" i="6"/>
  <c r="M89" i="13" s="1"/>
  <c r="X69" i="6"/>
  <c r="J89" i="13" s="1"/>
  <c r="AC47" i="6"/>
  <c r="E67" i="13" s="1"/>
  <c r="AC45" i="6"/>
  <c r="E65" i="13" s="1"/>
  <c r="G59" i="13"/>
  <c r="W39" i="6"/>
  <c r="F59" i="13" s="1"/>
  <c r="AA39" i="6"/>
  <c r="H59" i="13" s="1"/>
  <c r="Y39" i="6"/>
  <c r="K95" i="7"/>
  <c r="L95" i="7" s="1"/>
  <c r="P95" i="7" s="1"/>
  <c r="K26" i="13"/>
  <c r="AB6" i="6"/>
  <c r="L26" i="13" s="1"/>
  <c r="X6" i="6"/>
  <c r="J26" i="13" s="1"/>
  <c r="Z6" i="6"/>
  <c r="M26" i="13" s="1"/>
  <c r="D46" i="9"/>
  <c r="K54" i="13"/>
  <c r="AB34" i="6"/>
  <c r="L54" i="13" s="1"/>
  <c r="X34" i="6"/>
  <c r="J54" i="13" s="1"/>
  <c r="Z34" i="6"/>
  <c r="M54" i="13" s="1"/>
  <c r="D60" i="9"/>
  <c r="P214" i="7"/>
  <c r="K200" i="7"/>
  <c r="L200" i="7"/>
  <c r="P211" i="7"/>
  <c r="G95" i="13"/>
  <c r="AA75" i="6"/>
  <c r="H95" i="13" s="1"/>
  <c r="W75" i="6"/>
  <c r="F95" i="13" s="1"/>
  <c r="Y75" i="6"/>
  <c r="I95" i="13" s="1"/>
  <c r="I19" i="8"/>
  <c r="H19" i="8"/>
  <c r="H241" i="13" s="1"/>
  <c r="G19" i="8"/>
  <c r="K19" i="8"/>
  <c r="K241" i="13" s="1"/>
  <c r="K21" i="8"/>
  <c r="K243" i="13" s="1"/>
  <c r="J21" i="8"/>
  <c r="J243" i="13" s="1"/>
  <c r="I21" i="8"/>
  <c r="H21" i="8"/>
  <c r="H243" i="13" s="1"/>
  <c r="G21" i="8"/>
  <c r="Q21" i="8"/>
  <c r="K41" i="8"/>
  <c r="K263" i="13" s="1"/>
  <c r="G41" i="8"/>
  <c r="C517" i="13"/>
  <c r="AO7" i="11"/>
  <c r="E517" i="13" s="1"/>
  <c r="AN7" i="11"/>
  <c r="D517" i="13" s="1"/>
  <c r="AM7" i="11"/>
  <c r="B517" i="13" s="1"/>
  <c r="K165" i="7"/>
  <c r="L165" i="7" s="1"/>
  <c r="P165" i="7" s="1"/>
  <c r="P21" i="7"/>
  <c r="P42" i="7"/>
  <c r="R12" i="8" s="1"/>
  <c r="P176" i="7"/>
  <c r="K189" i="7"/>
  <c r="L189" i="7" s="1"/>
  <c r="K99" i="7"/>
  <c r="L99" i="7" s="1"/>
  <c r="D68" i="9"/>
  <c r="P294" i="7"/>
  <c r="R34" i="8" s="1"/>
  <c r="G74" i="13"/>
  <c r="AA54" i="6"/>
  <c r="H74" i="13" s="1"/>
  <c r="Y54" i="6"/>
  <c r="I74" i="13" s="1"/>
  <c r="W54" i="6"/>
  <c r="F74" i="13" s="1"/>
  <c r="AD64" i="6"/>
  <c r="AC42" i="6"/>
  <c r="E62" i="13" s="1"/>
  <c r="K68" i="13"/>
  <c r="Z48" i="6"/>
  <c r="M68" i="13" s="1"/>
  <c r="AB48" i="6"/>
  <c r="L68" i="13" s="1"/>
  <c r="X48" i="6"/>
  <c r="J68" i="13" s="1"/>
  <c r="G63" i="13"/>
  <c r="Y43" i="6"/>
  <c r="I63" i="13" s="1"/>
  <c r="AA43" i="6"/>
  <c r="H63" i="13" s="1"/>
  <c r="W43" i="6"/>
  <c r="F63" i="13" s="1"/>
  <c r="K37" i="8"/>
  <c r="K259" i="13" s="1"/>
  <c r="J37" i="8"/>
  <c r="J259" i="13" s="1"/>
  <c r="G37" i="8"/>
  <c r="Q37" i="8"/>
  <c r="O12" i="7"/>
  <c r="K12" i="7"/>
  <c r="L12" i="7" s="1"/>
  <c r="K92" i="13"/>
  <c r="X72" i="6"/>
  <c r="J92" i="13" s="1"/>
  <c r="AB72" i="6"/>
  <c r="L92" i="13" s="1"/>
  <c r="Z72" i="6"/>
  <c r="M92" i="13" s="1"/>
  <c r="P61" i="7"/>
  <c r="G46" i="13"/>
  <c r="Y26" i="6"/>
  <c r="I46" i="13" s="1"/>
  <c r="W26" i="6"/>
  <c r="F46" i="13" s="1"/>
  <c r="AA26" i="6"/>
  <c r="H46" i="13" s="1"/>
  <c r="D17" i="12"/>
  <c r="P43" i="7"/>
  <c r="R13" i="8" s="1"/>
  <c r="G40" i="13"/>
  <c r="AA20" i="6"/>
  <c r="H40" i="13" s="1"/>
  <c r="W20" i="6"/>
  <c r="F40" i="13" s="1"/>
  <c r="Y20" i="6"/>
  <c r="I40" i="13" s="1"/>
  <c r="G27" i="13"/>
  <c r="AA7" i="6"/>
  <c r="H27" i="13" s="1"/>
  <c r="Y7" i="6"/>
  <c r="I27" i="13" s="1"/>
  <c r="W7" i="6"/>
  <c r="F27" i="13" s="1"/>
  <c r="G66" i="13"/>
  <c r="AA46" i="6"/>
  <c r="H66" i="13" s="1"/>
  <c r="Y46" i="6"/>
  <c r="I66" i="13" s="1"/>
  <c r="W46" i="6"/>
  <c r="F66" i="13" s="1"/>
  <c r="D62" i="9"/>
  <c r="G18" i="8"/>
  <c r="J18" i="8"/>
  <c r="J240" i="13" s="1"/>
  <c r="K18" i="8"/>
  <c r="K240" i="13" s="1"/>
  <c r="Q18" i="8"/>
  <c r="C16" i="12"/>
  <c r="D16" i="12"/>
  <c r="D48" i="9"/>
  <c r="K352" i="7"/>
  <c r="H42" i="8" s="1"/>
  <c r="H264" i="13" s="1"/>
  <c r="L352" i="7"/>
  <c r="I42" i="8" s="1"/>
  <c r="P168" i="7"/>
  <c r="G37" i="13"/>
  <c r="AA17" i="6"/>
  <c r="H37" i="13" s="1"/>
  <c r="W17" i="6"/>
  <c r="F37" i="13" s="1"/>
  <c r="Y17" i="6"/>
  <c r="I37" i="13" s="1"/>
  <c r="D63" i="9"/>
  <c r="D74" i="9"/>
  <c r="D43" i="9"/>
  <c r="P44" i="7"/>
  <c r="R14" i="8" s="1"/>
  <c r="G55" i="13"/>
  <c r="Y35" i="6"/>
  <c r="I55" i="13" s="1"/>
  <c r="W35" i="6"/>
  <c r="F55" i="13" s="1"/>
  <c r="AA35" i="6"/>
  <c r="H55" i="13" s="1"/>
  <c r="K31" i="13"/>
  <c r="Z11" i="6"/>
  <c r="AB11" i="6"/>
  <c r="L31" i="13" s="1"/>
  <c r="X11" i="6"/>
  <c r="J31" i="13" s="1"/>
  <c r="O309" i="7"/>
  <c r="K309" i="7"/>
  <c r="L309" i="7" s="1"/>
  <c r="D71" i="9"/>
  <c r="K56" i="7"/>
  <c r="L56" i="7" s="1"/>
  <c r="P56" i="7" s="1"/>
  <c r="P66" i="7"/>
  <c r="G98" i="13"/>
  <c r="Y78" i="6"/>
  <c r="I98" i="13" s="1"/>
  <c r="AA78" i="6"/>
  <c r="H98" i="13" s="1"/>
  <c r="W78" i="6"/>
  <c r="F98" i="13" s="1"/>
  <c r="C43" i="12"/>
  <c r="G104" i="13"/>
  <c r="AA84" i="6"/>
  <c r="H104" i="13" s="1"/>
  <c r="W84" i="6"/>
  <c r="F104" i="13" s="1"/>
  <c r="Y84" i="6"/>
  <c r="I104" i="13" s="1"/>
  <c r="P15" i="7"/>
  <c r="G87" i="13"/>
  <c r="Y67" i="6"/>
  <c r="AA67" i="6"/>
  <c r="H87" i="13" s="1"/>
  <c r="W67" i="6"/>
  <c r="F87" i="13" s="1"/>
  <c r="P198" i="7"/>
  <c r="P320" i="7"/>
  <c r="G39" i="13"/>
  <c r="Y19" i="6"/>
  <c r="I39" i="13" s="1"/>
  <c r="AA19" i="6"/>
  <c r="H39" i="13" s="1"/>
  <c r="W19" i="6"/>
  <c r="F39" i="13" s="1"/>
  <c r="AD19" i="6"/>
  <c r="K266" i="7"/>
  <c r="L266" i="7" s="1"/>
  <c r="P266" i="7" s="1"/>
  <c r="G32" i="13"/>
  <c r="Y12" i="6"/>
  <c r="I32" i="13" s="1"/>
  <c r="W12" i="6"/>
  <c r="F32" i="13" s="1"/>
  <c r="AA12" i="6"/>
  <c r="H32" i="13" s="1"/>
  <c r="P126" i="7"/>
  <c r="G67" i="13"/>
  <c r="Y47" i="6"/>
  <c r="I67" i="13" s="1"/>
  <c r="AA47" i="6"/>
  <c r="H67" i="13" s="1"/>
  <c r="W47" i="6"/>
  <c r="F67" i="13" s="1"/>
  <c r="D53" i="9"/>
  <c r="K59" i="13"/>
  <c r="AB39" i="6"/>
  <c r="L59" i="13" s="1"/>
  <c r="Z39" i="6"/>
  <c r="X39" i="6"/>
  <c r="J59" i="13" s="1"/>
  <c r="K291" i="7"/>
  <c r="L291" i="7" s="1"/>
  <c r="I31" i="8" s="1"/>
  <c r="K113" i="13"/>
  <c r="AB93" i="6"/>
  <c r="L113" i="13" s="1"/>
  <c r="X93" i="6"/>
  <c r="J113" i="13" s="1"/>
  <c r="Z93" i="6"/>
  <c r="M113" i="13" s="1"/>
  <c r="G62" i="13"/>
  <c r="Y42" i="6"/>
  <c r="I62" i="13" s="1"/>
  <c r="AA42" i="6"/>
  <c r="H62" i="13" s="1"/>
  <c r="W42" i="6"/>
  <c r="F62" i="13" s="1"/>
  <c r="G26" i="13"/>
  <c r="Y6" i="6"/>
  <c r="I26" i="13" s="1"/>
  <c r="AA6" i="6"/>
  <c r="H26" i="13" s="1"/>
  <c r="W6" i="6"/>
  <c r="F26" i="13" s="1"/>
  <c r="K222" i="7"/>
  <c r="L222" i="7" s="1"/>
  <c r="K86" i="13"/>
  <c r="AB66" i="6"/>
  <c r="L86" i="13" s="1"/>
  <c r="X66" i="6"/>
  <c r="J86" i="13" s="1"/>
  <c r="Z66" i="6"/>
  <c r="M86" i="13" s="1"/>
  <c r="G68" i="13"/>
  <c r="W48" i="6"/>
  <c r="F68" i="13" s="1"/>
  <c r="AA48" i="6"/>
  <c r="H68" i="13" s="1"/>
  <c r="Y48" i="6"/>
  <c r="I68" i="13" s="1"/>
  <c r="AC43" i="6"/>
  <c r="E63" i="13" s="1"/>
  <c r="K173" i="7"/>
  <c r="L173" i="7" s="1"/>
  <c r="K102" i="13"/>
  <c r="AB82" i="6"/>
  <c r="L102" i="13" s="1"/>
  <c r="X82" i="6"/>
  <c r="J102" i="13" s="1"/>
  <c r="Z82" i="6"/>
  <c r="M102" i="13" s="1"/>
  <c r="G91" i="13"/>
  <c r="AA71" i="6"/>
  <c r="H91" i="13" s="1"/>
  <c r="W71" i="6"/>
  <c r="F91" i="13" s="1"/>
  <c r="Y71" i="6"/>
  <c r="I91" i="13" s="1"/>
  <c r="G105" i="13"/>
  <c r="AA85" i="6"/>
  <c r="H105" i="13" s="1"/>
  <c r="Y85" i="6"/>
  <c r="I105" i="13" s="1"/>
  <c r="W85" i="6"/>
  <c r="F105" i="13" s="1"/>
  <c r="R23" i="8"/>
  <c r="Q23" i="8"/>
  <c r="I23" i="8"/>
  <c r="H23" i="8"/>
  <c r="H245" i="13" s="1"/>
  <c r="G23" i="8"/>
  <c r="J23" i="8"/>
  <c r="J245" i="13" s="1"/>
  <c r="K23" i="8"/>
  <c r="K245" i="13" s="1"/>
  <c r="H40" i="8"/>
  <c r="H262" i="13" s="1"/>
  <c r="G40" i="8"/>
  <c r="G262" i="13" s="1"/>
  <c r="K40" i="8"/>
  <c r="K262" i="13" s="1"/>
  <c r="J40" i="8"/>
  <c r="J262" i="13" s="1"/>
  <c r="G103" i="13"/>
  <c r="Y83" i="6"/>
  <c r="I103" i="13" s="1"/>
  <c r="W83" i="6"/>
  <c r="F103" i="13" s="1"/>
  <c r="AA83" i="6"/>
  <c r="H103" i="13" s="1"/>
  <c r="K74" i="13"/>
  <c r="AB54" i="6"/>
  <c r="L74" i="13" s="1"/>
  <c r="Z54" i="6"/>
  <c r="M74" i="13" s="1"/>
  <c r="X54" i="6"/>
  <c r="J74" i="13" s="1"/>
  <c r="Y31" i="6"/>
  <c r="I51" i="13" s="1"/>
  <c r="G51" i="13"/>
  <c r="AA31" i="6"/>
  <c r="H51" i="13" s="1"/>
  <c r="W31" i="6"/>
  <c r="F51" i="13" s="1"/>
  <c r="AD31" i="6"/>
  <c r="P310" i="7"/>
  <c r="AC94" i="6"/>
  <c r="E114" i="13" s="1"/>
  <c r="AC41" i="6"/>
  <c r="E61" i="13" s="1"/>
  <c r="AD95" i="6" l="1"/>
  <c r="H7" i="8"/>
  <c r="H229" i="13" s="1"/>
  <c r="AD80" i="6"/>
  <c r="K245" i="7"/>
  <c r="L245" i="7" s="1"/>
  <c r="P245" i="7" s="1"/>
  <c r="H33" i="9"/>
  <c r="AO6" i="11"/>
  <c r="E516" i="13" s="1"/>
  <c r="AE25" i="6"/>
  <c r="K325" i="7"/>
  <c r="L325" i="7" s="1"/>
  <c r="P325" i="7" s="1"/>
  <c r="F319" i="13"/>
  <c r="AD22" i="6"/>
  <c r="K255" i="7"/>
  <c r="L255" i="7" s="1"/>
  <c r="P255" i="7" s="1"/>
  <c r="P37" i="7"/>
  <c r="R7" i="8" s="1"/>
  <c r="G49" i="8" s="1"/>
  <c r="Q268" i="13" s="1"/>
  <c r="AD49" i="6"/>
  <c r="AE49" i="6" s="1"/>
  <c r="H20" i="8"/>
  <c r="H242" i="13" s="1"/>
  <c r="F342" i="13"/>
  <c r="I24" i="8"/>
  <c r="I246" i="13" s="1"/>
  <c r="N112" i="13"/>
  <c r="K285" i="7"/>
  <c r="L285" i="7" s="1"/>
  <c r="I25" i="8" s="1"/>
  <c r="K345" i="7"/>
  <c r="L345" i="7" s="1"/>
  <c r="H20" i="9"/>
  <c r="G325" i="13" s="1"/>
  <c r="K305" i="7"/>
  <c r="L305" i="7" s="1"/>
  <c r="P305" i="7" s="1"/>
  <c r="H6" i="9"/>
  <c r="G311" i="13" s="1"/>
  <c r="K265" i="7"/>
  <c r="L265" i="7" s="1"/>
  <c r="P265" i="7" s="1"/>
  <c r="AD70" i="6"/>
  <c r="K295" i="7"/>
  <c r="L295" i="7" s="1"/>
  <c r="P295" i="7" s="1"/>
  <c r="K275" i="7"/>
  <c r="L275" i="7" s="1"/>
  <c r="P275" i="7" s="1"/>
  <c r="H18" i="8"/>
  <c r="H240" i="13" s="1"/>
  <c r="H17" i="9"/>
  <c r="G322" i="13" s="1"/>
  <c r="H24" i="8"/>
  <c r="H246" i="13" s="1"/>
  <c r="AD26" i="6"/>
  <c r="N46" i="13" s="1"/>
  <c r="P286" i="7"/>
  <c r="R26" i="8" s="1"/>
  <c r="Q248" i="13" s="1"/>
  <c r="I28" i="8"/>
  <c r="AD93" i="6"/>
  <c r="AD7" i="6"/>
  <c r="H5" i="8"/>
  <c r="H227" i="13" s="1"/>
  <c r="H26" i="8"/>
  <c r="H248" i="13" s="1"/>
  <c r="AD65" i="6"/>
  <c r="I5" i="8"/>
  <c r="I227" i="13" s="1"/>
  <c r="H31" i="8"/>
  <c r="H253" i="13" s="1"/>
  <c r="AD67" i="6"/>
  <c r="N87" i="13" s="1"/>
  <c r="AD9" i="6"/>
  <c r="AD14" i="6"/>
  <c r="AE14" i="6" s="1"/>
  <c r="H15" i="8"/>
  <c r="H237" i="13" s="1"/>
  <c r="K7" i="5"/>
  <c r="H16" i="8"/>
  <c r="H238" i="13" s="1"/>
  <c r="AD62" i="6"/>
  <c r="AE62" i="6" s="1"/>
  <c r="H34" i="8"/>
  <c r="H256" i="13" s="1"/>
  <c r="AD77" i="6"/>
  <c r="AD54" i="6"/>
  <c r="AD85" i="6"/>
  <c r="N105" i="13" s="1"/>
  <c r="AD17" i="6"/>
  <c r="AD69" i="6"/>
  <c r="N89" i="13" s="1"/>
  <c r="AD90" i="6"/>
  <c r="N110" i="13" s="1"/>
  <c r="I251" i="13"/>
  <c r="E67" i="8"/>
  <c r="I286" i="13" s="1"/>
  <c r="Q234" i="13"/>
  <c r="G53" i="8"/>
  <c r="Q272" i="13" s="1"/>
  <c r="Q260" i="13"/>
  <c r="G74" i="8"/>
  <c r="Q293" i="13" s="1"/>
  <c r="I239" i="13"/>
  <c r="E57" i="8"/>
  <c r="I276" i="13" s="1"/>
  <c r="Q240" i="13"/>
  <c r="G58" i="8"/>
  <c r="Q277" i="13" s="1"/>
  <c r="Q236" i="13"/>
  <c r="E84" i="8"/>
  <c r="Q300" i="13" s="1"/>
  <c r="G55" i="8"/>
  <c r="Q274" i="13" s="1"/>
  <c r="Q230" i="13"/>
  <c r="G50" i="8"/>
  <c r="Q269" i="13" s="1"/>
  <c r="Q244" i="13"/>
  <c r="G61" i="8"/>
  <c r="Q280" i="13" s="1"/>
  <c r="I247" i="13"/>
  <c r="E64" i="8"/>
  <c r="I283" i="13" s="1"/>
  <c r="J9" i="10"/>
  <c r="J510" i="13" s="1"/>
  <c r="J10" i="10"/>
  <c r="J511" i="13" s="1"/>
  <c r="R44" i="8"/>
  <c r="I254" i="13"/>
  <c r="E69" i="8"/>
  <c r="I288" i="13" s="1"/>
  <c r="Q250" i="13"/>
  <c r="G66" i="8"/>
  <c r="Q285" i="13" s="1"/>
  <c r="Q233" i="13"/>
  <c r="G52" i="8"/>
  <c r="Q271" i="13" s="1"/>
  <c r="I263" i="13"/>
  <c r="E76" i="8"/>
  <c r="I295" i="13" s="1"/>
  <c r="Q243" i="13"/>
  <c r="G60" i="8"/>
  <c r="Q279" i="13" s="1"/>
  <c r="P131" i="7"/>
  <c r="M28" i="13"/>
  <c r="P10" i="8"/>
  <c r="O232" i="13" s="1"/>
  <c r="P9" i="8"/>
  <c r="O231" i="13" s="1"/>
  <c r="P62" i="7"/>
  <c r="AD61" i="6"/>
  <c r="G236" i="13"/>
  <c r="H55" i="8"/>
  <c r="D55" i="8"/>
  <c r="G274" i="13" s="1"/>
  <c r="Q235" i="13"/>
  <c r="G54" i="8"/>
  <c r="Q273" i="13" s="1"/>
  <c r="AD34" i="6"/>
  <c r="C83" i="8"/>
  <c r="I299" i="13" s="1"/>
  <c r="H36" i="8"/>
  <c r="H258" i="13" s="1"/>
  <c r="I52" i="13"/>
  <c r="C22" i="12"/>
  <c r="I109" i="13"/>
  <c r="O33" i="8"/>
  <c r="N255" i="13" s="1"/>
  <c r="G239" i="13"/>
  <c r="D57" i="8"/>
  <c r="G276" i="13" s="1"/>
  <c r="H57" i="8"/>
  <c r="AD60" i="6"/>
  <c r="K23" i="5"/>
  <c r="K32" i="5"/>
  <c r="AD8" i="6"/>
  <c r="C370" i="13"/>
  <c r="I66" i="9"/>
  <c r="J66" i="9" s="1"/>
  <c r="K66" i="9" s="1"/>
  <c r="G251" i="13"/>
  <c r="H67" i="8"/>
  <c r="D67" i="8"/>
  <c r="C355" i="13"/>
  <c r="I51" i="9"/>
  <c r="J51" i="9" s="1"/>
  <c r="K51" i="9" s="1"/>
  <c r="G246" i="13"/>
  <c r="H63" i="8"/>
  <c r="D63" i="8"/>
  <c r="G282" i="13" s="1"/>
  <c r="AD71" i="6"/>
  <c r="K34" i="5"/>
  <c r="I31" i="13"/>
  <c r="O20" i="8"/>
  <c r="N242" i="13" s="1"/>
  <c r="O19" i="8"/>
  <c r="N241" i="13" s="1"/>
  <c r="C364" i="13"/>
  <c r="I60" i="9"/>
  <c r="J60" i="9" s="1"/>
  <c r="K60" i="9" s="1"/>
  <c r="G71" i="8"/>
  <c r="Q290" i="13" s="1"/>
  <c r="Q256" i="13"/>
  <c r="E88" i="8"/>
  <c r="Q304" i="13" s="1"/>
  <c r="I52" i="9"/>
  <c r="J52" i="9" s="1"/>
  <c r="K52" i="9" s="1"/>
  <c r="C356" i="13"/>
  <c r="I256" i="13"/>
  <c r="E71" i="8"/>
  <c r="I290" i="13" s="1"/>
  <c r="C88" i="8"/>
  <c r="I304" i="13" s="1"/>
  <c r="O112" i="13"/>
  <c r="AF92" i="6"/>
  <c r="AD43" i="6"/>
  <c r="H35" i="8"/>
  <c r="H257" i="13" s="1"/>
  <c r="AE69" i="6"/>
  <c r="N115" i="13"/>
  <c r="AE95" i="6"/>
  <c r="N43" i="8"/>
  <c r="M265" i="13" s="1"/>
  <c r="B453" i="13"/>
  <c r="A98" i="10"/>
  <c r="P245" i="13"/>
  <c r="F62" i="8"/>
  <c r="P281" i="13" s="1"/>
  <c r="AD78" i="6"/>
  <c r="Q245" i="13"/>
  <c r="G62" i="8"/>
  <c r="Q281" i="13" s="1"/>
  <c r="AD12" i="6"/>
  <c r="P12" i="7"/>
  <c r="C365" i="13"/>
  <c r="I61" i="9"/>
  <c r="J61" i="9" s="1"/>
  <c r="K61" i="9" s="1"/>
  <c r="G10" i="10"/>
  <c r="G511" i="13" s="1"/>
  <c r="P235" i="13"/>
  <c r="F54" i="8"/>
  <c r="P273" i="13" s="1"/>
  <c r="C354" i="13"/>
  <c r="I50" i="9"/>
  <c r="J50" i="9" s="1"/>
  <c r="K50" i="9" s="1"/>
  <c r="AD56" i="6"/>
  <c r="AD51" i="6"/>
  <c r="AD38" i="6"/>
  <c r="N108" i="13"/>
  <c r="AE88" i="6"/>
  <c r="P51" i="7"/>
  <c r="I36" i="8"/>
  <c r="I258" i="13" s="1"/>
  <c r="N52" i="13"/>
  <c r="AE32" i="6"/>
  <c r="P229" i="13"/>
  <c r="F49" i="8"/>
  <c r="P268" i="13" s="1"/>
  <c r="K25" i="5"/>
  <c r="K16" i="5"/>
  <c r="G264" i="13"/>
  <c r="H77" i="8"/>
  <c r="D77" i="8"/>
  <c r="G296" i="13" s="1"/>
  <c r="AD16" i="6"/>
  <c r="H29" i="8"/>
  <c r="H251" i="13" s="1"/>
  <c r="AD6" i="6"/>
  <c r="C373" i="13"/>
  <c r="I69" i="9"/>
  <c r="J69" i="9" s="1"/>
  <c r="K69" i="9" s="1"/>
  <c r="G88" i="8"/>
  <c r="G263" i="13"/>
  <c r="H76" i="8"/>
  <c r="D76" i="8"/>
  <c r="G295" i="13" s="1"/>
  <c r="AD39" i="6"/>
  <c r="M87" i="13"/>
  <c r="P42" i="8"/>
  <c r="O264" i="13" s="1"/>
  <c r="O43" i="13"/>
  <c r="AF23" i="6"/>
  <c r="B385" i="13"/>
  <c r="A18" i="10"/>
  <c r="AD59" i="6"/>
  <c r="G234" i="13"/>
  <c r="D53" i="8"/>
  <c r="G272" i="13" s="1"/>
  <c r="H53" i="8"/>
  <c r="G235" i="13"/>
  <c r="D54" i="8"/>
  <c r="G273" i="13" s="1"/>
  <c r="H54" i="8"/>
  <c r="AD37" i="6"/>
  <c r="I115" i="13"/>
  <c r="O43" i="8"/>
  <c r="N265" i="13" s="1"/>
  <c r="AD45" i="6"/>
  <c r="P289" i="7"/>
  <c r="R29" i="8" s="1"/>
  <c r="AD89" i="6"/>
  <c r="P239" i="13"/>
  <c r="F57" i="8"/>
  <c r="P276" i="13" s="1"/>
  <c r="L349" i="7"/>
  <c r="I39" i="8" s="1"/>
  <c r="K24" i="5"/>
  <c r="K36" i="5"/>
  <c r="P67" i="7"/>
  <c r="R17" i="8" s="1"/>
  <c r="H61" i="8"/>
  <c r="G244" i="13"/>
  <c r="D61" i="8"/>
  <c r="G280" i="13" s="1"/>
  <c r="P237" i="13"/>
  <c r="F56" i="8"/>
  <c r="K12" i="5"/>
  <c r="K8" i="5"/>
  <c r="AD11" i="6"/>
  <c r="E63" i="8"/>
  <c r="I282" i="13" s="1"/>
  <c r="C86" i="8"/>
  <c r="I302" i="13" s="1"/>
  <c r="AD74" i="6"/>
  <c r="E68" i="8"/>
  <c r="I287" i="13" s="1"/>
  <c r="I253" i="13"/>
  <c r="K30" i="5"/>
  <c r="G240" i="13"/>
  <c r="H58" i="8"/>
  <c r="D58" i="8"/>
  <c r="G277" i="13" s="1"/>
  <c r="C350" i="13"/>
  <c r="I46" i="9"/>
  <c r="J46" i="9" s="1"/>
  <c r="K46" i="9" s="1"/>
  <c r="G231" i="13"/>
  <c r="H51" i="8"/>
  <c r="D51" i="8"/>
  <c r="G270" i="13" s="1"/>
  <c r="AD15" i="6"/>
  <c r="G256" i="13"/>
  <c r="H71" i="8"/>
  <c r="D71" i="8"/>
  <c r="G290" i="13" s="1"/>
  <c r="K35" i="5"/>
  <c r="I264" i="13"/>
  <c r="E77" i="8"/>
  <c r="I296" i="13" s="1"/>
  <c r="I28" i="13"/>
  <c r="O9" i="8"/>
  <c r="N231" i="13" s="1"/>
  <c r="O10" i="8"/>
  <c r="N232" i="13" s="1"/>
  <c r="C345" i="13"/>
  <c r="I41" i="9"/>
  <c r="J41" i="9" s="1"/>
  <c r="K41" i="9" s="1"/>
  <c r="G9" i="10"/>
  <c r="G510" i="13" s="1"/>
  <c r="C367" i="13"/>
  <c r="I63" i="9"/>
  <c r="J63" i="9" s="1"/>
  <c r="K63" i="9" s="1"/>
  <c r="AE85" i="6"/>
  <c r="G241" i="13"/>
  <c r="D59" i="8"/>
  <c r="G278" i="13" s="1"/>
  <c r="H59" i="8"/>
  <c r="AD66" i="6"/>
  <c r="K26" i="5"/>
  <c r="M115" i="13"/>
  <c r="P43" i="8"/>
  <c r="O265" i="13" s="1"/>
  <c r="C362" i="13"/>
  <c r="I58" i="9"/>
  <c r="J58" i="9" s="1"/>
  <c r="K58" i="9" s="1"/>
  <c r="I241" i="13"/>
  <c r="E59" i="8"/>
  <c r="I278" i="13" s="1"/>
  <c r="P285" i="7"/>
  <c r="R25" i="8" s="1"/>
  <c r="G261" i="13"/>
  <c r="D75" i="8"/>
  <c r="G294" i="13" s="1"/>
  <c r="H75" i="8"/>
  <c r="AD18" i="6"/>
  <c r="C378" i="13"/>
  <c r="I74" i="9"/>
  <c r="J74" i="9" s="1"/>
  <c r="K74" i="9" s="1"/>
  <c r="H25" i="8"/>
  <c r="H247" i="13" s="1"/>
  <c r="AD10" i="6"/>
  <c r="O41" i="13"/>
  <c r="AF21" i="6"/>
  <c r="F74" i="8"/>
  <c r="P293" i="13" s="1"/>
  <c r="P260" i="13"/>
  <c r="B491" i="13"/>
  <c r="A144" i="10"/>
  <c r="K6" i="5"/>
  <c r="K31" i="5"/>
  <c r="P233" i="13"/>
  <c r="F52" i="8"/>
  <c r="P271" i="13" s="1"/>
  <c r="C346" i="13"/>
  <c r="I42" i="9"/>
  <c r="J42" i="9" s="1"/>
  <c r="K42" i="9" s="1"/>
  <c r="K157" i="7"/>
  <c r="L157" i="7" s="1"/>
  <c r="P157" i="7" s="1"/>
  <c r="K197" i="7"/>
  <c r="L197" i="7" s="1"/>
  <c r="P197" i="7" s="1"/>
  <c r="K167" i="7"/>
  <c r="L167" i="7" s="1"/>
  <c r="P167" i="7" s="1"/>
  <c r="K207" i="7"/>
  <c r="L207" i="7" s="1"/>
  <c r="K267" i="7"/>
  <c r="L267" i="7" s="1"/>
  <c r="P267" i="7" s="1"/>
  <c r="K337" i="7"/>
  <c r="L337" i="7" s="1"/>
  <c r="P337" i="7" s="1"/>
  <c r="K327" i="7"/>
  <c r="L327" i="7" s="1"/>
  <c r="P327" i="7" s="1"/>
  <c r="K297" i="7"/>
  <c r="L297" i="7" s="1"/>
  <c r="P297" i="7" s="1"/>
  <c r="K177" i="7"/>
  <c r="L177" i="7" s="1"/>
  <c r="P177" i="7" s="1"/>
  <c r="K277" i="7"/>
  <c r="L277" i="7" s="1"/>
  <c r="P277" i="7" s="1"/>
  <c r="K187" i="7"/>
  <c r="L187" i="7" s="1"/>
  <c r="P187" i="7" s="1"/>
  <c r="K217" i="7"/>
  <c r="L217" i="7" s="1"/>
  <c r="P217" i="7" s="1"/>
  <c r="K247" i="7"/>
  <c r="L247" i="7" s="1"/>
  <c r="P247" i="7" s="1"/>
  <c r="K347" i="7"/>
  <c r="K287" i="7"/>
  <c r="K307" i="7"/>
  <c r="L307" i="7" s="1"/>
  <c r="P307" i="7" s="1"/>
  <c r="K257" i="7"/>
  <c r="L257" i="7" s="1"/>
  <c r="P257" i="7" s="1"/>
  <c r="K317" i="7"/>
  <c r="L317" i="7" s="1"/>
  <c r="P317" i="7" s="1"/>
  <c r="K237" i="7"/>
  <c r="L237" i="7" s="1"/>
  <c r="P237" i="7" s="1"/>
  <c r="K227" i="7"/>
  <c r="L227" i="7" s="1"/>
  <c r="P227" i="7" s="1"/>
  <c r="AD55" i="6"/>
  <c r="P240" i="13"/>
  <c r="F58" i="8"/>
  <c r="P277" i="13" s="1"/>
  <c r="P243" i="13"/>
  <c r="F60" i="8"/>
  <c r="P279" i="13" s="1"/>
  <c r="P261" i="13"/>
  <c r="F75" i="8"/>
  <c r="P294" i="13" s="1"/>
  <c r="I230" i="13"/>
  <c r="E50" i="8"/>
  <c r="I269" i="13" s="1"/>
  <c r="G247" i="13"/>
  <c r="H64" i="8"/>
  <c r="D64" i="8"/>
  <c r="G283" i="13" s="1"/>
  <c r="P309" i="7"/>
  <c r="N84" i="13"/>
  <c r="AE64" i="6"/>
  <c r="P247" i="13"/>
  <c r="F64" i="8"/>
  <c r="G253" i="13"/>
  <c r="D68" i="8"/>
  <c r="G287" i="13" s="1"/>
  <c r="H68" i="8"/>
  <c r="K29" i="5"/>
  <c r="G266" i="13"/>
  <c r="D79" i="8"/>
  <c r="G298" i="13" s="1"/>
  <c r="H79" i="8"/>
  <c r="I240" i="13"/>
  <c r="E58" i="8"/>
  <c r="I277" i="13" s="1"/>
  <c r="N74" i="13"/>
  <c r="AE54" i="6"/>
  <c r="G243" i="13"/>
  <c r="D60" i="8"/>
  <c r="G279" i="13" s="1"/>
  <c r="H60" i="8"/>
  <c r="AD58" i="6"/>
  <c r="K14" i="5"/>
  <c r="AD27" i="6"/>
  <c r="P227" i="13"/>
  <c r="F48" i="8"/>
  <c r="N113" i="13"/>
  <c r="AE93" i="6"/>
  <c r="G257" i="13"/>
  <c r="H72" i="8"/>
  <c r="D72" i="8"/>
  <c r="G291" i="13" s="1"/>
  <c r="G229" i="13"/>
  <c r="H49" i="8"/>
  <c r="D49" i="8"/>
  <c r="G268" i="13" s="1"/>
  <c r="I265" i="13"/>
  <c r="E78" i="8"/>
  <c r="I297" i="13" s="1"/>
  <c r="H32" i="8"/>
  <c r="H254" i="13" s="1"/>
  <c r="P141" i="7"/>
  <c r="C360" i="13"/>
  <c r="I56" i="9"/>
  <c r="J56" i="9" s="1"/>
  <c r="K56" i="9" s="1"/>
  <c r="P246" i="13"/>
  <c r="F63" i="8"/>
  <c r="D86" i="8"/>
  <c r="C20" i="12"/>
  <c r="Q246" i="13"/>
  <c r="E86" i="8"/>
  <c r="Q302" i="13" s="1"/>
  <c r="G63" i="8"/>
  <c r="Q282" i="13" s="1"/>
  <c r="AD35" i="6"/>
  <c r="C347" i="13"/>
  <c r="I43" i="9"/>
  <c r="J43" i="9" s="1"/>
  <c r="K43" i="9" s="1"/>
  <c r="N39" i="13"/>
  <c r="AE19" i="6"/>
  <c r="H41" i="8"/>
  <c r="H263" i="13" s="1"/>
  <c r="AD91" i="6"/>
  <c r="AD72" i="6"/>
  <c r="I235" i="13"/>
  <c r="E54" i="8"/>
  <c r="I273" i="13" s="1"/>
  <c r="B420" i="13"/>
  <c r="A57" i="10"/>
  <c r="G260" i="13"/>
  <c r="H74" i="8"/>
  <c r="D74" i="8"/>
  <c r="G293" i="13" s="1"/>
  <c r="N100" i="13"/>
  <c r="AE80" i="6"/>
  <c r="K22" i="5"/>
  <c r="P350" i="7"/>
  <c r="R40" i="8" s="1"/>
  <c r="Q262" i="13" s="1"/>
  <c r="C353" i="13"/>
  <c r="I49" i="9"/>
  <c r="J49" i="9" s="1"/>
  <c r="K49" i="9" s="1"/>
  <c r="AD48" i="6"/>
  <c r="D65" i="8"/>
  <c r="G284" i="13" s="1"/>
  <c r="G249" i="13"/>
  <c r="H65" i="8"/>
  <c r="I234" i="13"/>
  <c r="E53" i="8"/>
  <c r="I272" i="13" s="1"/>
  <c r="N53" i="13"/>
  <c r="N31" i="8"/>
  <c r="M253" i="13" s="1"/>
  <c r="AE33" i="6"/>
  <c r="I237" i="13"/>
  <c r="C85" i="8"/>
  <c r="I301" i="13" s="1"/>
  <c r="E56" i="8"/>
  <c r="I275" i="13" s="1"/>
  <c r="N77" i="13"/>
  <c r="AE57" i="6"/>
  <c r="AD36" i="6"/>
  <c r="N93" i="13"/>
  <c r="AE73" i="6"/>
  <c r="C349" i="13"/>
  <c r="I45" i="9"/>
  <c r="J45" i="9" s="1"/>
  <c r="K45" i="9" s="1"/>
  <c r="K20" i="5"/>
  <c r="K18" i="5"/>
  <c r="G233" i="13"/>
  <c r="H52" i="8"/>
  <c r="D52" i="8"/>
  <c r="G271" i="13" s="1"/>
  <c r="G250" i="13"/>
  <c r="H66" i="8"/>
  <c r="D66" i="8"/>
  <c r="G285" i="13" s="1"/>
  <c r="AD30" i="6"/>
  <c r="C357" i="13"/>
  <c r="I53" i="9"/>
  <c r="J53" i="9" s="1"/>
  <c r="K53" i="9" s="1"/>
  <c r="G255" i="13"/>
  <c r="D70" i="8"/>
  <c r="G289" i="13" s="1"/>
  <c r="H70" i="8"/>
  <c r="N85" i="13"/>
  <c r="AE65" i="6"/>
  <c r="C377" i="13"/>
  <c r="I73" i="9"/>
  <c r="J73" i="9" s="1"/>
  <c r="K73" i="9" s="1"/>
  <c r="I10" i="10"/>
  <c r="I511" i="13" s="1"/>
  <c r="I9" i="10"/>
  <c r="I510" i="13" s="1"/>
  <c r="Q237" i="13"/>
  <c r="G56" i="8"/>
  <c r="Q275" i="13" s="1"/>
  <c r="P257" i="13"/>
  <c r="F72" i="8"/>
  <c r="AE90" i="6"/>
  <c r="I250" i="13"/>
  <c r="E66" i="8"/>
  <c r="I285" i="13" s="1"/>
  <c r="C352" i="13"/>
  <c r="I48" i="9"/>
  <c r="J48" i="9" s="1"/>
  <c r="K48" i="9" s="1"/>
  <c r="AD53" i="6"/>
  <c r="AD52" i="6"/>
  <c r="B441" i="13"/>
  <c r="A82" i="10"/>
  <c r="G265" i="13"/>
  <c r="D78" i="8"/>
  <c r="G297" i="13" s="1"/>
  <c r="H78" i="8"/>
  <c r="P266" i="13"/>
  <c r="F79" i="8"/>
  <c r="D90" i="8"/>
  <c r="C375" i="13"/>
  <c r="I71" i="9"/>
  <c r="J71" i="9" s="1"/>
  <c r="K71" i="9" s="1"/>
  <c r="AE67" i="6"/>
  <c r="I243" i="13"/>
  <c r="E60" i="8"/>
  <c r="I279" i="13" s="1"/>
  <c r="I231" i="13"/>
  <c r="E51" i="8"/>
  <c r="I270" i="13" s="1"/>
  <c r="G254" i="13"/>
  <c r="H69" i="8"/>
  <c r="D69" i="8"/>
  <c r="G288" i="13" s="1"/>
  <c r="P345" i="7"/>
  <c r="Q227" i="13"/>
  <c r="G48" i="8"/>
  <c r="Q267" i="13" s="1"/>
  <c r="H44" i="8"/>
  <c r="H266" i="13" s="1"/>
  <c r="C47" i="12"/>
  <c r="B515" i="13"/>
  <c r="C371" i="13"/>
  <c r="I67" i="9"/>
  <c r="J67" i="9" s="1"/>
  <c r="K67" i="9" s="1"/>
  <c r="I59" i="13"/>
  <c r="O41" i="8"/>
  <c r="N263" i="13" s="1"/>
  <c r="I236" i="13"/>
  <c r="C84" i="8"/>
  <c r="I300" i="13" s="1"/>
  <c r="E55" i="8"/>
  <c r="I274" i="13" s="1"/>
  <c r="N25" i="13"/>
  <c r="AE5" i="6"/>
  <c r="I35" i="8"/>
  <c r="K21" i="5"/>
  <c r="B457" i="13"/>
  <c r="A106" i="10"/>
  <c r="B105" i="10"/>
  <c r="AD83" i="6"/>
  <c r="I87" i="13"/>
  <c r="O42" i="8"/>
  <c r="N264" i="13" s="1"/>
  <c r="AD20" i="6"/>
  <c r="M59" i="13"/>
  <c r="P41" i="8"/>
  <c r="O263" i="13" s="1"/>
  <c r="AD46" i="6"/>
  <c r="P249" i="13"/>
  <c r="F65" i="8"/>
  <c r="P284" i="13" s="1"/>
  <c r="F53" i="8"/>
  <c r="P272" i="13" s="1"/>
  <c r="P234" i="13"/>
  <c r="P236" i="13"/>
  <c r="D84" i="8"/>
  <c r="F55" i="8"/>
  <c r="O48" i="13"/>
  <c r="AF28" i="6"/>
  <c r="N33" i="13"/>
  <c r="AE13" i="6"/>
  <c r="K5" i="5"/>
  <c r="AD68" i="6"/>
  <c r="AD86" i="6"/>
  <c r="N96" i="13"/>
  <c r="AE76" i="6"/>
  <c r="K28" i="5"/>
  <c r="C348" i="13"/>
  <c r="I44" i="9"/>
  <c r="J44" i="9" s="1"/>
  <c r="K44" i="9" s="1"/>
  <c r="G84" i="8"/>
  <c r="C376" i="13"/>
  <c r="I72" i="9"/>
  <c r="J72" i="9" s="1"/>
  <c r="K72" i="9" s="1"/>
  <c r="C358" i="13"/>
  <c r="I54" i="9"/>
  <c r="J54" i="9" s="1"/>
  <c r="K54" i="9" s="1"/>
  <c r="AD84" i="6"/>
  <c r="C379" i="13"/>
  <c r="G90" i="8"/>
  <c r="H10" i="10"/>
  <c r="H511" i="13" s="1"/>
  <c r="H9" i="10"/>
  <c r="H510" i="13" s="1"/>
  <c r="AD75" i="6"/>
  <c r="G230" i="13"/>
  <c r="D50" i="8"/>
  <c r="G269" i="13" s="1"/>
  <c r="H50" i="8"/>
  <c r="AD82" i="6"/>
  <c r="AD87" i="6"/>
  <c r="K27" i="5"/>
  <c r="K11" i="5"/>
  <c r="P250" i="13"/>
  <c r="F66" i="8"/>
  <c r="P285" i="13" s="1"/>
  <c r="P244" i="13"/>
  <c r="F61" i="8"/>
  <c r="P280" i="13" s="1"/>
  <c r="O45" i="13"/>
  <c r="AF25" i="6"/>
  <c r="C368" i="13"/>
  <c r="I64" i="9"/>
  <c r="J64" i="9" s="1"/>
  <c r="K64" i="9" s="1"/>
  <c r="N27" i="13"/>
  <c r="AE7" i="6"/>
  <c r="F71" i="8"/>
  <c r="D88" i="8"/>
  <c r="P256" i="13"/>
  <c r="K13" i="5"/>
  <c r="G259" i="13"/>
  <c r="H73" i="8"/>
  <c r="D73" i="8"/>
  <c r="G292" i="13" s="1"/>
  <c r="N37" i="13"/>
  <c r="AE17" i="6"/>
  <c r="I255" i="13"/>
  <c r="E70" i="8"/>
  <c r="I289" i="13" s="1"/>
  <c r="C369" i="13"/>
  <c r="I65" i="9"/>
  <c r="J65" i="9" s="1"/>
  <c r="K65" i="9" s="1"/>
  <c r="M109" i="13"/>
  <c r="P33" i="8"/>
  <c r="O255" i="13" s="1"/>
  <c r="P230" i="13"/>
  <c r="F50" i="8"/>
  <c r="P269" i="13" s="1"/>
  <c r="G526" i="13"/>
  <c r="C48" i="12"/>
  <c r="I229" i="13"/>
  <c r="E49" i="8"/>
  <c r="I268" i="13" s="1"/>
  <c r="AD24" i="6"/>
  <c r="K10" i="5"/>
  <c r="G245" i="13"/>
  <c r="H62" i="8"/>
  <c r="D62" i="8"/>
  <c r="G281" i="13" s="1"/>
  <c r="M31" i="13"/>
  <c r="P19" i="8"/>
  <c r="O241" i="13" s="1"/>
  <c r="P20" i="8"/>
  <c r="O242" i="13" s="1"/>
  <c r="M81" i="13"/>
  <c r="P32" i="8"/>
  <c r="O254" i="13" s="1"/>
  <c r="AD40" i="6"/>
  <c r="N64" i="13"/>
  <c r="AE44" i="6"/>
  <c r="AD41" i="6"/>
  <c r="K15" i="5"/>
  <c r="K17" i="5"/>
  <c r="G227" i="13"/>
  <c r="D48" i="8"/>
  <c r="G267" i="13" s="1"/>
  <c r="H48" i="8"/>
  <c r="K33" i="5"/>
  <c r="I44" i="8"/>
  <c r="N83" i="13"/>
  <c r="AE63" i="6"/>
  <c r="P251" i="13"/>
  <c r="F67" i="8"/>
  <c r="P286" i="13" s="1"/>
  <c r="I245" i="13"/>
  <c r="E62" i="8"/>
  <c r="I281" i="13" s="1"/>
  <c r="H17" i="8"/>
  <c r="H239" i="13" s="1"/>
  <c r="AD79" i="6"/>
  <c r="C361" i="13"/>
  <c r="I57" i="9"/>
  <c r="J57" i="9" s="1"/>
  <c r="K57" i="9" s="1"/>
  <c r="C366" i="13"/>
  <c r="I62" i="9"/>
  <c r="J62" i="9" s="1"/>
  <c r="K62" i="9" s="1"/>
  <c r="N51" i="13"/>
  <c r="AE31" i="6"/>
  <c r="D56" i="8"/>
  <c r="G237" i="13"/>
  <c r="H56" i="8"/>
  <c r="C359" i="13"/>
  <c r="I55" i="9"/>
  <c r="J55" i="9" s="1"/>
  <c r="K55" i="9" s="1"/>
  <c r="I244" i="13"/>
  <c r="E61" i="8"/>
  <c r="I280" i="13" s="1"/>
  <c r="AD42" i="6"/>
  <c r="AD47" i="6"/>
  <c r="P259" i="13"/>
  <c r="F73" i="8"/>
  <c r="P292" i="13" s="1"/>
  <c r="C351" i="13"/>
  <c r="I47" i="9"/>
  <c r="J47" i="9" s="1"/>
  <c r="K47" i="9" s="1"/>
  <c r="G86" i="8"/>
  <c r="I59" i="9"/>
  <c r="J59" i="9" s="1"/>
  <c r="K59" i="9" s="1"/>
  <c r="C363" i="13"/>
  <c r="AD94" i="6"/>
  <c r="N49" i="13"/>
  <c r="AE29" i="6"/>
  <c r="N29" i="13"/>
  <c r="AE9" i="6"/>
  <c r="AD81" i="6"/>
  <c r="AD50" i="6"/>
  <c r="C374" i="13"/>
  <c r="I70" i="9"/>
  <c r="J70" i="9" s="1"/>
  <c r="K70" i="9" s="1"/>
  <c r="I260" i="13"/>
  <c r="E74" i="8"/>
  <c r="I293" i="13" s="1"/>
  <c r="K9" i="5"/>
  <c r="K19" i="5"/>
  <c r="I233" i="13"/>
  <c r="E52" i="8"/>
  <c r="I271" i="13" s="1"/>
  <c r="C372" i="13"/>
  <c r="I68" i="9"/>
  <c r="J68" i="9" s="1"/>
  <c r="K68" i="9" s="1"/>
  <c r="Q229" i="13" l="1"/>
  <c r="AE26" i="6"/>
  <c r="O46" i="13" s="1"/>
  <c r="AE70" i="6"/>
  <c r="N90" i="13"/>
  <c r="N69" i="13"/>
  <c r="E48" i="8"/>
  <c r="I267" i="13" s="1"/>
  <c r="D15" i="12"/>
  <c r="G338" i="13"/>
  <c r="N82" i="13"/>
  <c r="N42" i="13"/>
  <c r="AE22" i="6"/>
  <c r="N34" i="13"/>
  <c r="N42" i="8"/>
  <c r="M264" i="13" s="1"/>
  <c r="P349" i="7"/>
  <c r="R39" i="8" s="1"/>
  <c r="G75" i="8" s="1"/>
  <c r="Q294" i="13" s="1"/>
  <c r="N97" i="13"/>
  <c r="AE77" i="6"/>
  <c r="AF26" i="6"/>
  <c r="H359" i="13"/>
  <c r="L54" i="9"/>
  <c r="I359" i="13" s="1"/>
  <c r="L71" i="9"/>
  <c r="I376" i="13" s="1"/>
  <c r="H376" i="13"/>
  <c r="O93" i="13"/>
  <c r="AF73" i="6"/>
  <c r="P300" i="13"/>
  <c r="O77" i="13"/>
  <c r="AF57" i="6"/>
  <c r="O84" i="13"/>
  <c r="AF64" i="6"/>
  <c r="N55" i="13"/>
  <c r="AE35" i="6"/>
  <c r="I8" i="10"/>
  <c r="I509" i="13" s="1"/>
  <c r="H379" i="13"/>
  <c r="L74" i="9"/>
  <c r="I379" i="13" s="1"/>
  <c r="N94" i="13"/>
  <c r="AE74" i="6"/>
  <c r="Q239" i="13"/>
  <c r="G57" i="8"/>
  <c r="Q276" i="13" s="1"/>
  <c r="N81" i="13"/>
  <c r="AE61" i="6"/>
  <c r="N32" i="8"/>
  <c r="M254" i="13" s="1"/>
  <c r="H375" i="13"/>
  <c r="L70" i="9"/>
  <c r="I375" i="13" s="1"/>
  <c r="N44" i="13"/>
  <c r="AE24" i="6"/>
  <c r="B458" i="13"/>
  <c r="B106" i="10"/>
  <c r="A107" i="10"/>
  <c r="O110" i="13"/>
  <c r="AF90" i="6"/>
  <c r="O39" i="13"/>
  <c r="AF19" i="6"/>
  <c r="N61" i="13"/>
  <c r="AE41" i="6"/>
  <c r="R35" i="8"/>
  <c r="O49" i="13"/>
  <c r="AF29" i="6"/>
  <c r="N102" i="13"/>
  <c r="AE82" i="6"/>
  <c r="H374" i="13"/>
  <c r="L69" i="9"/>
  <c r="I374" i="13" s="1"/>
  <c r="P112" i="13"/>
  <c r="N323" i="7"/>
  <c r="O323" i="7" s="1"/>
  <c r="P323" i="7" s="1"/>
  <c r="H373" i="13"/>
  <c r="L68" i="9"/>
  <c r="I373" i="13" s="1"/>
  <c r="P290" i="13"/>
  <c r="F88" i="8"/>
  <c r="H88" i="8" s="1"/>
  <c r="H347" i="13"/>
  <c r="L42" i="9"/>
  <c r="I347" i="13" s="1"/>
  <c r="B104" i="10"/>
  <c r="L347" i="7"/>
  <c r="H37" i="8"/>
  <c r="H259" i="13" s="1"/>
  <c r="N38" i="13"/>
  <c r="AE18" i="6"/>
  <c r="N79" i="13"/>
  <c r="AE59" i="6"/>
  <c r="O108" i="13"/>
  <c r="AF88" i="6"/>
  <c r="N26" i="13"/>
  <c r="AE6" i="6"/>
  <c r="N72" i="13"/>
  <c r="AE52" i="6"/>
  <c r="B421" i="13"/>
  <c r="A58" i="10"/>
  <c r="O113" i="13"/>
  <c r="AF93" i="6"/>
  <c r="O105" i="13"/>
  <c r="AF85" i="6"/>
  <c r="N35" i="13"/>
  <c r="AE15" i="6"/>
  <c r="N31" i="13"/>
  <c r="AE11" i="6"/>
  <c r="N20" i="8"/>
  <c r="M242" i="13" s="1"/>
  <c r="N19" i="8"/>
  <c r="M241" i="13" s="1"/>
  <c r="B386" i="13"/>
  <c r="A19" i="10"/>
  <c r="N58" i="13"/>
  <c r="AE38" i="6"/>
  <c r="N92" i="13"/>
  <c r="AE72" i="6"/>
  <c r="N47" i="13"/>
  <c r="AE27" i="6"/>
  <c r="H346" i="13"/>
  <c r="C33" i="12"/>
  <c r="L41" i="9"/>
  <c r="I346" i="13" s="1"/>
  <c r="M41" i="9"/>
  <c r="B103" i="10"/>
  <c r="O115" i="13"/>
  <c r="AF95" i="6"/>
  <c r="N111" i="13"/>
  <c r="AE91" i="6"/>
  <c r="N67" i="13"/>
  <c r="AE47" i="6"/>
  <c r="H354" i="13"/>
  <c r="L49" i="9"/>
  <c r="I354" i="13" s="1"/>
  <c r="N78" i="13"/>
  <c r="AE58" i="6"/>
  <c r="N169" i="7"/>
  <c r="O169" i="7" s="1"/>
  <c r="P41" i="13"/>
  <c r="N170" i="7"/>
  <c r="O170" i="7" s="1"/>
  <c r="P170" i="7" s="1"/>
  <c r="P291" i="13"/>
  <c r="H348" i="13"/>
  <c r="L43" i="9"/>
  <c r="I348" i="13" s="1"/>
  <c r="O52" i="13"/>
  <c r="AF32" i="6"/>
  <c r="N80" i="13"/>
  <c r="AE60" i="6"/>
  <c r="O25" i="13"/>
  <c r="AF5" i="6"/>
  <c r="N32" i="13"/>
  <c r="AE12" i="6"/>
  <c r="N114" i="13"/>
  <c r="AE94" i="6"/>
  <c r="O96" i="13"/>
  <c r="AF76" i="6"/>
  <c r="O34" i="13"/>
  <c r="AF14" i="6"/>
  <c r="O27" i="13"/>
  <c r="AF7" i="6"/>
  <c r="H364" i="13"/>
  <c r="L59" i="9"/>
  <c r="I364" i="13" s="1"/>
  <c r="N66" i="13"/>
  <c r="AE46" i="6"/>
  <c r="H369" i="13"/>
  <c r="L64" i="9"/>
  <c r="I369" i="13" s="1"/>
  <c r="N73" i="13"/>
  <c r="AE53" i="6"/>
  <c r="P302" i="13"/>
  <c r="N36" i="13"/>
  <c r="AE16" i="6"/>
  <c r="N71" i="13"/>
  <c r="AE51" i="6"/>
  <c r="H357" i="13"/>
  <c r="L52" i="9"/>
  <c r="I357" i="13" s="1"/>
  <c r="G286" i="13"/>
  <c r="C38" i="12"/>
  <c r="N99" i="13"/>
  <c r="AE79" i="6"/>
  <c r="P274" i="13"/>
  <c r="F84" i="8"/>
  <c r="H84" i="8" s="1"/>
  <c r="P283" i="13"/>
  <c r="O82" i="13"/>
  <c r="AF62" i="6"/>
  <c r="H377" i="13"/>
  <c r="L72" i="9"/>
  <c r="I377" i="13" s="1"/>
  <c r="N101" i="13"/>
  <c r="AE81" i="6"/>
  <c r="H358" i="13"/>
  <c r="L53" i="9"/>
  <c r="I358" i="13" s="1"/>
  <c r="H349" i="13"/>
  <c r="L44" i="9"/>
  <c r="I349" i="13" s="1"/>
  <c r="H360" i="13"/>
  <c r="L55" i="9"/>
  <c r="I360" i="13" s="1"/>
  <c r="L287" i="7"/>
  <c r="H27" i="8"/>
  <c r="H249" i="13" s="1"/>
  <c r="B442" i="13"/>
  <c r="A83" i="10"/>
  <c r="N98" i="13"/>
  <c r="AE78" i="6"/>
  <c r="L65" i="9"/>
  <c r="I370" i="13" s="1"/>
  <c r="H370" i="13"/>
  <c r="N95" i="13"/>
  <c r="AE75" i="6"/>
  <c r="N106" i="13"/>
  <c r="AE86" i="6"/>
  <c r="O51" i="13"/>
  <c r="AF31" i="6"/>
  <c r="O83" i="13"/>
  <c r="AF63" i="6"/>
  <c r="N88" i="13"/>
  <c r="AE68" i="6"/>
  <c r="H367" i="13"/>
  <c r="L62" i="9"/>
  <c r="I367" i="13" s="1"/>
  <c r="B142" i="10"/>
  <c r="I266" i="13"/>
  <c r="E79" i="8"/>
  <c r="I298" i="13" s="1"/>
  <c r="C90" i="8"/>
  <c r="I306" i="13" s="1"/>
  <c r="P45" i="13"/>
  <c r="N209" i="7"/>
  <c r="O209" i="7" s="1"/>
  <c r="N210" i="7"/>
  <c r="O210" i="7" s="1"/>
  <c r="P210" i="7" s="1"/>
  <c r="O33" i="13"/>
  <c r="AF13" i="6"/>
  <c r="N40" i="13"/>
  <c r="AE20" i="6"/>
  <c r="H372" i="13"/>
  <c r="L67" i="9"/>
  <c r="I372" i="13" s="1"/>
  <c r="O87" i="13"/>
  <c r="AF67" i="6"/>
  <c r="H353" i="13"/>
  <c r="L48" i="9"/>
  <c r="I353" i="13" s="1"/>
  <c r="H378" i="13"/>
  <c r="L73" i="9"/>
  <c r="I378" i="13" s="1"/>
  <c r="P282" i="13"/>
  <c r="F86" i="8"/>
  <c r="H86" i="8" s="1"/>
  <c r="Q247" i="13"/>
  <c r="G64" i="8"/>
  <c r="Q283" i="13" s="1"/>
  <c r="H368" i="13"/>
  <c r="L63" i="9"/>
  <c r="I368" i="13" s="1"/>
  <c r="N109" i="13"/>
  <c r="N33" i="8"/>
  <c r="M255" i="13" s="1"/>
  <c r="AE89" i="6"/>
  <c r="P43" i="13"/>
  <c r="N190" i="7"/>
  <c r="O190" i="7" s="1"/>
  <c r="P190" i="7" s="1"/>
  <c r="N189" i="7"/>
  <c r="O189" i="7" s="1"/>
  <c r="N76" i="13"/>
  <c r="AE56" i="6"/>
  <c r="B454" i="13"/>
  <c r="N103" i="13"/>
  <c r="AE83" i="6"/>
  <c r="H363" i="13"/>
  <c r="L58" i="9"/>
  <c r="I363" i="13" s="1"/>
  <c r="H365" i="13"/>
  <c r="L60" i="9"/>
  <c r="I365" i="13" s="1"/>
  <c r="C457" i="13"/>
  <c r="C105" i="10"/>
  <c r="N68" i="13"/>
  <c r="AE48" i="6"/>
  <c r="N59" i="13"/>
  <c r="N41" i="8"/>
  <c r="M263" i="13" s="1"/>
  <c r="AE39" i="6"/>
  <c r="N28" i="13"/>
  <c r="AE8" i="6"/>
  <c r="N10" i="8"/>
  <c r="M232" i="13" s="1"/>
  <c r="N9" i="8"/>
  <c r="M231" i="13" s="1"/>
  <c r="P306" i="13"/>
  <c r="N62" i="13"/>
  <c r="AE42" i="6"/>
  <c r="P298" i="13"/>
  <c r="F90" i="8"/>
  <c r="H90" i="8" s="1"/>
  <c r="H366" i="13"/>
  <c r="L61" i="9"/>
  <c r="I366" i="13" s="1"/>
  <c r="B141" i="10"/>
  <c r="O29" i="13"/>
  <c r="AF9" i="6"/>
  <c r="O69" i="13"/>
  <c r="AF49" i="6"/>
  <c r="O64" i="13"/>
  <c r="AF44" i="6"/>
  <c r="N107" i="13"/>
  <c r="AE87" i="6"/>
  <c r="I257" i="13"/>
  <c r="E72" i="8"/>
  <c r="I291" i="13" s="1"/>
  <c r="N50" i="13"/>
  <c r="AE30" i="6"/>
  <c r="P304" i="13"/>
  <c r="G275" i="13"/>
  <c r="C37" i="12"/>
  <c r="O37" i="13"/>
  <c r="AF17" i="6"/>
  <c r="P267" i="13"/>
  <c r="B143" i="10"/>
  <c r="Q251" i="13"/>
  <c r="G67" i="8"/>
  <c r="Q286" i="13" s="1"/>
  <c r="H355" i="13"/>
  <c r="L50" i="9"/>
  <c r="I355" i="13" s="1"/>
  <c r="N54" i="13"/>
  <c r="AE34" i="6"/>
  <c r="N70" i="13"/>
  <c r="AE50" i="6"/>
  <c r="N75" i="13"/>
  <c r="AE55" i="6"/>
  <c r="N57" i="13"/>
  <c r="AE37" i="6"/>
  <c r="O89" i="13"/>
  <c r="AF69" i="6"/>
  <c r="N56" i="13"/>
  <c r="AE36" i="6"/>
  <c r="I6" i="10"/>
  <c r="I507" i="13" s="1"/>
  <c r="P207" i="7"/>
  <c r="N30" i="13"/>
  <c r="AE10" i="6"/>
  <c r="N86" i="13"/>
  <c r="AE66" i="6"/>
  <c r="N63" i="13"/>
  <c r="AE43" i="6"/>
  <c r="O100" i="13"/>
  <c r="AF80" i="6"/>
  <c r="O74" i="13"/>
  <c r="AF54" i="6"/>
  <c r="AE71" i="6"/>
  <c r="N91" i="13"/>
  <c r="N60" i="13"/>
  <c r="AE40" i="6"/>
  <c r="O53" i="13"/>
  <c r="AF33" i="6"/>
  <c r="Q266" i="13"/>
  <c r="E90" i="8"/>
  <c r="Q306" i="13" s="1"/>
  <c r="G79" i="8"/>
  <c r="Q298" i="13" s="1"/>
  <c r="I261" i="13"/>
  <c r="E75" i="8"/>
  <c r="I294" i="13" s="1"/>
  <c r="H356" i="13"/>
  <c r="L51" i="9"/>
  <c r="I356" i="13" s="1"/>
  <c r="H352" i="13"/>
  <c r="L47" i="9"/>
  <c r="I352" i="13" s="1"/>
  <c r="H362" i="13"/>
  <c r="L57" i="9"/>
  <c r="I362" i="13" s="1"/>
  <c r="N104" i="13"/>
  <c r="AE84" i="6"/>
  <c r="P48" i="13"/>
  <c r="N240" i="7"/>
  <c r="O240" i="7" s="1"/>
  <c r="P240" i="7" s="1"/>
  <c r="N239" i="7"/>
  <c r="O239" i="7" s="1"/>
  <c r="O85" i="13"/>
  <c r="AF65" i="6"/>
  <c r="H350" i="13"/>
  <c r="L45" i="9"/>
  <c r="I350" i="13" s="1"/>
  <c r="H361" i="13"/>
  <c r="L56" i="9"/>
  <c r="I361" i="13" s="1"/>
  <c r="B492" i="13"/>
  <c r="B144" i="10"/>
  <c r="A145" i="10"/>
  <c r="H351" i="13"/>
  <c r="L46" i="9"/>
  <c r="I351" i="13" s="1"/>
  <c r="P275" i="13"/>
  <c r="N65" i="13"/>
  <c r="AE45" i="6"/>
  <c r="H371" i="13"/>
  <c r="L66" i="9"/>
  <c r="I371" i="13" s="1"/>
  <c r="C15" i="12" l="1"/>
  <c r="F15" i="12"/>
  <c r="AF70" i="6"/>
  <c r="O90" i="13"/>
  <c r="Q261" i="13"/>
  <c r="AF22" i="6"/>
  <c r="O42" i="13"/>
  <c r="AF77" i="6"/>
  <c r="O97" i="13"/>
  <c r="O109" i="13"/>
  <c r="AF89" i="6"/>
  <c r="O58" i="13"/>
  <c r="AF38" i="6"/>
  <c r="O40" i="13"/>
  <c r="AF20" i="6"/>
  <c r="O99" i="13"/>
  <c r="AF79" i="6"/>
  <c r="O66" i="13"/>
  <c r="AF46" i="6"/>
  <c r="O80" i="13"/>
  <c r="AF60" i="6"/>
  <c r="B387" i="13"/>
  <c r="A20" i="10"/>
  <c r="O72" i="13"/>
  <c r="AF52" i="6"/>
  <c r="P39" i="13"/>
  <c r="N149" i="7"/>
  <c r="O149" i="7" s="1"/>
  <c r="N150" i="7"/>
  <c r="O150" i="7" s="1"/>
  <c r="P150" i="7" s="1"/>
  <c r="O94" i="13"/>
  <c r="AF74" i="6"/>
  <c r="P93" i="13"/>
  <c r="N133" i="7"/>
  <c r="O133" i="7" s="1"/>
  <c r="P133" i="7" s="1"/>
  <c r="O63" i="13"/>
  <c r="AF43" i="6"/>
  <c r="P189" i="7"/>
  <c r="P87" i="13"/>
  <c r="N352" i="7"/>
  <c r="C489" i="13"/>
  <c r="C141" i="10"/>
  <c r="O88" i="13"/>
  <c r="AF68" i="6"/>
  <c r="O65" i="13"/>
  <c r="AF45" i="6"/>
  <c r="O106" i="13"/>
  <c r="AF86" i="6"/>
  <c r="P115" i="13"/>
  <c r="N353" i="7"/>
  <c r="O91" i="13"/>
  <c r="AF71" i="6"/>
  <c r="P108" i="13"/>
  <c r="N283" i="7"/>
  <c r="O283" i="7" s="1"/>
  <c r="P283" i="7" s="1"/>
  <c r="P69" i="13"/>
  <c r="N172" i="7"/>
  <c r="O172" i="7" s="1"/>
  <c r="P172" i="7" s="1"/>
  <c r="O59" i="13"/>
  <c r="AF39" i="6"/>
  <c r="O47" i="13"/>
  <c r="AF27" i="6"/>
  <c r="O86" i="13"/>
  <c r="AF66" i="6"/>
  <c r="P239" i="7"/>
  <c r="O30" i="13"/>
  <c r="AF10" i="6"/>
  <c r="P83" i="13"/>
  <c r="N312" i="7"/>
  <c r="O312" i="7" s="1"/>
  <c r="P312" i="7" s="1"/>
  <c r="O50" i="13"/>
  <c r="AF30" i="6"/>
  <c r="P110" i="13"/>
  <c r="N303" i="7"/>
  <c r="O303" i="7" s="1"/>
  <c r="P303" i="7" s="1"/>
  <c r="P209" i="7"/>
  <c r="O95" i="13"/>
  <c r="AF75" i="6"/>
  <c r="C455" i="13"/>
  <c r="C103" i="10"/>
  <c r="O31" i="13"/>
  <c r="AF11" i="6"/>
  <c r="C458" i="13"/>
  <c r="C106" i="10"/>
  <c r="O55" i="13"/>
  <c r="AF35" i="6"/>
  <c r="O57" i="13"/>
  <c r="AF37" i="6"/>
  <c r="O76" i="13"/>
  <c r="AF56" i="6"/>
  <c r="O98" i="13"/>
  <c r="AF78" i="6"/>
  <c r="P49" i="13"/>
  <c r="N250" i="7"/>
  <c r="O250" i="7" s="1"/>
  <c r="P250" i="7" s="1"/>
  <c r="N249" i="7"/>
  <c r="O249" i="7" s="1"/>
  <c r="P77" i="13"/>
  <c r="N252" i="7"/>
  <c r="O252" i="7" s="1"/>
  <c r="P252" i="7" s="1"/>
  <c r="O75" i="13"/>
  <c r="AF55" i="6"/>
  <c r="P29" i="13"/>
  <c r="N49" i="7"/>
  <c r="O49" i="7" s="1"/>
  <c r="N50" i="7"/>
  <c r="O50" i="7" s="1"/>
  <c r="P50" i="7" s="1"/>
  <c r="B443" i="13"/>
  <c r="A84" i="10"/>
  <c r="AF58" i="6"/>
  <c r="O78" i="13"/>
  <c r="P113" i="13"/>
  <c r="N333" i="7"/>
  <c r="O333" i="7" s="1"/>
  <c r="P333" i="7" s="1"/>
  <c r="I37" i="8"/>
  <c r="P347" i="7"/>
  <c r="I5" i="10"/>
  <c r="I506" i="13" s="1"/>
  <c r="I7" i="10"/>
  <c r="I508" i="13" s="1"/>
  <c r="Q257" i="13"/>
  <c r="G72" i="8"/>
  <c r="Q291" i="13" s="1"/>
  <c r="O73" i="13"/>
  <c r="AF53" i="6"/>
  <c r="O92" i="13"/>
  <c r="AF72" i="6"/>
  <c r="C456" i="13"/>
  <c r="C104" i="10"/>
  <c r="O81" i="13"/>
  <c r="AF61" i="6"/>
  <c r="P85" i="13"/>
  <c r="N332" i="7"/>
  <c r="O332" i="7" s="1"/>
  <c r="P332" i="7" s="1"/>
  <c r="O68" i="13"/>
  <c r="AF48" i="6"/>
  <c r="P51" i="13"/>
  <c r="N269" i="7"/>
  <c r="O269" i="7" s="1"/>
  <c r="N270" i="7"/>
  <c r="O270" i="7" s="1"/>
  <c r="P270" i="7" s="1"/>
  <c r="O104" i="13"/>
  <c r="AF84" i="6"/>
  <c r="O62" i="13"/>
  <c r="AF42" i="6"/>
  <c r="P52" i="13"/>
  <c r="N280" i="7"/>
  <c r="O280" i="7" s="1"/>
  <c r="P280" i="7" s="1"/>
  <c r="N279" i="7"/>
  <c r="O279" i="7" s="1"/>
  <c r="O26" i="13"/>
  <c r="AF6" i="6"/>
  <c r="P27" i="13"/>
  <c r="N30" i="7"/>
  <c r="O30" i="7" s="1"/>
  <c r="P30" i="7" s="1"/>
  <c r="N29" i="7"/>
  <c r="O29" i="7" s="1"/>
  <c r="C491" i="13"/>
  <c r="C143" i="10"/>
  <c r="O103" i="13"/>
  <c r="AF83" i="6"/>
  <c r="O101" i="13"/>
  <c r="AF81" i="6"/>
  <c r="O71" i="13"/>
  <c r="AF51" i="6"/>
  <c r="P34" i="13"/>
  <c r="N100" i="7"/>
  <c r="O100" i="7" s="1"/>
  <c r="P100" i="7" s="1"/>
  <c r="N99" i="7"/>
  <c r="O99" i="7" s="1"/>
  <c r="J346" i="13"/>
  <c r="M42" i="9"/>
  <c r="N41" i="9"/>
  <c r="O79" i="13"/>
  <c r="AF59" i="6"/>
  <c r="E14" i="12"/>
  <c r="F14" i="12" s="1"/>
  <c r="P46" i="13"/>
  <c r="C14" i="12"/>
  <c r="N219" i="7"/>
  <c r="O219" i="7" s="1"/>
  <c r="N220" i="7"/>
  <c r="O220" i="7" s="1"/>
  <c r="P220" i="7" s="1"/>
  <c r="AA17" i="3"/>
  <c r="AB17" i="3" s="1"/>
  <c r="P169" i="7"/>
  <c r="I27" i="8"/>
  <c r="P287" i="7"/>
  <c r="R27" i="8" s="1"/>
  <c r="O67" i="13"/>
  <c r="AF47" i="6"/>
  <c r="O60" i="13"/>
  <c r="AF40" i="6"/>
  <c r="P33" i="13"/>
  <c r="N89" i="7"/>
  <c r="O89" i="7" s="1"/>
  <c r="N90" i="7"/>
  <c r="O90" i="7" s="1"/>
  <c r="P90" i="7" s="1"/>
  <c r="B459" i="13"/>
  <c r="B107" i="10"/>
  <c r="A108" i="10"/>
  <c r="P74" i="13"/>
  <c r="N222" i="7"/>
  <c r="O222" i="7" s="1"/>
  <c r="P222" i="7" s="1"/>
  <c r="O56" i="13"/>
  <c r="AF36" i="6"/>
  <c r="O107" i="13"/>
  <c r="AF87" i="6"/>
  <c r="B493" i="13"/>
  <c r="B145" i="10"/>
  <c r="A146" i="10"/>
  <c r="C492" i="13"/>
  <c r="C144" i="10"/>
  <c r="N203" i="7"/>
  <c r="O203" i="7" s="1"/>
  <c r="P203" i="7" s="1"/>
  <c r="P100" i="13"/>
  <c r="P89" i="13"/>
  <c r="N93" i="7"/>
  <c r="O93" i="7" s="1"/>
  <c r="P93" i="7" s="1"/>
  <c r="P64" i="13"/>
  <c r="N122" i="7"/>
  <c r="O122" i="7" s="1"/>
  <c r="P122" i="7" s="1"/>
  <c r="O35" i="13"/>
  <c r="AF15" i="6"/>
  <c r="O102" i="13"/>
  <c r="AF82" i="6"/>
  <c r="O44" i="13"/>
  <c r="AF24" i="6"/>
  <c r="P84" i="13"/>
  <c r="N322" i="7"/>
  <c r="O322" i="7" s="1"/>
  <c r="P322" i="7" s="1"/>
  <c r="P105" i="13"/>
  <c r="N253" i="7"/>
  <c r="O253" i="7" s="1"/>
  <c r="P253" i="7" s="1"/>
  <c r="C490" i="13"/>
  <c r="C142" i="10"/>
  <c r="P82" i="13"/>
  <c r="N302" i="7"/>
  <c r="O302" i="7" s="1"/>
  <c r="P302" i="7" s="1"/>
  <c r="O114" i="13"/>
  <c r="AF94" i="6"/>
  <c r="O32" i="13"/>
  <c r="AF12" i="6"/>
  <c r="O70" i="13"/>
  <c r="AF50" i="6"/>
  <c r="B422" i="13"/>
  <c r="A59" i="10"/>
  <c r="P25" i="13"/>
  <c r="AA8" i="3"/>
  <c r="AB8" i="3" s="1"/>
  <c r="N10" i="7"/>
  <c r="O10" i="7" s="1"/>
  <c r="P10" i="7" s="1"/>
  <c r="N9" i="7"/>
  <c r="O9" i="7" s="1"/>
  <c r="AA7" i="3"/>
  <c r="AB7" i="3" s="1"/>
  <c r="O61" i="13"/>
  <c r="AF41" i="6"/>
  <c r="P53" i="13"/>
  <c r="AA20" i="3"/>
  <c r="AB20" i="3" s="1"/>
  <c r="N291" i="7"/>
  <c r="O54" i="13"/>
  <c r="AF34" i="6"/>
  <c r="O111" i="13"/>
  <c r="AF91" i="6"/>
  <c r="P37" i="13"/>
  <c r="N129" i="7"/>
  <c r="O129" i="7" s="1"/>
  <c r="N130" i="7"/>
  <c r="O130" i="7" s="1"/>
  <c r="P130" i="7" s="1"/>
  <c r="O28" i="13"/>
  <c r="AF8" i="6"/>
  <c r="O36" i="13"/>
  <c r="AF16" i="6"/>
  <c r="P96" i="13"/>
  <c r="N163" i="7"/>
  <c r="O163" i="7" s="1"/>
  <c r="P163" i="7" s="1"/>
  <c r="O38" i="13"/>
  <c r="AF18" i="6"/>
  <c r="P42" i="13" l="1"/>
  <c r="N179" i="7"/>
  <c r="O179" i="7" s="1"/>
  <c r="P179" i="7" s="1"/>
  <c r="N180" i="7"/>
  <c r="O180" i="7" s="1"/>
  <c r="P180" i="7" s="1"/>
  <c r="N103" i="7"/>
  <c r="O103" i="7" s="1"/>
  <c r="P103" i="7" s="1"/>
  <c r="P90" i="13"/>
  <c r="P97" i="13"/>
  <c r="N173" i="7"/>
  <c r="O173" i="7" s="1"/>
  <c r="P173" i="7" s="1"/>
  <c r="O291" i="7"/>
  <c r="J31" i="8"/>
  <c r="J253" i="13" s="1"/>
  <c r="P73" i="13"/>
  <c r="N212" i="7"/>
  <c r="O212" i="7" s="1"/>
  <c r="P38" i="13"/>
  <c r="N139" i="7"/>
  <c r="O139" i="7" s="1"/>
  <c r="N140" i="7"/>
  <c r="O140" i="7" s="1"/>
  <c r="P140" i="7" s="1"/>
  <c r="P114" i="13"/>
  <c r="N343" i="7"/>
  <c r="O343" i="7" s="1"/>
  <c r="P343" i="7" s="1"/>
  <c r="P269" i="7"/>
  <c r="P31" i="13"/>
  <c r="N70" i="7"/>
  <c r="N69" i="7"/>
  <c r="O353" i="7"/>
  <c r="J43" i="8"/>
  <c r="J265" i="13" s="1"/>
  <c r="P219" i="7"/>
  <c r="P30" i="13"/>
  <c r="N59" i="7"/>
  <c r="O59" i="7" s="1"/>
  <c r="N60" i="7"/>
  <c r="O60" i="7" s="1"/>
  <c r="P60" i="7" s="1"/>
  <c r="P103" i="13"/>
  <c r="N233" i="7"/>
  <c r="O233" i="7" s="1"/>
  <c r="P233" i="7" s="1"/>
  <c r="P75" i="13"/>
  <c r="N232" i="7"/>
  <c r="O232" i="7" s="1"/>
  <c r="P232" i="7" s="1"/>
  <c r="D103" i="10"/>
  <c r="P86" i="13"/>
  <c r="N342" i="7"/>
  <c r="O342" i="7" s="1"/>
  <c r="P342" i="7" s="1"/>
  <c r="P106" i="13"/>
  <c r="N263" i="7"/>
  <c r="O263" i="7" s="1"/>
  <c r="P263" i="7" s="1"/>
  <c r="P28" i="13"/>
  <c r="N39" i="7"/>
  <c r="N40" i="7"/>
  <c r="P95" i="13"/>
  <c r="N153" i="7"/>
  <c r="O153" i="7" s="1"/>
  <c r="P153" i="7" s="1"/>
  <c r="P50" i="13"/>
  <c r="N259" i="7"/>
  <c r="O259" i="7" s="1"/>
  <c r="N260" i="7"/>
  <c r="O260" i="7" s="1"/>
  <c r="P260" i="7" s="1"/>
  <c r="P71" i="13"/>
  <c r="N192" i="7"/>
  <c r="O192" i="7" s="1"/>
  <c r="P89" i="7"/>
  <c r="P68" i="13"/>
  <c r="N162" i="7"/>
  <c r="O162" i="7" s="1"/>
  <c r="P162" i="7" s="1"/>
  <c r="P249" i="7"/>
  <c r="D29" i="9"/>
  <c r="P94" i="13"/>
  <c r="N143" i="7"/>
  <c r="O143" i="7" s="1"/>
  <c r="P143" i="7" s="1"/>
  <c r="P40" i="13"/>
  <c r="N159" i="7"/>
  <c r="O159" i="7" s="1"/>
  <c r="N160" i="7"/>
  <c r="O160" i="7" s="1"/>
  <c r="P160" i="7" s="1"/>
  <c r="P65" i="13"/>
  <c r="N132" i="7"/>
  <c r="O132" i="7" s="1"/>
  <c r="P132" i="7" s="1"/>
  <c r="P58" i="13"/>
  <c r="N341" i="7"/>
  <c r="O341" i="7" s="1"/>
  <c r="P70" i="13"/>
  <c r="N182" i="7"/>
  <c r="O182" i="7" s="1"/>
  <c r="P102" i="13"/>
  <c r="N223" i="7"/>
  <c r="O223" i="7" s="1"/>
  <c r="P223" i="7" s="1"/>
  <c r="I249" i="13"/>
  <c r="E65" i="8"/>
  <c r="I284" i="13" s="1"/>
  <c r="C87" i="8"/>
  <c r="I303" i="13" s="1"/>
  <c r="O352" i="7"/>
  <c r="J42" i="8"/>
  <c r="J264" i="13" s="1"/>
  <c r="B388" i="13"/>
  <c r="A21" i="10"/>
  <c r="P55" i="13"/>
  <c r="N311" i="7"/>
  <c r="O311" i="7" s="1"/>
  <c r="P101" i="13"/>
  <c r="N213" i="7"/>
  <c r="O213" i="7" s="1"/>
  <c r="P213" i="7" s="1"/>
  <c r="P104" i="13"/>
  <c r="N243" i="7"/>
  <c r="O243" i="7" s="1"/>
  <c r="P243" i="7" s="1"/>
  <c r="P80" i="13"/>
  <c r="N282" i="7"/>
  <c r="O282" i="7" s="1"/>
  <c r="P282" i="7" s="1"/>
  <c r="B460" i="13"/>
  <c r="B108" i="10"/>
  <c r="A109" i="10"/>
  <c r="P99" i="13"/>
  <c r="N193" i="7"/>
  <c r="O193" i="7" s="1"/>
  <c r="P193" i="7" s="1"/>
  <c r="I259" i="13"/>
  <c r="E73" i="8"/>
  <c r="I292" i="13" s="1"/>
  <c r="C89" i="8"/>
  <c r="I305" i="13" s="1"/>
  <c r="P129" i="7"/>
  <c r="C493" i="13"/>
  <c r="C145" i="10"/>
  <c r="P67" i="13"/>
  <c r="N152" i="7"/>
  <c r="O152" i="7" s="1"/>
  <c r="P152" i="7" s="1"/>
  <c r="J347" i="13"/>
  <c r="M43" i="9"/>
  <c r="P26" i="13"/>
  <c r="N19" i="7"/>
  <c r="O19" i="7" s="1"/>
  <c r="N20" i="7"/>
  <c r="O20" i="7" s="1"/>
  <c r="P20" i="7" s="1"/>
  <c r="P81" i="13"/>
  <c r="N292" i="7"/>
  <c r="P98" i="13"/>
  <c r="N183" i="7"/>
  <c r="O183" i="7" s="1"/>
  <c r="P183" i="7" s="1"/>
  <c r="P149" i="7"/>
  <c r="B444" i="13"/>
  <c r="A85" i="10"/>
  <c r="D141" i="10"/>
  <c r="P54" i="13"/>
  <c r="N301" i="7"/>
  <c r="O301" i="7" s="1"/>
  <c r="P56" i="13"/>
  <c r="N321" i="7"/>
  <c r="O321" i="7" s="1"/>
  <c r="P35" i="13"/>
  <c r="N109" i="7"/>
  <c r="O109" i="7" s="1"/>
  <c r="N110" i="7"/>
  <c r="O110" i="7" s="1"/>
  <c r="P110" i="7" s="1"/>
  <c r="P91" i="13"/>
  <c r="N113" i="7"/>
  <c r="O113" i="7" s="1"/>
  <c r="P113" i="7" s="1"/>
  <c r="P66" i="13"/>
  <c r="N142" i="7"/>
  <c r="O142" i="7" s="1"/>
  <c r="P142" i="7" s="1"/>
  <c r="P36" i="13"/>
  <c r="N120" i="7"/>
  <c r="O120" i="7" s="1"/>
  <c r="P120" i="7" s="1"/>
  <c r="N119" i="7"/>
  <c r="O119" i="7" s="1"/>
  <c r="P79" i="13"/>
  <c r="N272" i="7"/>
  <c r="O272" i="7" s="1"/>
  <c r="P272" i="7" s="1"/>
  <c r="P29" i="7"/>
  <c r="D7" i="9"/>
  <c r="R37" i="8"/>
  <c r="P60" i="13"/>
  <c r="AA12" i="3"/>
  <c r="AB12" i="3" s="1"/>
  <c r="N82" i="7"/>
  <c r="O82" i="7" s="1"/>
  <c r="P82" i="7" s="1"/>
  <c r="K346" i="13"/>
  <c r="N42" i="9"/>
  <c r="O42" i="9" s="1"/>
  <c r="L347" i="13" s="1"/>
  <c r="B494" i="13"/>
  <c r="A147" i="10"/>
  <c r="B146" i="10"/>
  <c r="O41" i="9"/>
  <c r="L346" i="13" s="1"/>
  <c r="P47" i="13"/>
  <c r="N229" i="7"/>
  <c r="O229" i="7" s="1"/>
  <c r="N230" i="7"/>
  <c r="O230" i="7" s="1"/>
  <c r="P230" i="7" s="1"/>
  <c r="A60" i="10"/>
  <c r="B423" i="13"/>
  <c r="P44" i="13"/>
  <c r="N199" i="7"/>
  <c r="O199" i="7" s="1"/>
  <c r="N200" i="7"/>
  <c r="O200" i="7" s="1"/>
  <c r="P200" i="7" s="1"/>
  <c r="P88" i="13"/>
  <c r="AA13" i="3"/>
  <c r="AB13" i="3" s="1"/>
  <c r="C13" i="12" s="1"/>
  <c r="N83" i="7"/>
  <c r="O83" i="7" s="1"/>
  <c r="P83" i="7" s="1"/>
  <c r="P109" i="13"/>
  <c r="N293" i="7"/>
  <c r="P92" i="13"/>
  <c r="N123" i="7"/>
  <c r="O123" i="7" s="1"/>
  <c r="P123" i="7" s="1"/>
  <c r="N331" i="7"/>
  <c r="O331" i="7" s="1"/>
  <c r="P57" i="13"/>
  <c r="P32" i="13"/>
  <c r="N79" i="7"/>
  <c r="O79" i="7" s="1"/>
  <c r="N80" i="7"/>
  <c r="O80" i="7" s="1"/>
  <c r="P80" i="7" s="1"/>
  <c r="P62" i="13"/>
  <c r="N102" i="7"/>
  <c r="O102" i="7" s="1"/>
  <c r="P102" i="7" s="1"/>
  <c r="P49" i="7"/>
  <c r="D9" i="9"/>
  <c r="P61" i="13"/>
  <c r="N92" i="7"/>
  <c r="O92" i="7" s="1"/>
  <c r="P92" i="7" s="1"/>
  <c r="C459" i="13"/>
  <c r="C107" i="10"/>
  <c r="P63" i="13"/>
  <c r="N112" i="7"/>
  <c r="O112" i="7" s="1"/>
  <c r="P112" i="7" s="1"/>
  <c r="P9" i="7"/>
  <c r="D5" i="9"/>
  <c r="P111" i="13"/>
  <c r="N313" i="7"/>
  <c r="O313" i="7" s="1"/>
  <c r="P313" i="7" s="1"/>
  <c r="P107" i="13"/>
  <c r="N273" i="7"/>
  <c r="O273" i="7" s="1"/>
  <c r="P273" i="7" s="1"/>
  <c r="Q249" i="13"/>
  <c r="G65" i="8"/>
  <c r="Q284" i="13" s="1"/>
  <c r="P99" i="7"/>
  <c r="D14" i="9"/>
  <c r="P279" i="7"/>
  <c r="P78" i="13"/>
  <c r="N262" i="7"/>
  <c r="O262" i="7" s="1"/>
  <c r="P262" i="7" s="1"/>
  <c r="P76" i="13"/>
  <c r="N242" i="7"/>
  <c r="O242" i="7" s="1"/>
  <c r="P59" i="13"/>
  <c r="N351" i="7"/>
  <c r="P72" i="13"/>
  <c r="N202" i="7"/>
  <c r="O202" i="7" s="1"/>
  <c r="P202" i="7" s="1"/>
  <c r="D17" i="9" l="1"/>
  <c r="D13" i="9"/>
  <c r="I14" i="9" s="1"/>
  <c r="J14" i="9" s="1"/>
  <c r="K14" i="9" s="1"/>
  <c r="D21" i="9"/>
  <c r="P19" i="7"/>
  <c r="D6" i="9"/>
  <c r="O69" i="7"/>
  <c r="J19" i="8"/>
  <c r="J241" i="13" s="1"/>
  <c r="P192" i="7"/>
  <c r="D23" i="9"/>
  <c r="C334" i="13"/>
  <c r="I30" i="9"/>
  <c r="J30" i="9" s="1"/>
  <c r="C310" i="13"/>
  <c r="I6" i="9"/>
  <c r="J6" i="9" s="1"/>
  <c r="K6" i="9" s="1"/>
  <c r="G6" i="10"/>
  <c r="G507" i="13" s="1"/>
  <c r="G5" i="10"/>
  <c r="G506" i="13" s="1"/>
  <c r="O70" i="7"/>
  <c r="J20" i="8"/>
  <c r="J242" i="13" s="1"/>
  <c r="B445" i="13"/>
  <c r="A86" i="10"/>
  <c r="O293" i="7"/>
  <c r="J33" i="8"/>
  <c r="J255" i="13" s="1"/>
  <c r="C322" i="13"/>
  <c r="I18" i="9"/>
  <c r="J18" i="9" s="1"/>
  <c r="K347" i="13"/>
  <c r="N43" i="9"/>
  <c r="C314" i="13"/>
  <c r="I10" i="9"/>
  <c r="J10" i="9" s="1"/>
  <c r="K10" i="9" s="1"/>
  <c r="P321" i="7"/>
  <c r="D36" i="9"/>
  <c r="C312" i="13"/>
  <c r="I8" i="9"/>
  <c r="J8" i="9" s="1"/>
  <c r="J348" i="13"/>
  <c r="M44" i="9"/>
  <c r="D489" i="13"/>
  <c r="E141" i="10"/>
  <c r="D142" i="10"/>
  <c r="P119" i="7"/>
  <c r="D16" i="9"/>
  <c r="C494" i="13"/>
  <c r="C146" i="10"/>
  <c r="P341" i="7"/>
  <c r="D38" i="9"/>
  <c r="C319" i="13"/>
  <c r="I15" i="9"/>
  <c r="J15" i="9" s="1"/>
  <c r="P139" i="7"/>
  <c r="D18" i="9"/>
  <c r="B389" i="13"/>
  <c r="A22" i="10"/>
  <c r="P59" i="7"/>
  <c r="D10" i="9"/>
  <c r="P212" i="7"/>
  <c r="J6" i="10" s="1"/>
  <c r="J507" i="13" s="1"/>
  <c r="D25" i="9"/>
  <c r="P301" i="7"/>
  <c r="D34" i="9"/>
  <c r="C460" i="13"/>
  <c r="C108" i="10"/>
  <c r="P229" i="7"/>
  <c r="D27" i="9"/>
  <c r="P182" i="7"/>
  <c r="D22" i="9"/>
  <c r="D19" i="9"/>
  <c r="P259" i="7"/>
  <c r="D30" i="9"/>
  <c r="O292" i="7"/>
  <c r="J32" i="8"/>
  <c r="J254" i="13" s="1"/>
  <c r="P159" i="7"/>
  <c r="D20" i="9"/>
  <c r="P79" i="7"/>
  <c r="D12" i="9"/>
  <c r="P352" i="7"/>
  <c r="R42" i="8" s="1"/>
  <c r="Q42" i="8"/>
  <c r="B424" i="13"/>
  <c r="A61" i="10"/>
  <c r="P353" i="7"/>
  <c r="R43" i="8" s="1"/>
  <c r="Q43" i="8"/>
  <c r="P331" i="7"/>
  <c r="J8" i="10" s="1"/>
  <c r="J509" i="13" s="1"/>
  <c r="D37" i="9"/>
  <c r="P242" i="7"/>
  <c r="D28" i="9"/>
  <c r="D455" i="13"/>
  <c r="E103" i="10"/>
  <c r="D104" i="10"/>
  <c r="F103" i="10"/>
  <c r="P199" i="7"/>
  <c r="D24" i="9"/>
  <c r="P109" i="7"/>
  <c r="D15" i="9"/>
  <c r="J10" i="8"/>
  <c r="J232" i="13" s="1"/>
  <c r="O40" i="7"/>
  <c r="D26" i="9"/>
  <c r="Q259" i="13"/>
  <c r="G73" i="8"/>
  <c r="Q292" i="13" s="1"/>
  <c r="B461" i="13"/>
  <c r="A110" i="10"/>
  <c r="B109" i="10"/>
  <c r="J41" i="8"/>
  <c r="J263" i="13" s="1"/>
  <c r="O351" i="7"/>
  <c r="D31" i="9"/>
  <c r="D32" i="9"/>
  <c r="B495" i="13"/>
  <c r="B147" i="10"/>
  <c r="A148" i="10"/>
  <c r="P311" i="7"/>
  <c r="D35" i="9"/>
  <c r="O39" i="7"/>
  <c r="J9" i="8"/>
  <c r="J231" i="13" s="1"/>
  <c r="P291" i="7"/>
  <c r="R31" i="8" s="1"/>
  <c r="D33" i="9"/>
  <c r="Q31" i="8"/>
  <c r="C318" i="13" l="1"/>
  <c r="K30" i="9"/>
  <c r="C326" i="13"/>
  <c r="I22" i="9"/>
  <c r="J22" i="9" s="1"/>
  <c r="K22" i="9" s="1"/>
  <c r="C323" i="13"/>
  <c r="I19" i="9"/>
  <c r="J19" i="9" s="1"/>
  <c r="K19" i="9" s="1"/>
  <c r="C341" i="13"/>
  <c r="I37" i="9"/>
  <c r="J37" i="9" s="1"/>
  <c r="K37" i="9" s="1"/>
  <c r="C337" i="13"/>
  <c r="I33" i="9"/>
  <c r="J33" i="9" s="1"/>
  <c r="K33" i="9" s="1"/>
  <c r="C321" i="13"/>
  <c r="I17" i="9"/>
  <c r="J17" i="9" s="1"/>
  <c r="K17" i="9" s="1"/>
  <c r="E455" i="13"/>
  <c r="E104" i="10"/>
  <c r="F104" i="10" s="1"/>
  <c r="C325" i="13"/>
  <c r="I21" i="9"/>
  <c r="J21" i="9" s="1"/>
  <c r="K21" i="9" s="1"/>
  <c r="D490" i="13"/>
  <c r="D143" i="10"/>
  <c r="C331" i="13"/>
  <c r="I27" i="9"/>
  <c r="J27" i="9" s="1"/>
  <c r="K27" i="9" s="1"/>
  <c r="C327" i="13"/>
  <c r="I23" i="9"/>
  <c r="J23" i="9" s="1"/>
  <c r="K23" i="9" s="1"/>
  <c r="Q265" i="13"/>
  <c r="G78" i="8"/>
  <c r="Q297" i="13" s="1"/>
  <c r="K15" i="9"/>
  <c r="P70" i="7"/>
  <c r="R20" i="8" s="1"/>
  <c r="Q242" i="13" s="1"/>
  <c r="Q20" i="8"/>
  <c r="P242" i="13" s="1"/>
  <c r="B496" i="13"/>
  <c r="A149" i="10"/>
  <c r="B148" i="10"/>
  <c r="C495" i="13"/>
  <c r="C147" i="10"/>
  <c r="B425" i="13"/>
  <c r="A62" i="10"/>
  <c r="B61" i="10"/>
  <c r="C339" i="13"/>
  <c r="I35" i="9"/>
  <c r="J35" i="9" s="1"/>
  <c r="K35" i="9" s="1"/>
  <c r="K348" i="13"/>
  <c r="N44" i="9"/>
  <c r="D456" i="13"/>
  <c r="D105" i="10"/>
  <c r="C328" i="13"/>
  <c r="I24" i="9"/>
  <c r="J24" i="9" s="1"/>
  <c r="K24" i="9" s="1"/>
  <c r="C461" i="13"/>
  <c r="C109" i="10"/>
  <c r="C315" i="13"/>
  <c r="I11" i="9"/>
  <c r="J11" i="9" s="1"/>
  <c r="E489" i="13"/>
  <c r="E142" i="10"/>
  <c r="I16" i="9"/>
  <c r="J16" i="9" s="1"/>
  <c r="K16" i="9" s="1"/>
  <c r="C320" i="13"/>
  <c r="C336" i="13"/>
  <c r="I32" i="9"/>
  <c r="J32" i="9" s="1"/>
  <c r="K32" i="9" s="1"/>
  <c r="Q264" i="13"/>
  <c r="G77" i="8"/>
  <c r="Q296" i="13" s="1"/>
  <c r="P351" i="7"/>
  <c r="D39" i="9"/>
  <c r="Q41" i="8"/>
  <c r="I26" i="9"/>
  <c r="J26" i="9" s="1"/>
  <c r="K26" i="9" s="1"/>
  <c r="C330" i="13"/>
  <c r="G7" i="10"/>
  <c r="G508" i="13" s="1"/>
  <c r="H6" i="10"/>
  <c r="H507" i="13" s="1"/>
  <c r="K18" i="9"/>
  <c r="B462" i="13"/>
  <c r="A111" i="10"/>
  <c r="B110" i="10"/>
  <c r="H319" i="13"/>
  <c r="L14" i="9"/>
  <c r="I319" i="13" s="1"/>
  <c r="P253" i="13"/>
  <c r="F68" i="8"/>
  <c r="F141" i="10"/>
  <c r="P293" i="7"/>
  <c r="R33" i="8" s="1"/>
  <c r="Q33" i="8"/>
  <c r="P69" i="7"/>
  <c r="R19" i="8" s="1"/>
  <c r="D11" i="9"/>
  <c r="Q19" i="8"/>
  <c r="C342" i="13"/>
  <c r="I38" i="9"/>
  <c r="J38" i="9" s="1"/>
  <c r="K38" i="9" s="1"/>
  <c r="H8" i="10"/>
  <c r="H509" i="13" s="1"/>
  <c r="J349" i="13"/>
  <c r="M45" i="9"/>
  <c r="P39" i="7"/>
  <c r="R9" i="8" s="1"/>
  <c r="D8" i="9"/>
  <c r="Q9" i="8"/>
  <c r="C340" i="13"/>
  <c r="I36" i="9"/>
  <c r="J36" i="9" s="1"/>
  <c r="K36" i="9" s="1"/>
  <c r="P40" i="7"/>
  <c r="R10" i="8" s="1"/>
  <c r="Q232" i="13" s="1"/>
  <c r="Q10" i="8"/>
  <c r="P232" i="13" s="1"/>
  <c r="P265" i="13"/>
  <c r="F78" i="8"/>
  <c r="P297" i="13" s="1"/>
  <c r="K8" i="9"/>
  <c r="C343" i="13"/>
  <c r="I39" i="9"/>
  <c r="J39" i="9" s="1"/>
  <c r="H315" i="13"/>
  <c r="L10" i="9"/>
  <c r="I315" i="13" s="1"/>
  <c r="B57" i="10"/>
  <c r="B19" i="10"/>
  <c r="C317" i="13"/>
  <c r="I13" i="9"/>
  <c r="J13" i="9" s="1"/>
  <c r="K13" i="9" s="1"/>
  <c r="C333" i="13"/>
  <c r="I29" i="9"/>
  <c r="J29" i="9" s="1"/>
  <c r="K29" i="9" s="1"/>
  <c r="P292" i="7"/>
  <c r="R32" i="8" s="1"/>
  <c r="Q32" i="8"/>
  <c r="B390" i="13"/>
  <c r="A23" i="10"/>
  <c r="B22" i="10"/>
  <c r="C311" i="13"/>
  <c r="I7" i="9"/>
  <c r="J7" i="9" s="1"/>
  <c r="K7" i="9" s="1"/>
  <c r="I20" i="9"/>
  <c r="J20" i="9" s="1"/>
  <c r="K20" i="9" s="1"/>
  <c r="C324" i="13"/>
  <c r="C332" i="13"/>
  <c r="I28" i="9"/>
  <c r="J28" i="9" s="1"/>
  <c r="K28" i="9" s="1"/>
  <c r="C329" i="13"/>
  <c r="I25" i="9"/>
  <c r="J25" i="9" s="1"/>
  <c r="K25" i="9" s="1"/>
  <c r="H311" i="13"/>
  <c r="L6" i="9"/>
  <c r="I311" i="13" s="1"/>
  <c r="B53" i="10"/>
  <c r="M6" i="9"/>
  <c r="B15" i="10"/>
  <c r="P264" i="13"/>
  <c r="F77" i="8"/>
  <c r="P296" i="13" s="1"/>
  <c r="F455" i="13"/>
  <c r="H335" i="13"/>
  <c r="L30" i="9"/>
  <c r="I335" i="13" s="1"/>
  <c r="B81" i="10"/>
  <c r="C338" i="13"/>
  <c r="G87" i="8"/>
  <c r="I34" i="9"/>
  <c r="J34" i="9" s="1"/>
  <c r="K34" i="9" s="1"/>
  <c r="G8" i="10"/>
  <c r="G509" i="13" s="1"/>
  <c r="Q253" i="13"/>
  <c r="G68" i="8"/>
  <c r="Q287" i="13" s="1"/>
  <c r="C335" i="13"/>
  <c r="I31" i="9"/>
  <c r="J31" i="9" s="1"/>
  <c r="K31" i="9" s="1"/>
  <c r="O43" i="9"/>
  <c r="L348" i="13" s="1"/>
  <c r="B446" i="13"/>
  <c r="A87" i="10"/>
  <c r="B86" i="10"/>
  <c r="E87" i="8" l="1"/>
  <c r="Q303" i="13" s="1"/>
  <c r="L22" i="9"/>
  <c r="I327" i="13" s="1"/>
  <c r="H327" i="13"/>
  <c r="K39" i="9"/>
  <c r="F456" i="13"/>
  <c r="D491" i="13"/>
  <c r="D144" i="10"/>
  <c r="C316" i="13"/>
  <c r="G85" i="8"/>
  <c r="I12" i="9"/>
  <c r="J12" i="9" s="1"/>
  <c r="K12" i="9" s="1"/>
  <c r="C446" i="13"/>
  <c r="C86" i="10"/>
  <c r="H343" i="13"/>
  <c r="L38" i="9"/>
  <c r="I343" i="13" s="1"/>
  <c r="H312" i="13"/>
  <c r="L7" i="9"/>
  <c r="I312" i="13" s="1"/>
  <c r="B54" i="10"/>
  <c r="B16" i="10"/>
  <c r="H329" i="13"/>
  <c r="L24" i="9"/>
  <c r="I329" i="13" s="1"/>
  <c r="P254" i="13"/>
  <c r="F69" i="8"/>
  <c r="P288" i="13" s="1"/>
  <c r="Q255" i="13"/>
  <c r="G70" i="8"/>
  <c r="Q289" i="13" s="1"/>
  <c r="Q254" i="13"/>
  <c r="G69" i="8"/>
  <c r="Q288" i="13" s="1"/>
  <c r="D87" i="8"/>
  <c r="K349" i="13"/>
  <c r="N45" i="9"/>
  <c r="P241" i="13"/>
  <c r="F59" i="8"/>
  <c r="D85" i="8"/>
  <c r="C344" i="13"/>
  <c r="H7" i="10"/>
  <c r="H508" i="13" s="1"/>
  <c r="G89" i="8"/>
  <c r="H5" i="10"/>
  <c r="H506" i="13" s="1"/>
  <c r="H341" i="13"/>
  <c r="L36" i="9"/>
  <c r="I341" i="13" s="1"/>
  <c r="B97" i="10"/>
  <c r="D457" i="13"/>
  <c r="D106" i="10"/>
  <c r="H330" i="13"/>
  <c r="L25" i="9"/>
  <c r="I330" i="13" s="1"/>
  <c r="Q231" i="13"/>
  <c r="G51" i="8"/>
  <c r="Q270" i="13" s="1"/>
  <c r="E83" i="8"/>
  <c r="Q299" i="13" s="1"/>
  <c r="H340" i="13"/>
  <c r="L35" i="9"/>
  <c r="I340" i="13" s="1"/>
  <c r="B96" i="10"/>
  <c r="H324" i="13"/>
  <c r="L19" i="9"/>
  <c r="I324" i="13" s="1"/>
  <c r="H323" i="13"/>
  <c r="L18" i="9"/>
  <c r="I323" i="13" s="1"/>
  <c r="C496" i="13"/>
  <c r="C148" i="10"/>
  <c r="H336" i="13"/>
  <c r="L31" i="9"/>
  <c r="I336" i="13" s="1"/>
  <c r="B82" i="10"/>
  <c r="B23" i="10"/>
  <c r="A24" i="10"/>
  <c r="B391" i="13"/>
  <c r="H331" i="13"/>
  <c r="L26" i="9"/>
  <c r="I331" i="13" s="1"/>
  <c r="B77" i="10"/>
  <c r="H322" i="13"/>
  <c r="L17" i="9"/>
  <c r="I322" i="13" s="1"/>
  <c r="J311" i="13"/>
  <c r="M7" i="9"/>
  <c r="N6" i="9"/>
  <c r="C417" i="13"/>
  <c r="C53" i="10"/>
  <c r="R41" i="8"/>
  <c r="J5" i="10"/>
  <c r="J506" i="13" s="1"/>
  <c r="J7" i="10"/>
  <c r="J508" i="13" s="1"/>
  <c r="H320" i="13"/>
  <c r="L15" i="9"/>
  <c r="I320" i="13" s="1"/>
  <c r="H338" i="13"/>
  <c r="L33" i="9"/>
  <c r="I338" i="13" s="1"/>
  <c r="B84" i="10"/>
  <c r="H334" i="13"/>
  <c r="L29" i="9"/>
  <c r="I334" i="13" s="1"/>
  <c r="B80" i="10"/>
  <c r="P287" i="13"/>
  <c r="H342" i="13"/>
  <c r="L37" i="9"/>
  <c r="I342" i="13" s="1"/>
  <c r="B98" i="10"/>
  <c r="H318" i="13"/>
  <c r="L13" i="9"/>
  <c r="I318" i="13" s="1"/>
  <c r="B60" i="10"/>
  <c r="H328" i="13"/>
  <c r="L23" i="9"/>
  <c r="I328" i="13" s="1"/>
  <c r="C387" i="13"/>
  <c r="C19" i="10"/>
  <c r="J350" i="13"/>
  <c r="M46" i="9"/>
  <c r="L27" i="9"/>
  <c r="I332" i="13" s="1"/>
  <c r="H332" i="13"/>
  <c r="B78" i="10"/>
  <c r="H344" i="13"/>
  <c r="L39" i="9"/>
  <c r="I344" i="13" s="1"/>
  <c r="B447" i="13"/>
  <c r="B87" i="10"/>
  <c r="A88" i="10"/>
  <c r="C390" i="13"/>
  <c r="C22" i="10"/>
  <c r="E456" i="13"/>
  <c r="E105" i="10"/>
  <c r="F105" i="10" s="1"/>
  <c r="C383" i="13"/>
  <c r="C15" i="10"/>
  <c r="F76" i="8"/>
  <c r="P263" i="13"/>
  <c r="D89" i="8"/>
  <c r="C313" i="13"/>
  <c r="G83" i="8"/>
  <c r="I9" i="9"/>
  <c r="J9" i="9" s="1"/>
  <c r="K9" i="9" s="1"/>
  <c r="H337" i="13"/>
  <c r="L32" i="9"/>
  <c r="I337" i="13" s="1"/>
  <c r="B83" i="10"/>
  <c r="H333" i="13"/>
  <c r="L28" i="9"/>
  <c r="I333" i="13" s="1"/>
  <c r="B79" i="10"/>
  <c r="C421" i="13"/>
  <c r="C57" i="10"/>
  <c r="C425" i="13"/>
  <c r="C61" i="10"/>
  <c r="H325" i="13"/>
  <c r="L20" i="9"/>
  <c r="I325" i="13" s="1"/>
  <c r="K11" i="9"/>
  <c r="H326" i="13"/>
  <c r="L21" i="9"/>
  <c r="I326" i="13" s="1"/>
  <c r="H313" i="13"/>
  <c r="L8" i="9"/>
  <c r="I313" i="13" s="1"/>
  <c r="B55" i="10"/>
  <c r="B17" i="10"/>
  <c r="B497" i="13"/>
  <c r="A150" i="10"/>
  <c r="B149" i="10"/>
  <c r="G59" i="8"/>
  <c r="Q278" i="13" s="1"/>
  <c r="Q241" i="13"/>
  <c r="E85" i="8"/>
  <c r="Q301" i="13" s="1"/>
  <c r="P255" i="13"/>
  <c r="F70" i="8"/>
  <c r="P289" i="13" s="1"/>
  <c r="F489" i="13"/>
  <c r="P231" i="13"/>
  <c r="F51" i="8"/>
  <c r="D83" i="8"/>
  <c r="H339" i="13"/>
  <c r="L34" i="9"/>
  <c r="I339" i="13" s="1"/>
  <c r="B95" i="10"/>
  <c r="B85" i="10"/>
  <c r="C441" i="13"/>
  <c r="C81" i="10"/>
  <c r="C462" i="13"/>
  <c r="C110" i="10"/>
  <c r="H321" i="13"/>
  <c r="L16" i="9"/>
  <c r="I321" i="13" s="1"/>
  <c r="O44" i="9"/>
  <c r="L349" i="13" s="1"/>
  <c r="B463" i="13"/>
  <c r="B111" i="10"/>
  <c r="A112" i="10"/>
  <c r="E490" i="13"/>
  <c r="E143" i="10"/>
  <c r="F143" i="10" s="1"/>
  <c r="F491" i="13" s="1"/>
  <c r="B426" i="13"/>
  <c r="B62" i="10"/>
  <c r="A63" i="10"/>
  <c r="F142" i="10"/>
  <c r="F490" i="13" s="1"/>
  <c r="F87" i="8" l="1"/>
  <c r="H87" i="8" s="1"/>
  <c r="F457" i="13"/>
  <c r="P303" i="13"/>
  <c r="B427" i="13"/>
  <c r="B63" i="10"/>
  <c r="A64" i="10"/>
  <c r="P301" i="13"/>
  <c r="H85" i="8"/>
  <c r="E457" i="13"/>
  <c r="E106" i="10"/>
  <c r="F106" i="10" s="1"/>
  <c r="F458" i="13" s="1"/>
  <c r="K350" i="13"/>
  <c r="N46" i="9"/>
  <c r="B498" i="13"/>
  <c r="B150" i="10"/>
  <c r="A151" i="10"/>
  <c r="C424" i="13"/>
  <c r="C60" i="10"/>
  <c r="C442" i="13"/>
  <c r="C82" i="10"/>
  <c r="C385" i="13"/>
  <c r="C17" i="10"/>
  <c r="Q263" i="13"/>
  <c r="G76" i="8"/>
  <c r="Q295" i="13" s="1"/>
  <c r="E89" i="8"/>
  <c r="Q305" i="13" s="1"/>
  <c r="H317" i="13"/>
  <c r="L12" i="9"/>
  <c r="I317" i="13" s="1"/>
  <c r="B59" i="10"/>
  <c r="B21" i="10"/>
  <c r="C453" i="13"/>
  <c r="C97" i="10"/>
  <c r="F144" i="10"/>
  <c r="F492" i="13" s="1"/>
  <c r="D145" i="10"/>
  <c r="D492" i="13"/>
  <c r="P278" i="13"/>
  <c r="F85" i="8"/>
  <c r="C443" i="13"/>
  <c r="C83" i="10"/>
  <c r="C426" i="13"/>
  <c r="C62" i="10"/>
  <c r="P270" i="13"/>
  <c r="F83" i="8"/>
  <c r="H83" i="8" s="1"/>
  <c r="B464" i="13"/>
  <c r="A113" i="10"/>
  <c r="B112" i="10"/>
  <c r="C463" i="13"/>
  <c r="C111" i="10"/>
  <c r="H316" i="13"/>
  <c r="L11" i="9"/>
  <c r="I316" i="13" s="1"/>
  <c r="B58" i="10"/>
  <c r="B20" i="10"/>
  <c r="C440" i="13"/>
  <c r="C80" i="10"/>
  <c r="C419" i="13"/>
  <c r="C55" i="10"/>
  <c r="D53" i="10"/>
  <c r="P299" i="13"/>
  <c r="K311" i="13"/>
  <c r="N7" i="9"/>
  <c r="J312" i="13"/>
  <c r="O7" i="9"/>
  <c r="L312" i="13" s="1"/>
  <c r="M8" i="9"/>
  <c r="P305" i="13"/>
  <c r="J351" i="13"/>
  <c r="M47" i="9"/>
  <c r="C439" i="13"/>
  <c r="C79" i="10"/>
  <c r="C23" i="10"/>
  <c r="C391" i="13"/>
  <c r="C447" i="13"/>
  <c r="C87" i="10"/>
  <c r="D458" i="13"/>
  <c r="D107" i="10"/>
  <c r="H314" i="13"/>
  <c r="L9" i="9"/>
  <c r="I314" i="13" s="1"/>
  <c r="B56" i="10"/>
  <c r="B18" i="10"/>
  <c r="C438" i="13"/>
  <c r="C78" i="10"/>
  <c r="O6" i="9"/>
  <c r="L311" i="13" s="1"/>
  <c r="P295" i="13"/>
  <c r="F89" i="8"/>
  <c r="H89" i="8" s="1"/>
  <c r="C452" i="13"/>
  <c r="C96" i="10"/>
  <c r="C384" i="13"/>
  <c r="C16" i="10"/>
  <c r="C497" i="13"/>
  <c r="C149" i="10"/>
  <c r="B392" i="13"/>
  <c r="B24" i="10"/>
  <c r="A25" i="10"/>
  <c r="C445" i="13"/>
  <c r="C85" i="10"/>
  <c r="B448" i="13"/>
  <c r="A89" i="10"/>
  <c r="B88" i="10"/>
  <c r="C451" i="13"/>
  <c r="C95" i="10"/>
  <c r="C454" i="13"/>
  <c r="C98" i="10"/>
  <c r="E491" i="13"/>
  <c r="E144" i="10"/>
  <c r="D15" i="10"/>
  <c r="O45" i="9"/>
  <c r="L350" i="13" s="1"/>
  <c r="C444" i="13"/>
  <c r="C84" i="10"/>
  <c r="C437" i="13"/>
  <c r="C77" i="10"/>
  <c r="C418" i="13"/>
  <c r="C54" i="10"/>
  <c r="C12" i="12" l="1"/>
  <c r="C389" i="13"/>
  <c r="C21" i="10"/>
  <c r="B465" i="13"/>
  <c r="A114" i="10"/>
  <c r="B113" i="10"/>
  <c r="C498" i="13"/>
  <c r="C150" i="10"/>
  <c r="K351" i="13"/>
  <c r="N47" i="9"/>
  <c r="O47" i="9" s="1"/>
  <c r="L352" i="13" s="1"/>
  <c r="D417" i="13"/>
  <c r="E53" i="10"/>
  <c r="F53" i="10" s="1"/>
  <c r="D54" i="10"/>
  <c r="C448" i="13"/>
  <c r="C88" i="10"/>
  <c r="K312" i="13"/>
  <c r="N8" i="9"/>
  <c r="C59" i="10"/>
  <c r="C423" i="13"/>
  <c r="E458" i="13"/>
  <c r="E107" i="10"/>
  <c r="L8" i="10"/>
  <c r="D95" i="10"/>
  <c r="B449" i="13"/>
  <c r="A90" i="10"/>
  <c r="B89" i="10"/>
  <c r="C422" i="13"/>
  <c r="C58" i="10"/>
  <c r="B499" i="13"/>
  <c r="B151" i="10"/>
  <c r="A152" i="10"/>
  <c r="D459" i="13"/>
  <c r="D108" i="10"/>
  <c r="C464" i="13"/>
  <c r="C112" i="10"/>
  <c r="E492" i="13"/>
  <c r="E145" i="10"/>
  <c r="F145" i="10" s="1"/>
  <c r="C427" i="13"/>
  <c r="C63" i="10"/>
  <c r="C388" i="13"/>
  <c r="C20" i="10"/>
  <c r="C420" i="13"/>
  <c r="C56" i="10"/>
  <c r="C392" i="13"/>
  <c r="C24" i="10"/>
  <c r="D383" i="13"/>
  <c r="D16" i="10"/>
  <c r="E15" i="10"/>
  <c r="B428" i="13"/>
  <c r="B64" i="10"/>
  <c r="A65" i="10"/>
  <c r="O46" i="9"/>
  <c r="L351" i="13" s="1"/>
  <c r="M48" i="9"/>
  <c r="J352" i="13"/>
  <c r="D77" i="10"/>
  <c r="C386" i="13"/>
  <c r="C18" i="10"/>
  <c r="B393" i="13"/>
  <c r="A26" i="10"/>
  <c r="B25" i="10"/>
  <c r="J313" i="13"/>
  <c r="O8" i="9"/>
  <c r="L313" i="13" s="1"/>
  <c r="M9" i="9"/>
  <c r="D493" i="13"/>
  <c r="D146" i="10"/>
  <c r="F417" i="13" l="1"/>
  <c r="C499" i="13"/>
  <c r="C151" i="10"/>
  <c r="D494" i="13"/>
  <c r="D147" i="10"/>
  <c r="E493" i="13"/>
  <c r="E146" i="10"/>
  <c r="B466" i="13"/>
  <c r="B114" i="10"/>
  <c r="A115" i="10"/>
  <c r="D437" i="13"/>
  <c r="D78" i="10"/>
  <c r="E77" i="10"/>
  <c r="B450" i="13"/>
  <c r="B90" i="10"/>
  <c r="C465" i="13"/>
  <c r="C113" i="10"/>
  <c r="E383" i="13"/>
  <c r="E16" i="10"/>
  <c r="B394" i="13"/>
  <c r="B26" i="10"/>
  <c r="A27" i="10"/>
  <c r="B500" i="13"/>
  <c r="B152" i="10"/>
  <c r="A153" i="10"/>
  <c r="D418" i="13"/>
  <c r="D55" i="10"/>
  <c r="E417" i="13"/>
  <c r="E54" i="10"/>
  <c r="K352" i="13"/>
  <c r="N48" i="9"/>
  <c r="C428" i="13"/>
  <c r="C64" i="10"/>
  <c r="E108" i="10"/>
  <c r="F108" i="10" s="1"/>
  <c r="F460" i="13" s="1"/>
  <c r="E459" i="13"/>
  <c r="J314" i="13"/>
  <c r="M10" i="9"/>
  <c r="F15" i="10"/>
  <c r="F107" i="10"/>
  <c r="C449" i="13"/>
  <c r="C89" i="10"/>
  <c r="J353" i="13"/>
  <c r="M49" i="9"/>
  <c r="D451" i="13"/>
  <c r="D96" i="10"/>
  <c r="E95" i="10"/>
  <c r="F95" i="10"/>
  <c r="F493" i="13"/>
  <c r="B429" i="13"/>
  <c r="A66" i="10"/>
  <c r="B65" i="10"/>
  <c r="C393" i="13"/>
  <c r="C25" i="10"/>
  <c r="D384" i="13"/>
  <c r="D17" i="10"/>
  <c r="D460" i="13"/>
  <c r="D109" i="10"/>
  <c r="K313" i="13"/>
  <c r="N9" i="9"/>
  <c r="O9" i="9" s="1"/>
  <c r="L314" i="13" s="1"/>
  <c r="F459" i="13" l="1"/>
  <c r="F383" i="13"/>
  <c r="B501" i="13"/>
  <c r="B153" i="10"/>
  <c r="A154" i="10"/>
  <c r="B467" i="13"/>
  <c r="B115" i="10"/>
  <c r="A116" i="10"/>
  <c r="C394" i="13"/>
  <c r="C26" i="10"/>
  <c r="F451" i="13"/>
  <c r="D495" i="13"/>
  <c r="D148" i="10"/>
  <c r="E418" i="13"/>
  <c r="E55" i="10"/>
  <c r="F55" i="10" s="1"/>
  <c r="F419" i="13" s="1"/>
  <c r="C429" i="13"/>
  <c r="C65" i="10"/>
  <c r="J315" i="13"/>
  <c r="M11" i="9"/>
  <c r="E384" i="13"/>
  <c r="E17" i="10"/>
  <c r="E451" i="13"/>
  <c r="E96" i="10"/>
  <c r="D452" i="13"/>
  <c r="F96" i="10"/>
  <c r="F452" i="13" s="1"/>
  <c r="D97" i="10"/>
  <c r="C500" i="13"/>
  <c r="C152" i="10"/>
  <c r="B395" i="13"/>
  <c r="A28" i="10"/>
  <c r="B27" i="10"/>
  <c r="C450" i="13"/>
  <c r="C90" i="10"/>
  <c r="L7" i="10" s="1"/>
  <c r="F54" i="10"/>
  <c r="E437" i="13"/>
  <c r="E78" i="10"/>
  <c r="D438" i="13"/>
  <c r="D79" i="10"/>
  <c r="F78" i="10"/>
  <c r="F438" i="13" s="1"/>
  <c r="C466" i="13"/>
  <c r="C114" i="10"/>
  <c r="B430" i="13"/>
  <c r="A67" i="10"/>
  <c r="B66" i="10"/>
  <c r="E494" i="13"/>
  <c r="E147" i="10"/>
  <c r="E460" i="13"/>
  <c r="E109" i="10"/>
  <c r="F109" i="10" s="1"/>
  <c r="F461" i="13" s="1"/>
  <c r="F146" i="10"/>
  <c r="K314" i="13"/>
  <c r="N10" i="9"/>
  <c r="O10" i="9" s="1"/>
  <c r="L315" i="13" s="1"/>
  <c r="K353" i="13"/>
  <c r="N49" i="9"/>
  <c r="D461" i="13"/>
  <c r="D110" i="10"/>
  <c r="O48" i="9"/>
  <c r="L353" i="13" s="1"/>
  <c r="M50" i="9"/>
  <c r="J354" i="13"/>
  <c r="F16" i="10"/>
  <c r="F384" i="13" s="1"/>
  <c r="D385" i="13"/>
  <c r="D18" i="10"/>
  <c r="D419" i="13"/>
  <c r="D56" i="10"/>
  <c r="F77" i="10"/>
  <c r="E452" i="13" l="1"/>
  <c r="E97" i="10"/>
  <c r="D439" i="13"/>
  <c r="D80" i="10"/>
  <c r="K354" i="13"/>
  <c r="N50" i="9"/>
  <c r="E385" i="13"/>
  <c r="E18" i="10"/>
  <c r="F437" i="13"/>
  <c r="E438" i="13"/>
  <c r="E79" i="10"/>
  <c r="D420" i="13"/>
  <c r="D57" i="10"/>
  <c r="F418" i="13"/>
  <c r="B502" i="13"/>
  <c r="B154" i="10"/>
  <c r="D386" i="13"/>
  <c r="D19" i="10"/>
  <c r="F17" i="10"/>
  <c r="E495" i="13"/>
  <c r="E148" i="10"/>
  <c r="C501" i="13"/>
  <c r="C153" i="10"/>
  <c r="C430" i="13"/>
  <c r="C66" i="10"/>
  <c r="F147" i="10"/>
  <c r="F495" i="13" s="1"/>
  <c r="C467" i="13"/>
  <c r="C115" i="10"/>
  <c r="C395" i="13"/>
  <c r="C27" i="10"/>
  <c r="B396" i="13"/>
  <c r="B28" i="10"/>
  <c r="A29" i="10"/>
  <c r="B431" i="13"/>
  <c r="B67" i="10"/>
  <c r="A68" i="10"/>
  <c r="D496" i="13"/>
  <c r="D149" i="10"/>
  <c r="F148" i="10"/>
  <c r="F496" i="13" s="1"/>
  <c r="D462" i="13"/>
  <c r="D111" i="10"/>
  <c r="F110" i="10"/>
  <c r="F462" i="13" s="1"/>
  <c r="B468" i="13"/>
  <c r="B116" i="10"/>
  <c r="A117" i="10"/>
  <c r="K315" i="13"/>
  <c r="N11" i="9"/>
  <c r="O11" i="9" s="1"/>
  <c r="L316" i="13" s="1"/>
  <c r="J316" i="13"/>
  <c r="M12" i="9"/>
  <c r="F494" i="13"/>
  <c r="E461" i="13"/>
  <c r="E110" i="10"/>
  <c r="E419" i="13"/>
  <c r="E56" i="10"/>
  <c r="J355" i="13"/>
  <c r="O50" i="9"/>
  <c r="L355" i="13" s="1"/>
  <c r="M51" i="9"/>
  <c r="O49" i="9"/>
  <c r="L354" i="13" s="1"/>
  <c r="D453" i="13"/>
  <c r="D98" i="10"/>
  <c r="F97" i="10"/>
  <c r="F453" i="13" s="1"/>
  <c r="E420" i="13" l="1"/>
  <c r="E57" i="10"/>
  <c r="D421" i="13"/>
  <c r="D58" i="10"/>
  <c r="F57" i="10"/>
  <c r="F421" i="13" s="1"/>
  <c r="E462" i="13"/>
  <c r="E111" i="10"/>
  <c r="C502" i="13"/>
  <c r="C154" i="10"/>
  <c r="L10" i="10" s="1"/>
  <c r="D440" i="13"/>
  <c r="D81" i="10"/>
  <c r="F80" i="10"/>
  <c r="F440" i="13" s="1"/>
  <c r="F56" i="10"/>
  <c r="C431" i="13"/>
  <c r="C67" i="10"/>
  <c r="E386" i="13"/>
  <c r="E19" i="10"/>
  <c r="F385" i="13"/>
  <c r="J317" i="13"/>
  <c r="M13" i="9"/>
  <c r="K355" i="13"/>
  <c r="N51" i="9"/>
  <c r="F18" i="10"/>
  <c r="F386" i="13" s="1"/>
  <c r="K316" i="13"/>
  <c r="N12" i="9"/>
  <c r="D454" i="13"/>
  <c r="F98" i="10"/>
  <c r="K8" i="10"/>
  <c r="B469" i="13"/>
  <c r="A118" i="10"/>
  <c r="B117" i="10"/>
  <c r="E439" i="13"/>
  <c r="E80" i="10"/>
  <c r="D497" i="13"/>
  <c r="D150" i="10"/>
  <c r="B432" i="13"/>
  <c r="B68" i="10"/>
  <c r="A69" i="10"/>
  <c r="E496" i="13"/>
  <c r="E149" i="10"/>
  <c r="B397" i="13"/>
  <c r="A30" i="10"/>
  <c r="B29" i="10"/>
  <c r="D387" i="13"/>
  <c r="D20" i="10"/>
  <c r="F19" i="10"/>
  <c r="F387" i="13" s="1"/>
  <c r="F79" i="10"/>
  <c r="E453" i="13"/>
  <c r="E98" i="10"/>
  <c r="E454" i="13" s="1"/>
  <c r="D463" i="13"/>
  <c r="D112" i="10"/>
  <c r="C28" i="10"/>
  <c r="C396" i="13"/>
  <c r="C468" i="13"/>
  <c r="C116" i="10"/>
  <c r="J356" i="13"/>
  <c r="O51" i="9"/>
  <c r="L356" i="13" s="1"/>
  <c r="M52" i="9"/>
  <c r="E497" i="13" l="1"/>
  <c r="E150" i="10"/>
  <c r="D441" i="13"/>
  <c r="D82" i="10"/>
  <c r="E463" i="13"/>
  <c r="E112" i="10"/>
  <c r="D422" i="13"/>
  <c r="D59" i="10"/>
  <c r="B470" i="13"/>
  <c r="A119" i="10"/>
  <c r="B118" i="10"/>
  <c r="J357" i="13"/>
  <c r="M53" i="9"/>
  <c r="O52" i="9"/>
  <c r="L357" i="13" s="1"/>
  <c r="B398" i="13"/>
  <c r="A31" i="10"/>
  <c r="B30" i="10"/>
  <c r="F420" i="13"/>
  <c r="K317" i="13"/>
  <c r="N13" i="9"/>
  <c r="D464" i="13"/>
  <c r="D113" i="10"/>
  <c r="F112" i="10"/>
  <c r="F464" i="13" s="1"/>
  <c r="F111" i="10"/>
  <c r="F463" i="13" s="1"/>
  <c r="F149" i="10"/>
  <c r="F497" i="13" s="1"/>
  <c r="O12" i="9"/>
  <c r="L317" i="13" s="1"/>
  <c r="E440" i="13"/>
  <c r="E81" i="10"/>
  <c r="F81" i="10" s="1"/>
  <c r="C397" i="13"/>
  <c r="C29" i="10"/>
  <c r="K509" i="13"/>
  <c r="M8" i="10"/>
  <c r="L509" i="13" s="1"/>
  <c r="S8" i="10"/>
  <c r="C432" i="13"/>
  <c r="C68" i="10"/>
  <c r="K356" i="13"/>
  <c r="N52" i="9"/>
  <c r="J318" i="13"/>
  <c r="M14" i="9"/>
  <c r="O13" i="9"/>
  <c r="L318" i="13" s="1"/>
  <c r="F439" i="13"/>
  <c r="E421" i="13"/>
  <c r="E58" i="10"/>
  <c r="F454" i="13"/>
  <c r="N8" i="10"/>
  <c r="B433" i="13"/>
  <c r="A70" i="10"/>
  <c r="B69" i="10"/>
  <c r="D498" i="13"/>
  <c r="D151" i="10"/>
  <c r="F150" i="10"/>
  <c r="F498" i="13" s="1"/>
  <c r="D388" i="13"/>
  <c r="D21" i="10"/>
  <c r="C469" i="13"/>
  <c r="C117" i="10"/>
  <c r="E387" i="13"/>
  <c r="E20" i="10"/>
  <c r="F20" i="10" s="1"/>
  <c r="F388" i="13" l="1"/>
  <c r="F441" i="13"/>
  <c r="E422" i="13"/>
  <c r="E59" i="10"/>
  <c r="C470" i="13"/>
  <c r="C118" i="10"/>
  <c r="C433" i="13"/>
  <c r="C69" i="10"/>
  <c r="J358" i="13"/>
  <c r="M54" i="9"/>
  <c r="D389" i="13"/>
  <c r="D22" i="10"/>
  <c r="D423" i="13"/>
  <c r="D60" i="10"/>
  <c r="B434" i="13"/>
  <c r="B70" i="10"/>
  <c r="A71" i="10"/>
  <c r="E441" i="13"/>
  <c r="E82" i="10"/>
  <c r="F82" i="10" s="1"/>
  <c r="B471" i="13"/>
  <c r="B119" i="10"/>
  <c r="A120" i="10"/>
  <c r="J319" i="13"/>
  <c r="M15" i="9"/>
  <c r="F58" i="10"/>
  <c r="D465" i="13"/>
  <c r="D114" i="10"/>
  <c r="K318" i="13"/>
  <c r="N14" i="9"/>
  <c r="O14" i="9" s="1"/>
  <c r="L319" i="13" s="1"/>
  <c r="D442" i="13"/>
  <c r="D83" i="10"/>
  <c r="M509" i="13"/>
  <c r="D35" i="12"/>
  <c r="P8" i="10"/>
  <c r="P509" i="13" s="1"/>
  <c r="O8" i="10"/>
  <c r="N509" i="13" s="1"/>
  <c r="R8" i="10"/>
  <c r="O509" i="13" s="1"/>
  <c r="C35" i="12"/>
  <c r="Q8" i="10"/>
  <c r="B399" i="13"/>
  <c r="B31" i="10"/>
  <c r="A32" i="10"/>
  <c r="E498" i="13"/>
  <c r="E151" i="10"/>
  <c r="F151" i="10" s="1"/>
  <c r="F499" i="13" s="1"/>
  <c r="E388" i="13"/>
  <c r="E21" i="10"/>
  <c r="F21" i="10" s="1"/>
  <c r="F389" i="13" s="1"/>
  <c r="K357" i="13"/>
  <c r="N53" i="9"/>
  <c r="O53" i="9" s="1"/>
  <c r="L358" i="13" s="1"/>
  <c r="D499" i="13"/>
  <c r="D152" i="10"/>
  <c r="E464" i="13"/>
  <c r="E113" i="10"/>
  <c r="C398" i="13"/>
  <c r="C30" i="10"/>
  <c r="F442" i="13" l="1"/>
  <c r="D390" i="13"/>
  <c r="D23" i="10"/>
  <c r="F22" i="10"/>
  <c r="F390" i="13" s="1"/>
  <c r="C399" i="13"/>
  <c r="C31" i="10"/>
  <c r="C471" i="13"/>
  <c r="C119" i="10"/>
  <c r="E442" i="13"/>
  <c r="E83" i="10"/>
  <c r="K358" i="13"/>
  <c r="N54" i="9"/>
  <c r="B435" i="13"/>
  <c r="B71" i="10"/>
  <c r="A72" i="10"/>
  <c r="E389" i="13"/>
  <c r="E22" i="10"/>
  <c r="D61" i="10"/>
  <c r="D424" i="13"/>
  <c r="J320" i="13"/>
  <c r="M16" i="9"/>
  <c r="E465" i="13"/>
  <c r="E114" i="10"/>
  <c r="J359" i="13"/>
  <c r="M55" i="9"/>
  <c r="B472" i="13"/>
  <c r="B120" i="10"/>
  <c r="A121" i="10"/>
  <c r="D500" i="13"/>
  <c r="F152" i="10"/>
  <c r="F500" i="13" s="1"/>
  <c r="D153" i="10"/>
  <c r="D443" i="13"/>
  <c r="D84" i="10"/>
  <c r="E423" i="13"/>
  <c r="E60" i="10"/>
  <c r="F422" i="13"/>
  <c r="C434" i="13"/>
  <c r="C70" i="10"/>
  <c r="K319" i="13"/>
  <c r="N15" i="9"/>
  <c r="O15" i="9" s="1"/>
  <c r="L320" i="13" s="1"/>
  <c r="E499" i="13"/>
  <c r="E152" i="10"/>
  <c r="D466" i="13"/>
  <c r="D115" i="10"/>
  <c r="B400" i="13"/>
  <c r="B32" i="10"/>
  <c r="A33" i="10"/>
  <c r="F113" i="10"/>
  <c r="F465" i="13" s="1"/>
  <c r="F59" i="10"/>
  <c r="F423" i="13" s="1"/>
  <c r="B473" i="13" l="1"/>
  <c r="A122" i="10"/>
  <c r="B121" i="10"/>
  <c r="B436" i="13"/>
  <c r="B72" i="10"/>
  <c r="E424" i="13"/>
  <c r="E61" i="10"/>
  <c r="B401" i="13"/>
  <c r="A34" i="10"/>
  <c r="B33" i="10"/>
  <c r="D467" i="13"/>
  <c r="D116" i="10"/>
  <c r="F115" i="10"/>
  <c r="F467" i="13" s="1"/>
  <c r="D24" i="10"/>
  <c r="D391" i="13"/>
  <c r="F23" i="10"/>
  <c r="F391" i="13" s="1"/>
  <c r="C435" i="13"/>
  <c r="C71" i="10"/>
  <c r="K359" i="13"/>
  <c r="N55" i="9"/>
  <c r="O54" i="9"/>
  <c r="L359" i="13" s="1"/>
  <c r="E466" i="13"/>
  <c r="E115" i="10"/>
  <c r="J321" i="13"/>
  <c r="M17" i="9"/>
  <c r="D501" i="13"/>
  <c r="F153" i="10"/>
  <c r="F501" i="13" s="1"/>
  <c r="D154" i="10"/>
  <c r="K320" i="13"/>
  <c r="N16" i="9"/>
  <c r="E443" i="13"/>
  <c r="E84" i="10"/>
  <c r="F84" i="10" s="1"/>
  <c r="F444" i="13" s="1"/>
  <c r="D444" i="13"/>
  <c r="D85" i="10"/>
  <c r="E390" i="13"/>
  <c r="E23" i="10"/>
  <c r="C472" i="13"/>
  <c r="C120" i="10"/>
  <c r="J360" i="13"/>
  <c r="O55" i="9"/>
  <c r="L360" i="13" s="1"/>
  <c r="M56" i="9"/>
  <c r="C400" i="13"/>
  <c r="C32" i="10"/>
  <c r="F83" i="10"/>
  <c r="F60" i="10"/>
  <c r="F114" i="10"/>
  <c r="F466" i="13" s="1"/>
  <c r="D425" i="13"/>
  <c r="D62" i="10"/>
  <c r="E500" i="13"/>
  <c r="E153" i="10"/>
  <c r="K321" i="13" l="1"/>
  <c r="N17" i="9"/>
  <c r="D392" i="13"/>
  <c r="D25" i="10"/>
  <c r="J361" i="13"/>
  <c r="M57" i="9"/>
  <c r="J322" i="13"/>
  <c r="O17" i="9"/>
  <c r="L322" i="13" s="1"/>
  <c r="M18" i="9"/>
  <c r="E467" i="13"/>
  <c r="E116" i="10"/>
  <c r="F116" i="10" s="1"/>
  <c r="F468" i="13" s="1"/>
  <c r="E391" i="13"/>
  <c r="E24" i="10"/>
  <c r="K360" i="13"/>
  <c r="N56" i="9"/>
  <c r="O56" i="9" s="1"/>
  <c r="L361" i="13" s="1"/>
  <c r="F424" i="13"/>
  <c r="O16" i="9"/>
  <c r="L321" i="13" s="1"/>
  <c r="C473" i="13"/>
  <c r="C121" i="10"/>
  <c r="F443" i="13"/>
  <c r="D502" i="13"/>
  <c r="K10" i="10"/>
  <c r="D468" i="13"/>
  <c r="D117" i="10"/>
  <c r="C436" i="13"/>
  <c r="C72" i="10"/>
  <c r="L6" i="10" s="1"/>
  <c r="D426" i="13"/>
  <c r="D63" i="10"/>
  <c r="B474" i="13"/>
  <c r="B122" i="10"/>
  <c r="A123" i="10"/>
  <c r="C401" i="13"/>
  <c r="C33" i="10"/>
  <c r="B402" i="13"/>
  <c r="B34" i="10"/>
  <c r="A35" i="10"/>
  <c r="E425" i="13"/>
  <c r="E62" i="10"/>
  <c r="E501" i="13"/>
  <c r="E154" i="10"/>
  <c r="E502" i="13" s="1"/>
  <c r="D445" i="13"/>
  <c r="D86" i="10"/>
  <c r="F61" i="10"/>
  <c r="F425" i="13" s="1"/>
  <c r="E444" i="13"/>
  <c r="E85" i="10"/>
  <c r="E392" i="13" l="1"/>
  <c r="E25" i="10"/>
  <c r="D469" i="13"/>
  <c r="D118" i="10"/>
  <c r="E426" i="13"/>
  <c r="E63" i="10"/>
  <c r="B403" i="13"/>
  <c r="A36" i="10"/>
  <c r="B35" i="10"/>
  <c r="J323" i="13"/>
  <c r="O18" i="9"/>
  <c r="L323" i="13" s="1"/>
  <c r="M19" i="9"/>
  <c r="D393" i="13"/>
  <c r="F25" i="10"/>
  <c r="F393" i="13" s="1"/>
  <c r="D26" i="10"/>
  <c r="C402" i="13"/>
  <c r="C34" i="10"/>
  <c r="F154" i="10"/>
  <c r="E445" i="13"/>
  <c r="E86" i="10"/>
  <c r="K511" i="13"/>
  <c r="D7" i="12"/>
  <c r="F7" i="12" s="1"/>
  <c r="C7" i="12" s="1"/>
  <c r="M10" i="10"/>
  <c r="L511" i="13" s="1"/>
  <c r="S10" i="10"/>
  <c r="J362" i="13"/>
  <c r="M58" i="9"/>
  <c r="B475" i="13"/>
  <c r="A124" i="10"/>
  <c r="B123" i="10"/>
  <c r="D427" i="13"/>
  <c r="D64" i="10"/>
  <c r="K322" i="13"/>
  <c r="N18" i="9"/>
  <c r="E468" i="13"/>
  <c r="E117" i="10"/>
  <c r="C474" i="13"/>
  <c r="C122" i="10"/>
  <c r="F24" i="10"/>
  <c r="F392" i="13" s="1"/>
  <c r="F62" i="10"/>
  <c r="F426" i="13" s="1"/>
  <c r="F85" i="10"/>
  <c r="F445" i="13" s="1"/>
  <c r="D446" i="13"/>
  <c r="D87" i="10"/>
  <c r="F86" i="10"/>
  <c r="F446" i="13" s="1"/>
  <c r="K361" i="13"/>
  <c r="N57" i="9"/>
  <c r="C403" i="13" l="1"/>
  <c r="C35" i="10"/>
  <c r="K323" i="13"/>
  <c r="N19" i="9"/>
  <c r="K362" i="13"/>
  <c r="N58" i="9"/>
  <c r="D394" i="13"/>
  <c r="D27" i="10"/>
  <c r="F26" i="10"/>
  <c r="F394" i="13" s="1"/>
  <c r="B476" i="13"/>
  <c r="B124" i="10"/>
  <c r="A125" i="10"/>
  <c r="E427" i="13"/>
  <c r="E64" i="10"/>
  <c r="C475" i="13"/>
  <c r="C123" i="10"/>
  <c r="D447" i="13"/>
  <c r="D88" i="10"/>
  <c r="J324" i="13"/>
  <c r="M20" i="9"/>
  <c r="O19" i="9"/>
  <c r="L324" i="13" s="1"/>
  <c r="O57" i="9"/>
  <c r="L362" i="13" s="1"/>
  <c r="J363" i="13"/>
  <c r="M59" i="9"/>
  <c r="O58" i="9"/>
  <c r="L363" i="13" s="1"/>
  <c r="B404" i="13"/>
  <c r="B36" i="10"/>
  <c r="A37" i="10"/>
  <c r="E469" i="13"/>
  <c r="E118" i="10"/>
  <c r="F118" i="10" s="1"/>
  <c r="F470" i="13" s="1"/>
  <c r="E446" i="13"/>
  <c r="E87" i="10"/>
  <c r="F87" i="10" s="1"/>
  <c r="F447" i="13" s="1"/>
  <c r="F117" i="10"/>
  <c r="F469" i="13" s="1"/>
  <c r="E393" i="13"/>
  <c r="E26" i="10"/>
  <c r="D470" i="13"/>
  <c r="D119" i="10"/>
  <c r="F502" i="13"/>
  <c r="N10" i="10"/>
  <c r="F63" i="10"/>
  <c r="F427" i="13" s="1"/>
  <c r="D428" i="13"/>
  <c r="D65" i="10"/>
  <c r="C404" i="13" l="1"/>
  <c r="C36" i="10"/>
  <c r="E394" i="13"/>
  <c r="E27" i="10"/>
  <c r="F27" i="10" s="1"/>
  <c r="F395" i="13" s="1"/>
  <c r="C476" i="13"/>
  <c r="C124" i="10"/>
  <c r="M511" i="13"/>
  <c r="D8" i="12"/>
  <c r="O10" i="10"/>
  <c r="N511" i="13" s="1"/>
  <c r="P10" i="10"/>
  <c r="Q10" i="10"/>
  <c r="R10" i="10" s="1"/>
  <c r="O511" i="13" s="1"/>
  <c r="E428" i="13"/>
  <c r="E65" i="10"/>
  <c r="F65" i="10" s="1"/>
  <c r="F429" i="13" s="1"/>
  <c r="B405" i="13"/>
  <c r="B37" i="10"/>
  <c r="A38" i="10"/>
  <c r="B477" i="13"/>
  <c r="A126" i="10"/>
  <c r="B125" i="10"/>
  <c r="D471" i="13"/>
  <c r="D120" i="10"/>
  <c r="J325" i="13"/>
  <c r="M21" i="9"/>
  <c r="E470" i="13"/>
  <c r="E119" i="10"/>
  <c r="D429" i="13"/>
  <c r="D66" i="10"/>
  <c r="F64" i="10"/>
  <c r="F428" i="13" s="1"/>
  <c r="J364" i="13"/>
  <c r="M60" i="9"/>
  <c r="D395" i="13"/>
  <c r="D28" i="10"/>
  <c r="K363" i="13"/>
  <c r="N59" i="9"/>
  <c r="K324" i="13"/>
  <c r="N20" i="9"/>
  <c r="D448" i="13"/>
  <c r="D89" i="10"/>
  <c r="E447" i="13"/>
  <c r="E88" i="10"/>
  <c r="D430" i="13" l="1"/>
  <c r="D67" i="10"/>
  <c r="C477" i="13"/>
  <c r="C125" i="10"/>
  <c r="C405" i="13"/>
  <c r="C37" i="10"/>
  <c r="K325" i="13"/>
  <c r="N21" i="9"/>
  <c r="J326" i="13"/>
  <c r="O21" i="9"/>
  <c r="L326" i="13" s="1"/>
  <c r="M22" i="9"/>
  <c r="K364" i="13"/>
  <c r="N60" i="9"/>
  <c r="O59" i="9"/>
  <c r="L364" i="13" s="1"/>
  <c r="E448" i="13"/>
  <c r="E89" i="10"/>
  <c r="F89" i="10" s="1"/>
  <c r="F449" i="13" s="1"/>
  <c r="F88" i="10"/>
  <c r="F448" i="13" s="1"/>
  <c r="D449" i="13"/>
  <c r="D90" i="10"/>
  <c r="P511" i="13"/>
  <c r="E8" i="12"/>
  <c r="F8" i="12" s="1"/>
  <c r="C8" i="12" s="1"/>
  <c r="D472" i="13"/>
  <c r="D121" i="10"/>
  <c r="F120" i="10"/>
  <c r="F472" i="13" s="1"/>
  <c r="D396" i="13"/>
  <c r="D29" i="10"/>
  <c r="E395" i="13"/>
  <c r="E28" i="10"/>
  <c r="F28" i="10" s="1"/>
  <c r="F396" i="13" s="1"/>
  <c r="E429" i="13"/>
  <c r="E66" i="10"/>
  <c r="F66" i="10" s="1"/>
  <c r="F430" i="13" s="1"/>
  <c r="E471" i="13"/>
  <c r="E120" i="10"/>
  <c r="O20" i="9"/>
  <c r="L325" i="13" s="1"/>
  <c r="F119" i="10"/>
  <c r="F471" i="13" s="1"/>
  <c r="B478" i="13"/>
  <c r="A127" i="10"/>
  <c r="B126" i="10"/>
  <c r="J365" i="13"/>
  <c r="M61" i="9"/>
  <c r="B406" i="13"/>
  <c r="A39" i="10"/>
  <c r="B38" i="10"/>
  <c r="C406" i="13" l="1"/>
  <c r="C38" i="10"/>
  <c r="K365" i="13"/>
  <c r="N61" i="9"/>
  <c r="D397" i="13"/>
  <c r="D30" i="10"/>
  <c r="J366" i="13"/>
  <c r="O61" i="9"/>
  <c r="L366" i="13" s="1"/>
  <c r="M62" i="9"/>
  <c r="J327" i="13"/>
  <c r="M23" i="9"/>
  <c r="K326" i="13"/>
  <c r="N22" i="9"/>
  <c r="O22" i="9" s="1"/>
  <c r="L327" i="13" s="1"/>
  <c r="E396" i="13"/>
  <c r="E29" i="10"/>
  <c r="F29" i="10" s="1"/>
  <c r="F397" i="13" s="1"/>
  <c r="B407" i="13"/>
  <c r="B39" i="10"/>
  <c r="A40" i="10"/>
  <c r="O60" i="9"/>
  <c r="L365" i="13" s="1"/>
  <c r="D473" i="13"/>
  <c r="F121" i="10"/>
  <c r="F473" i="13" s="1"/>
  <c r="D122" i="10"/>
  <c r="B479" i="13"/>
  <c r="B127" i="10"/>
  <c r="A128" i="10"/>
  <c r="C478" i="13"/>
  <c r="C126" i="10"/>
  <c r="D450" i="13"/>
  <c r="F90" i="10"/>
  <c r="K7" i="10"/>
  <c r="D431" i="13"/>
  <c r="D68" i="10"/>
  <c r="E472" i="13"/>
  <c r="E121" i="10"/>
  <c r="E430" i="13"/>
  <c r="E67" i="10"/>
  <c r="E449" i="13"/>
  <c r="E90" i="10"/>
  <c r="E450" i="13" s="1"/>
  <c r="K508" i="13" l="1"/>
  <c r="S7" i="10"/>
  <c r="M7" i="10"/>
  <c r="L508" i="13" s="1"/>
  <c r="F450" i="13"/>
  <c r="N7" i="10"/>
  <c r="B408" i="13"/>
  <c r="B40" i="10"/>
  <c r="A41" i="10"/>
  <c r="K327" i="13"/>
  <c r="N23" i="9"/>
  <c r="J328" i="13"/>
  <c r="M24" i="9"/>
  <c r="O23" i="9"/>
  <c r="L328" i="13" s="1"/>
  <c r="B480" i="13"/>
  <c r="A129" i="10"/>
  <c r="B128" i="10"/>
  <c r="J367" i="13"/>
  <c r="M63" i="9"/>
  <c r="D474" i="13"/>
  <c r="D123" i="10"/>
  <c r="E431" i="13"/>
  <c r="E68" i="10"/>
  <c r="D398" i="13"/>
  <c r="D31" i="10"/>
  <c r="F30" i="10"/>
  <c r="F398" i="13" s="1"/>
  <c r="E473" i="13"/>
  <c r="E122" i="10"/>
  <c r="D432" i="13"/>
  <c r="D69" i="10"/>
  <c r="F68" i="10"/>
  <c r="F432" i="13" s="1"/>
  <c r="C479" i="13"/>
  <c r="C127" i="10"/>
  <c r="K366" i="13"/>
  <c r="N62" i="9"/>
  <c r="F67" i="10"/>
  <c r="F431" i="13" s="1"/>
  <c r="C39" i="10"/>
  <c r="C407" i="13"/>
  <c r="E397" i="13"/>
  <c r="E30" i="10"/>
  <c r="D433" i="13" l="1"/>
  <c r="D70" i="10"/>
  <c r="K328" i="13"/>
  <c r="N24" i="9"/>
  <c r="B481" i="13"/>
  <c r="A130" i="10"/>
  <c r="B129" i="10"/>
  <c r="E398" i="13"/>
  <c r="E31" i="10"/>
  <c r="E432" i="13"/>
  <c r="E69" i="10"/>
  <c r="C480" i="13"/>
  <c r="C128" i="10"/>
  <c r="E474" i="13"/>
  <c r="E123" i="10"/>
  <c r="J329" i="13"/>
  <c r="M25" i="9"/>
  <c r="D399" i="13"/>
  <c r="D32" i="10"/>
  <c r="B409" i="13"/>
  <c r="A42" i="10"/>
  <c r="B41" i="10"/>
  <c r="D475" i="13"/>
  <c r="D124" i="10"/>
  <c r="M508" i="13"/>
  <c r="Q7" i="10"/>
  <c r="R7" i="10" s="1"/>
  <c r="O508" i="13" s="1"/>
  <c r="P7" i="10"/>
  <c r="P508" i="13" s="1"/>
  <c r="O7" i="10"/>
  <c r="N508" i="13" s="1"/>
  <c r="C408" i="13"/>
  <c r="C40" i="10"/>
  <c r="F122" i="10"/>
  <c r="F474" i="13" s="1"/>
  <c r="K367" i="13"/>
  <c r="N63" i="9"/>
  <c r="O62" i="9"/>
  <c r="L367" i="13" s="1"/>
  <c r="J368" i="13"/>
  <c r="M64" i="9"/>
  <c r="O63" i="9"/>
  <c r="L368" i="13" s="1"/>
  <c r="E475" i="13" l="1"/>
  <c r="E124" i="10"/>
  <c r="E433" i="13"/>
  <c r="E70" i="10"/>
  <c r="D476" i="13"/>
  <c r="F124" i="10"/>
  <c r="F476" i="13" s="1"/>
  <c r="D125" i="10"/>
  <c r="E399" i="13"/>
  <c r="E32" i="10"/>
  <c r="C481" i="13"/>
  <c r="C129" i="10"/>
  <c r="K368" i="13"/>
  <c r="N64" i="9"/>
  <c r="J330" i="13"/>
  <c r="O25" i="9"/>
  <c r="L330" i="13" s="1"/>
  <c r="M26" i="9"/>
  <c r="T6" i="10"/>
  <c r="D434" i="13"/>
  <c r="D71" i="10"/>
  <c r="C409" i="13"/>
  <c r="C41" i="10"/>
  <c r="B410" i="13"/>
  <c r="B42" i="10"/>
  <c r="A43" i="10"/>
  <c r="F31" i="10"/>
  <c r="F399" i="13" s="1"/>
  <c r="K329" i="13"/>
  <c r="N25" i="9"/>
  <c r="O24" i="9"/>
  <c r="L329" i="13" s="1"/>
  <c r="F69" i="10"/>
  <c r="F433" i="13" s="1"/>
  <c r="F123" i="10"/>
  <c r="F475" i="13" s="1"/>
  <c r="J369" i="13"/>
  <c r="M65" i="9"/>
  <c r="B482" i="13"/>
  <c r="B130" i="10"/>
  <c r="A131" i="10"/>
  <c r="D400" i="13"/>
  <c r="D33" i="10"/>
  <c r="J331" i="13" l="1"/>
  <c r="M27" i="9"/>
  <c r="K369" i="13"/>
  <c r="N65" i="9"/>
  <c r="E400" i="13"/>
  <c r="E33" i="10"/>
  <c r="F32" i="10"/>
  <c r="F400" i="13" s="1"/>
  <c r="D435" i="13"/>
  <c r="D72" i="10"/>
  <c r="F71" i="10"/>
  <c r="F435" i="13" s="1"/>
  <c r="C410" i="13"/>
  <c r="C42" i="10"/>
  <c r="D401" i="13"/>
  <c r="F33" i="10"/>
  <c r="F401" i="13" s="1"/>
  <c r="D34" i="10"/>
  <c r="D477" i="13"/>
  <c r="D126" i="10"/>
  <c r="B483" i="13"/>
  <c r="A132" i="10"/>
  <c r="B131" i="10"/>
  <c r="C482" i="13"/>
  <c r="C130" i="10"/>
  <c r="E434" i="13"/>
  <c r="E71" i="10"/>
  <c r="F70" i="10"/>
  <c r="F434" i="13" s="1"/>
  <c r="O64" i="9"/>
  <c r="L369" i="13" s="1"/>
  <c r="E476" i="13"/>
  <c r="E125" i="10"/>
  <c r="K330" i="13"/>
  <c r="N26" i="9"/>
  <c r="O26" i="9" s="1"/>
  <c r="L331" i="13" s="1"/>
  <c r="B411" i="13"/>
  <c r="B43" i="10"/>
  <c r="A44" i="10"/>
  <c r="M66" i="9"/>
  <c r="J370" i="13"/>
  <c r="D436" i="13" l="1"/>
  <c r="K6" i="10"/>
  <c r="C483" i="13"/>
  <c r="C131" i="10"/>
  <c r="B484" i="13"/>
  <c r="B132" i="10"/>
  <c r="A133" i="10"/>
  <c r="E477" i="13"/>
  <c r="E126" i="10"/>
  <c r="F126" i="10" s="1"/>
  <c r="F478" i="13" s="1"/>
  <c r="C411" i="13"/>
  <c r="C43" i="10"/>
  <c r="J332" i="13"/>
  <c r="M28" i="9"/>
  <c r="K331" i="13"/>
  <c r="N27" i="9"/>
  <c r="O27" i="9" s="1"/>
  <c r="L332" i="13" s="1"/>
  <c r="D402" i="13"/>
  <c r="D35" i="10"/>
  <c r="E435" i="13"/>
  <c r="E72" i="10"/>
  <c r="E436" i="13" s="1"/>
  <c r="E401" i="13"/>
  <c r="E34" i="10"/>
  <c r="J371" i="13"/>
  <c r="M67" i="9"/>
  <c r="N66" i="9"/>
  <c r="K370" i="13"/>
  <c r="O65" i="9"/>
  <c r="L370" i="13" s="1"/>
  <c r="B412" i="13"/>
  <c r="B44" i="10"/>
  <c r="A45" i="10"/>
  <c r="D478" i="13"/>
  <c r="D127" i="10"/>
  <c r="F125" i="10"/>
  <c r="F477" i="13" s="1"/>
  <c r="C484" i="13" l="1"/>
  <c r="C132" i="10"/>
  <c r="C412" i="13"/>
  <c r="C44" i="10"/>
  <c r="K371" i="13"/>
  <c r="N67" i="9"/>
  <c r="O66" i="9"/>
  <c r="L371" i="13" s="1"/>
  <c r="E402" i="13"/>
  <c r="E35" i="10"/>
  <c r="K507" i="13"/>
  <c r="D5" i="12"/>
  <c r="S6" i="10"/>
  <c r="M6" i="10"/>
  <c r="L507" i="13" s="1"/>
  <c r="J333" i="13"/>
  <c r="O28" i="9"/>
  <c r="L333" i="13" s="1"/>
  <c r="M29" i="9"/>
  <c r="J372" i="13"/>
  <c r="M68" i="9"/>
  <c r="B485" i="13"/>
  <c r="A134" i="10"/>
  <c r="B133" i="10"/>
  <c r="F34" i="10"/>
  <c r="F402" i="13" s="1"/>
  <c r="D479" i="13"/>
  <c r="D128" i="10"/>
  <c r="F72" i="10"/>
  <c r="E478" i="13"/>
  <c r="E127" i="10"/>
  <c r="D403" i="13"/>
  <c r="D36" i="10"/>
  <c r="F35" i="10"/>
  <c r="F403" i="13" s="1"/>
  <c r="A46" i="10"/>
  <c r="B413" i="13"/>
  <c r="B45" i="10"/>
  <c r="K332" i="13"/>
  <c r="N28" i="9"/>
  <c r="F436" i="13" l="1"/>
  <c r="N6" i="10"/>
  <c r="D480" i="13"/>
  <c r="D129" i="10"/>
  <c r="E403" i="13"/>
  <c r="E36" i="10"/>
  <c r="J334" i="13"/>
  <c r="M30" i="9"/>
  <c r="O29" i="9"/>
  <c r="L334" i="13" s="1"/>
  <c r="E479" i="13"/>
  <c r="E128" i="10"/>
  <c r="F127" i="10"/>
  <c r="F479" i="13" s="1"/>
  <c r="K372" i="13"/>
  <c r="N68" i="9"/>
  <c r="B486" i="13"/>
  <c r="A135" i="10"/>
  <c r="B134" i="10"/>
  <c r="C485" i="13"/>
  <c r="C133" i="10"/>
  <c r="K333" i="13"/>
  <c r="N29" i="9"/>
  <c r="D404" i="13"/>
  <c r="F36" i="10"/>
  <c r="F404" i="13" s="1"/>
  <c r="D37" i="10"/>
  <c r="C413" i="13"/>
  <c r="C45" i="10"/>
  <c r="J373" i="13"/>
  <c r="M69" i="9"/>
  <c r="O67" i="9"/>
  <c r="L372" i="13" s="1"/>
  <c r="B414" i="13"/>
  <c r="A47" i="10"/>
  <c r="B46" i="10"/>
  <c r="E480" i="13" l="1"/>
  <c r="E129" i="10"/>
  <c r="J335" i="13"/>
  <c r="M31" i="9"/>
  <c r="O30" i="9"/>
  <c r="L335" i="13" s="1"/>
  <c r="E404" i="13"/>
  <c r="E37" i="10"/>
  <c r="K373" i="13"/>
  <c r="N69" i="9"/>
  <c r="J374" i="13"/>
  <c r="M70" i="9"/>
  <c r="O69" i="9"/>
  <c r="L374" i="13" s="1"/>
  <c r="C414" i="13"/>
  <c r="C46" i="10"/>
  <c r="O68" i="9"/>
  <c r="L373" i="13" s="1"/>
  <c r="D405" i="13"/>
  <c r="D38" i="10"/>
  <c r="K334" i="13"/>
  <c r="N30" i="9"/>
  <c r="F128" i="10"/>
  <c r="F480" i="13" s="1"/>
  <c r="D481" i="13"/>
  <c r="F129" i="10"/>
  <c r="F481" i="13" s="1"/>
  <c r="D130" i="10"/>
  <c r="B487" i="13"/>
  <c r="B135" i="10"/>
  <c r="A136" i="10"/>
  <c r="M507" i="13"/>
  <c r="Q6" i="10"/>
  <c r="R6" i="10" s="1"/>
  <c r="O507" i="13" s="1"/>
  <c r="P6" i="10"/>
  <c r="P507" i="13" s="1"/>
  <c r="O6" i="10"/>
  <c r="N507" i="13" s="1"/>
  <c r="C486" i="13"/>
  <c r="C134" i="10"/>
  <c r="B415" i="13"/>
  <c r="B47" i="10"/>
  <c r="A48" i="10"/>
  <c r="C415" i="13" l="1"/>
  <c r="C47" i="10"/>
  <c r="J375" i="13"/>
  <c r="M71" i="9"/>
  <c r="E405" i="13"/>
  <c r="E38" i="10"/>
  <c r="C487" i="13"/>
  <c r="C135" i="10"/>
  <c r="D482" i="13"/>
  <c r="F130" i="10"/>
  <c r="F482" i="13" s="1"/>
  <c r="D131" i="10"/>
  <c r="B416" i="13"/>
  <c r="C41" i="12"/>
  <c r="B48" i="10"/>
  <c r="K335" i="13"/>
  <c r="N31" i="9"/>
  <c r="O31" i="9" s="1"/>
  <c r="L336" i="13" s="1"/>
  <c r="F37" i="10"/>
  <c r="F405" i="13" s="1"/>
  <c r="E481" i="13"/>
  <c r="E130" i="10"/>
  <c r="B488" i="13"/>
  <c r="B136" i="10"/>
  <c r="K374" i="13"/>
  <c r="N70" i="9"/>
  <c r="J336" i="13"/>
  <c r="M32" i="9"/>
  <c r="D406" i="13"/>
  <c r="D39" i="10"/>
  <c r="F38" i="10"/>
  <c r="F406" i="13" s="1"/>
  <c r="J337" i="13" l="1"/>
  <c r="M33" i="9"/>
  <c r="K375" i="13"/>
  <c r="N71" i="9"/>
  <c r="C416" i="13"/>
  <c r="C48" i="10"/>
  <c r="L5" i="10" s="1"/>
  <c r="D407" i="13"/>
  <c r="D40" i="10"/>
  <c r="D483" i="13"/>
  <c r="D132" i="10"/>
  <c r="F131" i="10"/>
  <c r="F483" i="13" s="1"/>
  <c r="E406" i="13"/>
  <c r="E39" i="10"/>
  <c r="J376" i="13"/>
  <c r="M72" i="9"/>
  <c r="O70" i="9"/>
  <c r="L375" i="13" s="1"/>
  <c r="C488" i="13"/>
  <c r="C136" i="10"/>
  <c r="L9" i="10" s="1"/>
  <c r="E482" i="13"/>
  <c r="E131" i="10"/>
  <c r="K336" i="13"/>
  <c r="N32" i="9"/>
  <c r="O32" i="9" s="1"/>
  <c r="L337" i="13" s="1"/>
  <c r="E407" i="13" l="1"/>
  <c r="E40" i="10"/>
  <c r="E483" i="13"/>
  <c r="E132" i="10"/>
  <c r="D484" i="13"/>
  <c r="F132" i="10"/>
  <c r="F484" i="13" s="1"/>
  <c r="D133" i="10"/>
  <c r="D408" i="13"/>
  <c r="D41" i="10"/>
  <c r="F40" i="10"/>
  <c r="F408" i="13" s="1"/>
  <c r="K337" i="13"/>
  <c r="N33" i="9"/>
  <c r="F39" i="10"/>
  <c r="F407" i="13" s="1"/>
  <c r="J377" i="13"/>
  <c r="M73" i="9"/>
  <c r="O72" i="9"/>
  <c r="L377" i="13" s="1"/>
  <c r="J338" i="13"/>
  <c r="M34" i="9"/>
  <c r="K376" i="13"/>
  <c r="N72" i="9"/>
  <c r="O71" i="9"/>
  <c r="L376" i="13" s="1"/>
  <c r="K338" i="13" l="1"/>
  <c r="N34" i="9"/>
  <c r="O34" i="9" s="1"/>
  <c r="L339" i="13" s="1"/>
  <c r="D409" i="13"/>
  <c r="D42" i="10"/>
  <c r="D485" i="13"/>
  <c r="D134" i="10"/>
  <c r="E484" i="13"/>
  <c r="E133" i="10"/>
  <c r="E408" i="13"/>
  <c r="E41" i="10"/>
  <c r="F41" i="10" s="1"/>
  <c r="F409" i="13" s="1"/>
  <c r="J378" i="13"/>
  <c r="M74" i="9"/>
  <c r="K377" i="13"/>
  <c r="N73" i="9"/>
  <c r="O73" i="9" s="1"/>
  <c r="L378" i="13" s="1"/>
  <c r="J339" i="13"/>
  <c r="M35" i="9"/>
  <c r="O33" i="9"/>
  <c r="L338" i="13" s="1"/>
  <c r="D486" i="13" l="1"/>
  <c r="D135" i="10"/>
  <c r="E485" i="13"/>
  <c r="E134" i="10"/>
  <c r="D410" i="13"/>
  <c r="D43" i="10"/>
  <c r="J379" i="13"/>
  <c r="O74" i="9"/>
  <c r="L379" i="13" s="1"/>
  <c r="T10" i="10"/>
  <c r="T9" i="10"/>
  <c r="K339" i="13"/>
  <c r="N35" i="9"/>
  <c r="O35" i="9" s="1"/>
  <c r="L340" i="13" s="1"/>
  <c r="E409" i="13"/>
  <c r="E42" i="10"/>
  <c r="F42" i="10" s="1"/>
  <c r="F410" i="13" s="1"/>
  <c r="F133" i="10"/>
  <c r="F485" i="13" s="1"/>
  <c r="J340" i="13"/>
  <c r="M36" i="9"/>
  <c r="K378" i="13"/>
  <c r="N74" i="9"/>
  <c r="K379" i="13" s="1"/>
  <c r="J341" i="13" l="1"/>
  <c r="M37" i="9"/>
  <c r="D487" i="13"/>
  <c r="D136" i="10"/>
  <c r="E410" i="13"/>
  <c r="E43" i="10"/>
  <c r="K340" i="13"/>
  <c r="N36" i="9"/>
  <c r="D411" i="13"/>
  <c r="D44" i="10"/>
  <c r="F43" i="10"/>
  <c r="F411" i="13" s="1"/>
  <c r="E486" i="13"/>
  <c r="E135" i="10"/>
  <c r="F134" i="10"/>
  <c r="F486" i="13" s="1"/>
  <c r="E487" i="13" l="1"/>
  <c r="E136" i="10"/>
  <c r="E488" i="13" s="1"/>
  <c r="D412" i="13"/>
  <c r="D45" i="10"/>
  <c r="K341" i="13"/>
  <c r="N37" i="9"/>
  <c r="J342" i="13"/>
  <c r="M38" i="9"/>
  <c r="T8" i="10"/>
  <c r="E411" i="13"/>
  <c r="E44" i="10"/>
  <c r="D488" i="13"/>
  <c r="K9" i="10"/>
  <c r="F136" i="10"/>
  <c r="F135" i="10"/>
  <c r="F487" i="13" s="1"/>
  <c r="O36" i="9"/>
  <c r="L341" i="13" s="1"/>
  <c r="K510" i="13" l="1"/>
  <c r="M9" i="10"/>
  <c r="L510" i="13" s="1"/>
  <c r="D6" i="12"/>
  <c r="F6" i="12" s="1"/>
  <c r="C6" i="12" s="1"/>
  <c r="S9" i="10"/>
  <c r="K342" i="13"/>
  <c r="N38" i="9"/>
  <c r="F488" i="13"/>
  <c r="N9" i="10"/>
  <c r="E412" i="13"/>
  <c r="E45" i="10"/>
  <c r="O37" i="9"/>
  <c r="L342" i="13" s="1"/>
  <c r="D413" i="13"/>
  <c r="F45" i="10"/>
  <c r="F413" i="13" s="1"/>
  <c r="D46" i="10"/>
  <c r="J343" i="13"/>
  <c r="O38" i="9"/>
  <c r="L343" i="13" s="1"/>
  <c r="M39" i="9"/>
  <c r="F44" i="10"/>
  <c r="F412" i="13" s="1"/>
  <c r="D9" i="12" l="1"/>
  <c r="Q9" i="10"/>
  <c r="P9" i="10"/>
  <c r="M510" i="13"/>
  <c r="O9" i="10"/>
  <c r="N510" i="13" s="1"/>
  <c r="R9" i="10"/>
  <c r="E413" i="13"/>
  <c r="E46" i="10"/>
  <c r="F46" i="10" s="1"/>
  <c r="F414" i="13" s="1"/>
  <c r="D414" i="13"/>
  <c r="D47" i="10"/>
  <c r="K343" i="13"/>
  <c r="N39" i="9"/>
  <c r="K344" i="13" s="1"/>
  <c r="J344" i="13"/>
  <c r="D34" i="12"/>
  <c r="T5" i="10"/>
  <c r="T7" i="10"/>
  <c r="D415" i="13" l="1"/>
  <c r="D48" i="10"/>
  <c r="E414" i="13"/>
  <c r="E47" i="10"/>
  <c r="O39" i="9"/>
  <c r="L344" i="13" s="1"/>
  <c r="O510" i="13"/>
  <c r="C10" i="12"/>
  <c r="D10" i="12"/>
  <c r="P510" i="13"/>
  <c r="E9" i="12"/>
  <c r="F9" i="12" s="1"/>
  <c r="C9" i="12" s="1"/>
  <c r="D11" i="12"/>
  <c r="C11" i="12"/>
  <c r="E415" i="13" l="1"/>
  <c r="E48" i="10"/>
  <c r="E416" i="13" s="1"/>
  <c r="D416" i="13"/>
  <c r="K5" i="10"/>
  <c r="F47" i="10"/>
  <c r="F415" i="13" s="1"/>
  <c r="F48" i="10" l="1"/>
  <c r="K506" i="13"/>
  <c r="D42" i="12"/>
  <c r="C42" i="12"/>
  <c r="M5" i="10"/>
  <c r="L506" i="13" s="1"/>
  <c r="S5" i="10"/>
  <c r="E34" i="12"/>
  <c r="F34" i="12" s="1"/>
  <c r="C34" i="12" s="1"/>
  <c r="E5" i="12"/>
  <c r="F5" i="12" s="1"/>
  <c r="C5" i="12" s="1"/>
  <c r="F416" i="13" l="1"/>
  <c r="N5" i="10"/>
  <c r="M506" i="13" l="1"/>
  <c r="O5" i="10"/>
  <c r="N506" i="13" s="1"/>
  <c r="Q5" i="10"/>
  <c r="R5" i="10" s="1"/>
  <c r="P5" i="10"/>
  <c r="P506" i="13" s="1"/>
  <c r="O506" i="13" l="1"/>
  <c r="C36" i="12"/>
  <c r="C50" i="12" s="1"/>
</calcChain>
</file>

<file path=xl/sharedStrings.xml><?xml version="1.0" encoding="utf-8"?>
<sst xmlns="http://schemas.openxmlformats.org/spreadsheetml/2006/main" count="3182" uniqueCount="591">
  <si>
    <t>Oráculo del conjunto de referencia (5.2) del Proyecto 077</t>
  </si>
  <si>
    <t>Plataforma de gestión de activos financieros. Estadía de Ramon Ernesto Nieblas Mendivil en PluriOne S.A. de C.V. Construido el jueves 15 de octubre de 2026, antes de programar el motor; lo congela un commit en el repositorio.</t>
  </si>
  <si>
    <t>Qué es</t>
  </si>
  <si>
    <t>Es el oráculo de la sección 5.2 del SRS: un escenario con un usuario de prueba (oraculo@example.com), dos portafolios (Principal y Secundario), dos intermediarios (Casa A y Casa B), tres instrumentos de demostración (DEMOACC, DEMOETF y DEMOFIB) y cuatro emisiones de CETES (BI261008, BI261105, BI261217 y BI270318), con las cifras que el motor único debe reproducir: costo y resultado no realizado por intermediario, valor de mercado, valuación de CETES (RF-26b), liquidación al vencimiento (RF-26a), serie diaria, TWR y máxima caída.</t>
  </si>
  <si>
    <t>Cada cifra de este libro es una fórmula visible que parte de las entradas, escritas en azul. Ninguna cifra se calculó fuera de la hoja y se pegó como valor. El libro lo arma genera_libro.py y lo recalcula Excel.</t>
  </si>
  <si>
    <t>Las mismas cifras se obtuvieron por un segundo camino independiente: calcula_oraculo.py, en Python con decimal de 28 dígitos y algoritmos distintos (costo total por par en un ciclo diario, en vez de kardex y SUMIFS). compara_vias.py las compara una por una; el resultado está en comparacion_vias.csv y en el README.</t>
  </si>
  <si>
    <t>pytest compara el motor contra esperados/*.csv, que tienen las cifras de Python sin redondear, con las tolerancias de RNF-01: 0.01 en importes y 0.001 puntos porcentuales en TWR y máxima caída; y comprueba los rechazos de rechazos_rf28.csv (hoja Rechazos).</t>
  </si>
  <si>
    <t>Cómo leerlo</t>
  </si>
  <si>
    <t>Colores: azul = entrada escrita a mano (de entradas/*.csv); se puede cambiar su valor dentro de la estructura existente (precios, tasas, cantidades, importes, fechas de transacciones). Gris = rótulo de estructura (la fecha, el portafolio, el instrumento y el intermediario de cada fila de Valuación diaria, CETES, Serie, Precios y Posiciones): define qué filas existen y no se edita en la hoja; para agregar pares, fechas, cortes o periodos, o cambiar el inicio o el fin de un periodo, se cambian entradas/*.csv y se regenera el libro con genera_libro.py. Negro = fórmula. Fuente Arial en todo el libro.</t>
  </si>
  <si>
    <t>Unidades: importes en pesos (MXN), sin redondear (se muestran con 4 decimales). Tasas en por ciento anual. r(t), índices, TWR y caídas como fracción (0.01 = 1 %), con su equivalente en por ciento. P de CETES con 7 decimales.</t>
  </si>
  <si>
    <t>• Entradas: Parámetros (intervalo, serie, usuario), cortes, periodos, portafolios, intermediarios, instrumentos, fuentes, versiones de licencia, cargas y el calendario completo de días sin operaciones de 2026 (114 fechas).</t>
  </si>
  <si>
    <t>• Transacciones: T01 a T16 (entradas) y, por fórmula: monto, costo o ingreso por título, aportación A, retiro R y el kardex del costo promedio por par portafolio-instrumento-intermediario.</t>
  </si>
  <si>
    <t>• Precios: Cierres sintéticos de demostración y el cierre usado en cada día natural (con su fecha).</t>
  </si>
  <si>
    <t>• Tasas: Las 32 colocaciones del CF107 del 27/08 al 15/10/2026, con plazo efectivo y fuentes.</t>
  </si>
  <si>
    <t>• CETES: Por fecha y emisión: d, colocación, tasa y plazo efectivo vigentes en los cinco plazos, los dos nodos usados, r, P sin redondear y P = ROUND(…; 7).</t>
  </si>
  <si>
    <t>• Valuación diaria: Cada día natural × cada par: títulos, costo unitario, costo total, precio o P, valor, resultado y liquidación por vencimiento.</t>
  </si>
  <si>
    <t>• Posiciones: Los cuatro cortes (13/09, 16/09, 08/10, 14/10): por intermediario, consolidado por instrumento y totales, con la comparación contra V(t).</t>
  </si>
  <si>
    <t>• Serie: Por día natural y portafolio: V, A, R, r, I, máximo y caída (periodo completo, base 10/09).</t>
  </si>
  <si>
    <t>• Periodos: P1-A, P1-B, P1-C, P1-D, P2-A y P2-C: TWR por tres caminos (índice final, PRODUCT y la Serie), máxima caída, pico y valle.</t>
  </si>
  <si>
    <t>• Rechazos: N1 a N8 (candidatos que se rechazan, con su regla, la fecha del primer saldo negativo y el saldo) y el caso positivo C1.</t>
  </si>
  <si>
    <t>• Comprobaciones: Cifras por dos caminos y reglas de las entradas; la última fila debe decir VERDADERO.</t>
  </si>
  <si>
    <t>• Esperados: Las cifras finales, por secciones con los nombres y columnas de los CSV de esperados/.</t>
  </si>
  <si>
    <t>Reglas aplicadas (y su origen)</t>
  </si>
  <si>
    <t>• Portafolio sin efectivo. Cada compra es una aportación A = títulos × precio + importe; cada venta, un retiro R = títulos × precio − importe; cada vencimiento de CETES, un retiro R = títulos × 10.00, sin ISR.  [RF-09 crit. 2; RF-26a crit. 1; P-09; P-16; S-14]</t>
  </si>
  <si>
    <t>• Fecha de concertación, corte inclusivo y compras antes que ventas el mismo día.  [RF-06 crit. 2; RF-08 crit. 3; P-09]</t>
  </si>
  <si>
    <t>• Posición = suma de los saldos por intermediario dentro del portafolio; sin emisiones vencidas (0 desde el vencimiento). Títulos enteros. Otro portafolio no cuenta.  [RF-06; RF-26a; 3.4.3; X-06; P-07]</t>
  </si>
  <si>
    <t>• Costo promedio ponderado por intermediario en cada portafolio: costo por título de una compra = (títulos × precio + importe) / títulos; una venta no cambia el costo unitario; con saldo 0 se reinicia. Resultado no realizado = valor − títulos × costo unitario.  [RF-05; RF-08; P-10; X-03]</t>
  </si>
  <si>
    <t>• Valor = títulos × último cierre igual o anterior a la fecha (días sin cierre: el último disponible).  [RF-08 crit. 4; P-09]</t>
  </si>
  <si>
    <t>• CETES: d = días naturales al vencimiento (≥ 1); en cada plazo nominal rige la última colocación con fecha igual o anterior a la de valuación, con su plazo efectivo; interpolación lineal por plazo efectivo y, fuera del rango, la tasa del extremo; r sin redondear; P = 10.00 / (1 + r/100 × d/360) a 7 decimales, mitad alejándose de cero; valor = títulos × P.  [RF-26b; P-11; R-14; RD-16]</t>
  </si>
  <si>
    <t>• TWR: r(t) = [V(t) + R(t)] / [V(t−1) + A(t)] − 1; TWR = Π[1 + r(t)] − 1, sin anualizar.  [RF-09; P-09]</t>
  </si>
  <si>
    <t>• Máxima caída: I(t) = Π[1 + r(s)], s ≤ t; mín{I(t) / máx[I(u), u ≤ t]} − 1, negativa o cero, sobre el índice del TWR y no sobre el valor.  [RF-10; P-09]</t>
  </si>
  <si>
    <t>• Sin redondeo salvo P (7 decimales). Importes con 4 decimales o más y por cientos con 6 o más; comparación sin redondear.  [RD-12; RD-16; P-13; RNF-01]</t>
  </si>
  <si>
    <t>• Ningún saldo de un instrumento con un intermediario, dentro del portafolio, queda negativo en ninguna fecha; ninguna transacción de una emisión en o después de su vencimiento.  [RF-28; RF-26a crit. 2]</t>
  </si>
  <si>
    <t>• Intervalo de las semillas: del 10/09 al 14/10/2026 (fijado al congelar 5.2). Semilla de tasas: colocaciones del 27/08 al 15/10, con una de cada plazo anterior al intervalo.  [S-09; P-14; RF-30 crit. 1]</t>
  </si>
  <si>
    <t>Recomendaciones de 3.2 aplicadas (los ⟦decidir: recomendado⟧, registrados como tales)</t>
  </si>
  <si>
    <t>• RF-09: serie diaria en días naturales (los fines de semana y el 16/09 tienen r ≠ 0 por los CETES).</t>
  </si>
  <si>
    <t>• RF-09: factor 1 (r = 0) si el denominador V(t−1) + A(t) es 0 (P2 del 11/09 al 13/09).</t>
  </si>
  <si>
    <t>• RF-04 crit. 3: claves ficticias con prefijo DEMO y marca de demostración.</t>
  </si>
  <si>
    <t>• RF-05 crit. 2: importe con 2 decimales que admite 0 (CETES sin comisión); una venta con importe igual o mayor que títulos × precio se rechaza.</t>
  </si>
  <si>
    <t>• RF-09 crit. 3: se rechazan un periodo con fin anterior al inicio y fechas fuera de las semillas (rechazos_rf28.csv, N7 y N8).</t>
  </si>
  <si>
    <t>Decisiones abiertas de 3.2 que el oráculo fija (⟦decidir⟧ sin recomendación; Ramon debe confirmarlas)</t>
  </si>
  <si>
    <t>• RF-09: la serie parte del cierre del día previo al inicio del periodo (bases V(10/09), V(30/09) y V(08/10)).</t>
  </si>
  <si>
    <t>• RF-10: I = 1 al inicio como primer máximo (en P1-C y P2-C el pico es la fecha base).</t>
  </si>
  <si>
    <t>Decisiones y convenciones del oráculo</t>
  </si>
  <si>
    <t>• P-16 (delegada en Claude): precio por título e importe de comisiones con IVA por separado (S-08); liquidación al valor nominal antes del ISR (S-14); la reinversión se registra como compra (T16).</t>
  </si>
  <si>
    <t>• Compras de CETES (T03, T04, T08, T09 y T16): compras en mercado secundario, concertadas ese día al P de RF-26b del día (P-09; 4.4, fecha de concertación). El día de la compra d es un nodo exacto (28, 91, 182 y 28), así que P coincide con el precio de la colocación de esa semana. No se modelan como compras en subasta: su concertación sería el martes de la subasta y T03 y T04 caerían el 08/09, antes del intervalo de las semillas.</t>
  </si>
  <si>
    <t>• Comisión sintética de 0.29 % (0.25 % más IVA de 16 %), redondeada al centavo, solo para generar los datos; el motor no la usa.</t>
  </si>
  <si>
    <t>• Venta secundaria de CETES (T13) al P de RF-26b del día, sin comisión.</t>
  </si>
  <si>
    <t>• DEMOFIB no tiene cierre el 08/10 (día hábil sin cierre de un instrumento): se valúa con el del 07/10.</t>
  </si>
  <si>
    <t>• Costo unitario 0 cuando el saldo es 0. Si la máxima caída es 0, pico y valle quedan vacíos; si el máximo es el I = 1 inicial, el pico es la fecha base.</t>
  </si>
  <si>
    <t>• Pico: la primera fecha (la más antigua, contando la fecha base con I = 1) en que I alcanza el máximo vigente en el valle. Valle: la primera fecha con la caída mínima. En P2-A, I(16/09) = I(15/09) porque el 16/09 es festivo y Secundario no tiene CETES; por esta regla, el pico es el 15/09.</t>
  </si>
  <si>
    <t>• Versión de licencia de la semilla sintética: propuesta del oráculo (RF-31 crit. 1 la deja ⟦decidir⟧). Las cargas registran 0 observaciones omitidas porque los CSV solo traen observaciones publicadas.</t>
  </si>
  <si>
    <t>Fuentes</t>
  </si>
  <si>
    <t>• Tasas: Banco de México, Sistema de Información Económica, cuadro CF107 «Valores gubernamentales. Resultados de la subasta», https://www.banxico.org.mx/SieInternet/consultarDirectorioInternetAction.do?sector=22&amp;accion=consultarCuadro&amp;idCuadro=CF107&amp;locale=es, y su JSON público consultaSerieGrafica.do; consultados el 15/10/2026; copias en fuentes/ (cf107_5oct.html, cf107_6oct.html, cf107_15oct.html y sie_json/). Atribución: «Fuente: Banco de México, https://www.banxico.org.mx».</t>
  </si>
  <si>
    <t>• Calendario: DOF del 10/12/2025, CNBV, días de 2026 en que las entidades financieras suspenden operaciones, art. 1 (https://dof.gob.mx/nota_detalle.php?codigo=5775684&amp;fecha=10/12/2025), y Grupo BMV, Calendario de días festivos (https://www.bmv.com.mx/es/grupo-bmv/calendario-de-dias-festivos), consultado el 15/10/2026.</t>
  </si>
  <si>
    <t>• Precios de DEMOACC, DEMOETF y DEMOFIB: sintéticos de demostración, no son precios reales (R-04, R-05, RF-07).</t>
  </si>
  <si>
    <t>Pendientes antes de congelar</t>
  </si>
  <si>
    <t>• Confirmar con una segunda fuente (CF107 con rango de fechas o API con token) la tasa a 28 días del 10/09/2026, 6.25000 % con plazo efectivo 28: es la única de una sola fuente que mueve cifras (T03, T04 y BI261008 del 10/09 al 16/09). Las del 27/08 y 03/09 también tienen una sola fuente, pero no mueven cifras.</t>
  </si>
  <si>
    <t>• Confirmar las dos decisiones abiertas de 3.2 que el oráculo fija (arriba) y la licencia de la semilla sintética; agregar a la ficha de RF-10 la regla del pico y del valle con empates.</t>
  </si>
  <si>
    <t>• Revisar las fórmulas y congelar con un commit antes de programar el motor (este trabajo no tocó el repositorio).</t>
  </si>
  <si>
    <t>Cómo recalcular</t>
  </si>
  <si>
    <t>Desde la carpeta del oráculo (la del README), con PYTHONIOENCODING=utf-8:  python -I -B calcula_oraculo.py  →  python -B genera_libro.py  →  powershell.exe -NoProfile -ExecutionPolicy Bypass -File scripts/recalc_excel.ps1 oraculo_5_2.xlsx  →  python -B compara_vias.py. Los dos que usan openpyxl van sin -I (openpyxl está en el site-packages del usuario, que -I excluye); la carpeta no tiene archivos .py que tapen la biblioteca estándar. La hoja Comprobaciones debe terminar en VERDADERO.</t>
  </si>
  <si>
    <t>Entradas del oráculo (5.2)</t>
  </si>
  <si>
    <t>Azul: entrada escrita a mano (de entradas/*.csv). Negro: fórmula. Gris: rótulo de estructura. Las llaves sustitutas (id) las asigna la base; aquí cada fila se liga por llave natural. Una celda vacía en una columna que admite nulos (direccion, obligacion_suprimir) es NULL.</t>
  </si>
  <si>
    <t>Parámetros (S-09, P-14)</t>
  </si>
  <si>
    <t>parámetro</t>
  </si>
  <si>
    <t>valor</t>
  </si>
  <si>
    <t>descripción</t>
  </si>
  <si>
    <t>intervalo_semillas_inicio</t>
  </si>
  <si>
    <t>Primer dia del intervalo de las semillas de precios (S-09, P-14); dia de las primeras compras</t>
  </si>
  <si>
    <t>intervalo_semillas_fin</t>
  </si>
  <si>
    <t>Ultimo dia del intervalo de las semillas de precios (S-09, P-14)</t>
  </si>
  <si>
    <t>serie_inicio</t>
  </si>
  <si>
    <t>Cierre base de la serie diaria: V(10/09), I = 1</t>
  </si>
  <si>
    <t>serie_fin</t>
  </si>
  <si>
    <t>Ultimo dia de la serie diaria</t>
  </si>
  <si>
    <t>usuario_correo</t>
  </si>
  <si>
    <t>oraculo@example.com</t>
  </si>
  <si>
    <t>Usuario de prueba con datos ficticios (S-04)</t>
  </si>
  <si>
    <t>Fechas de corte</t>
  </si>
  <si>
    <t>fecha_corte</t>
  </si>
  <si>
    <t>motivo</t>
  </si>
  <si>
    <t>Domingo: se valua con los cierres del 11/09 (criterio 4 de RF-08); P2 aun sin posicion</t>
  </si>
  <si>
    <t>Festivo (DOF 10/12/2025): se valua con los cierres del 15/09; DEMOACC en dos intermediarios (OE-5)</t>
  </si>
  <si>
    <t>Vencimiento de BI261008 y reinversion T16; DEMOFIB sin cierre ese dia (usa el del 07/10)</t>
  </si>
  <si>
    <t>Corte final del periodo</t>
  </si>
  <si>
    <t>Periodos de TWR y máxima caída</t>
  </si>
  <si>
    <t>Cambiar el inicio o el fin de un periodo exige editar entradas/periodos.csv y volver a correr genera_libro.py: los bloques diarios de Periodos tienen un largo fijo (Comprobaciones lo verifica).</t>
  </si>
  <si>
    <t>periodo</t>
  </si>
  <si>
    <t>portafolio_nombre</t>
  </si>
  <si>
    <t>inicio</t>
  </si>
  <si>
    <t>fin</t>
  </si>
  <si>
    <t>propósito</t>
  </si>
  <si>
    <t>P1-A</t>
  </si>
  <si>
    <t>Principal</t>
  </si>
  <si>
    <t>Periodo completo (base V(10/09))</t>
  </si>
  <si>
    <t>P1-B</t>
  </si>
  <si>
    <t>Primer tramo; encadenamiento con P1-C</t>
  </si>
  <si>
    <t>P1-C</t>
  </si>
  <si>
    <t>Segundo tramo (base V(30/09)); r(01/10) &lt; 0, el maximo es I = 1</t>
  </si>
  <si>
    <t>P1-D</t>
  </si>
  <si>
    <t>Serie que no baja: maxima caida 0 (criterio 2 de RF-10)</t>
  </si>
  <si>
    <t>P2-A</t>
  </si>
  <si>
    <t>Secundario</t>
  </si>
  <si>
    <t>Factor 1 con denominador 0 del 11/09 al 13/09; comprobacion por dos caminos</t>
  </si>
  <si>
    <t>P2-C</t>
  </si>
  <si>
    <t>Sin flujos (criterio 1 de RF-09)</t>
  </si>
  <si>
    <t>Portafolios (usuario de prueba, S-04)</t>
  </si>
  <si>
    <t>nombre</t>
  </si>
  <si>
    <t>divisa_base</t>
  </si>
  <si>
    <t>MXN</t>
  </si>
  <si>
    <t>Intermediarios (RF-25)</t>
  </si>
  <si>
    <t>Casa A</t>
  </si>
  <si>
    <t>Casa B</t>
  </si>
  <si>
    <t>Instrumentos (instrumento y emision_cetes; RF-04)</t>
  </si>
  <si>
    <t>clave</t>
  </si>
  <si>
    <t>clase_activo</t>
  </si>
  <si>
    <t>divisa</t>
  </si>
  <si>
    <t>de_demostracion</t>
  </si>
  <si>
    <t>vencimiento</t>
  </si>
  <si>
    <t>valor_nominal</t>
  </si>
  <si>
    <t>¿clave válida? (RF-04, RD-04)</t>
  </si>
  <si>
    <t>¿marca congruente?</t>
  </si>
  <si>
    <t>DEMOACC</t>
  </si>
  <si>
    <t>Acción de demostración</t>
  </si>
  <si>
    <t>accion</t>
  </si>
  <si>
    <t>DEMOETF</t>
  </si>
  <si>
    <t>ETF de demostración</t>
  </si>
  <si>
    <t>etf</t>
  </si>
  <si>
    <t>DEMOFIB</t>
  </si>
  <si>
    <t>FIBRA de demostración</t>
  </si>
  <si>
    <t>fibra</t>
  </si>
  <si>
    <t>BI261008</t>
  </si>
  <si>
    <t>CETES con vencimiento el 08/10/2026</t>
  </si>
  <si>
    <t>cetes</t>
  </si>
  <si>
    <t>BI261105</t>
  </si>
  <si>
    <t>CETES con vencimiento el 05/11/2026</t>
  </si>
  <si>
    <t>BI261217</t>
  </si>
  <si>
    <t>CETES con vencimiento el 17/12/2026</t>
  </si>
  <si>
    <t>BI270318</t>
  </si>
  <si>
    <t>CETES con vencimiento el 18/03/2027</t>
  </si>
  <si>
    <t>Fuentes de datos (fuente_datos; RF-31)</t>
  </si>
  <si>
    <t>direccion</t>
  </si>
  <si>
    <t>Banco de México</t>
  </si>
  <si>
    <t>https://www.banxico.org.mx</t>
  </si>
  <si>
    <t>Semilla sintetica de demostracion 077</t>
  </si>
  <si>
    <t>Versiones de licencia (version_licencia; RF-31 crit. 1; R-05; D-03)</t>
  </si>
  <si>
    <t>fuente_nombre</t>
  </si>
  <si>
    <t>version</t>
  </si>
  <si>
    <t>usos_permitidos</t>
  </si>
  <si>
    <t>obligacion_suprimir</t>
  </si>
  <si>
    <t>atribucion</t>
  </si>
  <si>
    <t>1</t>
  </si>
  <si>
    <t>Reproducir y utilizar la información que publica el Banco de México, con la sola condición de mencionar la fuente y su dirección de Internet (R-05; D-03)</t>
  </si>
  <si>
    <t>Fuente: Banco de México, https://www.banxico.org.mx</t>
  </si>
  <si>
    <t>Datos sintéticos creados para el Proyecto 077: uso libre dentro de la aplicación y sus pruebas, solo como datos de demostración</t>
  </si>
  <si>
    <t>Datos de demostración: precios sintéticos, no son precios reales</t>
  </si>
  <si>
    <t>Cargas de datos (carga_datos; RF-07, RF-30, RF-31 crit. 1)</t>
  </si>
  <si>
    <t>carga</t>
  </si>
  <si>
    <t>origen</t>
  </si>
  <si>
    <t>fecha_inicial</t>
  </si>
  <si>
    <t>fecha_final</t>
  </si>
  <si>
    <t>resultado</t>
  </si>
  <si>
    <t>observaciones_incorporadas</t>
  </si>
  <si>
    <t>observaciones_omitidas</t>
  </si>
  <si>
    <t>valores_sustituidos</t>
  </si>
  <si>
    <t>filas de la semilla con esta carga</t>
  </si>
  <si>
    <t>primera fecha de sus datos</t>
  </si>
  <si>
    <t>última fecha de sus datos</t>
  </si>
  <si>
    <t>¿cuadra con la semilla?</t>
  </si>
  <si>
    <t>C-PRECIOS</t>
  </si>
  <si>
    <t>semilla</t>
  </si>
  <si>
    <t>completa</t>
  </si>
  <si>
    <t>{}</t>
  </si>
  <si>
    <t>C-TASAS</t>
  </si>
  <si>
    <t>Días sin operaciones de 2026 (DOF 10/12/2025, CNBV, art. 1; Grupo BMV)</t>
  </si>
  <si>
    <t>Calendario completo: los 104 sábados y domingos de 2026 y los festivos de las fracciones I a VIII (el 12/12 cae en sábado), 114 fechas.</t>
  </si>
  <si>
    <t>fecha</t>
  </si>
  <si>
    <t>día</t>
  </si>
  <si>
    <t>tipo</t>
  </si>
  <si>
    <t>jueves</t>
  </si>
  <si>
    <t>festivo</t>
  </si>
  <si>
    <t>Año Nuevo (art. 1, fr. I)</t>
  </si>
  <si>
    <t>sábado</t>
  </si>
  <si>
    <t>fin de semana</t>
  </si>
  <si>
    <t>Sábados y domingos (art. 1, fr. IX)</t>
  </si>
  <si>
    <t>domingo</t>
  </si>
  <si>
    <t>lunes</t>
  </si>
  <si>
    <t>Primer lunes de febrero, conmemoración del 5 de febrero (fr. II)</t>
  </si>
  <si>
    <t>Tercer lunes de marzo, conmemoración del 21 de marzo (fr. III)</t>
  </si>
  <si>
    <t>Jueves Santo (fr. IV)</t>
  </si>
  <si>
    <t>viernes</t>
  </si>
  <si>
    <t>Viernes Santo (fr. IV)</t>
  </si>
  <si>
    <t>Día del Trabajo (fr. V)</t>
  </si>
  <si>
    <t>miércoles</t>
  </si>
  <si>
    <t>Día de la Independencia (fr. VI)</t>
  </si>
  <si>
    <t>Día de Muertos (fr. VII)</t>
  </si>
  <si>
    <t>Tercer lunes de noviembre, conmemoración del 20 de noviembre (fr. VII)</t>
  </si>
  <si>
    <t>Día del empleado bancario (fr. VIII); cae en sábado</t>
  </si>
  <si>
    <t>Navidad (fr. VIII)</t>
  </si>
  <si>
    <t>Transacciones (RF-05) y costo promedio por intermediario (RF-08)</t>
  </si>
  <si>
    <t>A–J: entradas (transaccion de 4.4). K–AF: fórmulas. El kardex (T–Z) procesa cada par portafolio|instrumento|intermediario en orden: fecha, compras antes que ventas (U = orden). Una venta no cambia el costo unitario; con saldo 0 se reinicia. AE–AF: la cuadrícula de Valuación diaria cubre el par y la fecha de la transacción (si se cambia un par a uno sin filas, AF da FALSO).</t>
  </si>
  <si>
    <t>ref</t>
  </si>
  <si>
    <t>intermediario_nombre</t>
  </si>
  <si>
    <t>instrumento_clave</t>
  </si>
  <si>
    <t>fecha_concertacion</t>
  </si>
  <si>
    <t>cantidad</t>
  </si>
  <si>
    <t>precio</t>
  </si>
  <si>
    <t>importe_comisiones</t>
  </si>
  <si>
    <t>signo</t>
  </si>
  <si>
    <t>cantidad con signo</t>
  </si>
  <si>
    <t>monto = títulos × precio</t>
  </si>
  <si>
    <t>costo por título (compra)</t>
  </si>
  <si>
    <t>ingreso por título (venta)</t>
  </si>
  <si>
    <t>aportación A</t>
  </si>
  <si>
    <t>retiro R</t>
  </si>
  <si>
    <t>llave del par</t>
  </si>
  <si>
    <t>orden (fecha, compras antes que ventas)</t>
  </si>
  <si>
    <t>saldo previo del par</t>
  </si>
  <si>
    <t>saldo después</t>
  </si>
  <si>
    <t>orden de la transacción previa del par</t>
  </si>
  <si>
    <t>costo unitario previo</t>
  </si>
  <si>
    <t>costo unitario después</t>
  </si>
  <si>
    <t>P de RF-26b ese día (CETES)</t>
  </si>
  <si>
    <t>¿precio = P?</t>
  </si>
  <si>
    <t>días al vencimiento</t>
  </si>
  <si>
    <t>¿importe &lt; monto? (venta)</t>
  </si>
  <si>
    <t>títulos del par en Valuación diaria ese día</t>
  </si>
  <si>
    <t>¿cuadra con el historial?</t>
  </si>
  <si>
    <t>T01</t>
  </si>
  <si>
    <t>compra</t>
  </si>
  <si>
    <t>OE-5 (DEMOACC con Casa A); su costo difiere del de Casa B</t>
  </si>
  <si>
    <t>T02</t>
  </si>
  <si>
    <t>Saldo previo del caso de compra y venta el mismo dia (T11 y T12)</t>
  </si>
  <si>
    <t>T03</t>
  </si>
  <si>
    <t>CETES en dos intermediarios (Casa A); compra en mercado secundario concertada el 10/09 al P de RF-26b del dia (d = 28, nodo de la colocacion a 28 dias del 10/09)</t>
  </si>
  <si>
    <t>T04</t>
  </si>
  <si>
    <t>CETES en dos intermediarios (Casa B); compra en mercado secundario concertada el 10/09 al P de RF-26b del dia (d = 28, nodo de la colocacion a 28 dias del 10/09)</t>
  </si>
  <si>
    <t>T05</t>
  </si>
  <si>
    <t>Primer flujo dentro del periodo</t>
  </si>
  <si>
    <t>T06</t>
  </si>
  <si>
    <t>OE-5 (DEMOACC con Casa B)</t>
  </si>
  <si>
    <t>T07</t>
  </si>
  <si>
    <t>X-06: mismo instrumento e intermediario que en Principal, otro portafolio</t>
  </si>
  <si>
    <t>T08</t>
  </si>
  <si>
    <t>Interpolacion entre 28 y 91 dias; compra en mercado secundario concertada el 17/09 al P de RF-26b del dia (d = 91, nodo de la colocacion a 91 dias del 17/09)</t>
  </si>
  <si>
    <t>T09</t>
  </si>
  <si>
    <t>Interpolacion entre 91 y 182 o 175 efectivos; compra en mercado secundario concertada el 17/09 al P de RF-26b del dia (d = 182, nodo de la colocacion a 182 dias del 17/09)</t>
  </si>
  <si>
    <t>T10</t>
  </si>
  <si>
    <t>venta</t>
  </si>
  <si>
    <t>Venta total: el saldo queda en 0 y el costo se reinicia</t>
  </si>
  <si>
    <t>T11</t>
  </si>
  <si>
    <t>Compra y venta el mismo dia (compras antes que ventas)</t>
  </si>
  <si>
    <t>T12</t>
  </si>
  <si>
    <t>Venta de 120 &gt; saldo previo de 100; solo es valida aplicando antes T11</t>
  </si>
  <si>
    <t>T13</t>
  </si>
  <si>
    <t>Venta parcial de CETES antes del vencimiento, al P de RF-26b del 01/10 (d = 7, tasa a 28 dias del 01/10)</t>
  </si>
  <si>
    <t>T14</t>
  </si>
  <si>
    <t>Venta parcial (80 de 200)</t>
  </si>
  <si>
    <t>T15</t>
  </si>
  <si>
    <t>Recompra tras saldo 0: el costo se reinicia</t>
  </si>
  <si>
    <t>T16</t>
  </si>
  <si>
    <t>Reinversion registrada como compra (S-14), en mercado secundario concertada el 08/10 al P de RF-26b del dia (d = 28, nodo de la colocacion a 28 dias del 08/10)</t>
  </si>
  <si>
    <t>Precios de cierre sintéticos (RF-07) y cierre usado cada día</t>
  </si>
  <si>
    <t>Fuente: semilla sintética de demostración del 077 (no son precios reales; R-04, R-05). Solo días con operaciones de 2026; DEMOFIB no tiene cierre el 08/10 a propósito. I–M: último cierre igual o anterior a cada día natural (criterio 4 de RF-08); I y J son rótulos de estructura (gris).</t>
  </si>
  <si>
    <t>día de la semana (1 = lunes)</t>
  </si>
  <si>
    <t>¿día con operaciones?</t>
  </si>
  <si>
    <t>fecha del cierre usado</t>
  </si>
  <si>
    <t>precio usado</t>
  </si>
  <si>
    <t>¿sin cierre ese día?</t>
  </si>
  <si>
    <t>Tasas de las subastas primarias de CETES (RF-30; tasa_referencia de 4.4)</t>
  </si>
  <si>
    <t>Fuente: Banco de México, SIE, cuadro CF107 (https://www.banxico.org.mx). Series de tasa SF43936, SF43939, SF43942, SF43945 y SF349785; de plazo SF43935, SF43938, SF43941, SF43944 y SF349778. Consulta: 15/10/2026. Fecha = colocación (D-02, R-14).</t>
  </si>
  <si>
    <t>plazo_nominal</t>
  </si>
  <si>
    <t>fecha_colocacion</t>
  </si>
  <si>
    <t>unidad</t>
  </si>
  <si>
    <t>plazo_efectivo</t>
  </si>
  <si>
    <t>serie de la tasa</t>
  </si>
  <si>
    <t>serie del plazo</t>
  </si>
  <si>
    <t>fuentes que coinciden (15/10/2026)</t>
  </si>
  <si>
    <t>valuaciones de CETES que la usan</t>
  </si>
  <si>
    <t>por ciento anual</t>
  </si>
  <si>
    <t>SF43936</t>
  </si>
  <si>
    <t>SF43935</t>
  </si>
  <si>
    <t>consultaSerieGrafica.do (JSON publico, 15 oct)</t>
  </si>
  <si>
    <t>SF43939</t>
  </si>
  <si>
    <t>SF43938</t>
  </si>
  <si>
    <t>SF43942</t>
  </si>
  <si>
    <t>SF43941</t>
  </si>
  <si>
    <t>SF349785</t>
  </si>
  <si>
    <t>SF349778</t>
  </si>
  <si>
    <t>SF43945</t>
  </si>
  <si>
    <t>SF43944</t>
  </si>
  <si>
    <t>cf107_5oct.html (5 oct) | consultaSerieGrafica.do (JSON publico, 15 oct)</t>
  </si>
  <si>
    <t>cf107_5oct.html (5 oct) | cf107_6oct.html (6 oct) | consultaSerieGrafica.do (JSON publico, 15 oct)</t>
  </si>
  <si>
    <t>cf107_15oct.html (pagina publica, 15 oct) | cf107_5oct.html (5 oct) | cf107_6oct.html (6 oct) | consultaSerieGrafica.do (JSON publico, 15 oct)</t>
  </si>
  <si>
    <t>cf107_15oct.html (pagina publica, 15 oct) | cf107_6oct.html (6 oct) | consultaSerieGrafica.do (JSON publico, 15 oct)</t>
  </si>
  <si>
    <t>cf107_15oct.html (pagina publica, 15 oct) | consultaSerieGrafica.do (JSON publico, 15 oct)</t>
  </si>
  <si>
    <t>Valuación de CETES antes del vencimiento (RF-26b)</t>
  </si>
  <si>
    <t>Para cada plazo nominal rige la última colocación con fecha igual o anterior a la de valuación (F–J). Se interpola linealmente por plazo efectivo entre los dos nodos que encierran d; fuera del rango, la tasa del extremo. r sin redondear; P = ROUND(VN / (1 + r/100 × d/360); 7), mitad alejándose de cero.</t>
  </si>
  <si>
    <t>Fecha de colocación vigente, por plazo nominal (días)</t>
  </si>
  <si>
    <t>Tasa vigente (% anual)</t>
  </si>
  <si>
    <t>Plazo efectivo (días)</t>
  </si>
  <si>
    <t>valor nominal</t>
  </si>
  <si>
    <t>d (días por vencer)</t>
  </si>
  <si>
    <t>plazo efectivo inferior</t>
  </si>
  <si>
    <t>plazo efectivo superior</t>
  </si>
  <si>
    <t>plazo nominal inferior</t>
  </si>
  <si>
    <t>plazo nominal superior</t>
  </si>
  <si>
    <t>colocación inferior</t>
  </si>
  <si>
    <t>colocación superior</t>
  </si>
  <si>
    <t>tasa inferior</t>
  </si>
  <si>
    <t>tasa superior</t>
  </si>
  <si>
    <t>caso</t>
  </si>
  <si>
    <t>r (% anual, sin redondear)</t>
  </si>
  <si>
    <t>P sin redondear</t>
  </si>
  <si>
    <t>P (7 decimales)</t>
  </si>
  <si>
    <t>llave</t>
  </si>
  <si>
    <t>Valuación diaria por portafolio, instrumento e intermediario (RF-06, RF-08, RF-26a, RF-26b)</t>
  </si>
  <si>
    <t>A–D: rótulos de la fila. Títulos: suma de cantidades con signo hasta la fecha, inclusive (corte inclusivo); 0 desde el vencimiento. Costo unitario: el del kardex tras la última transacción del par. Precio: último cierre igual o anterior, o P de la hoja CETES. Q: liquidación al valor nominal el día del vencimiento (retiro, sin ISR).</t>
  </si>
  <si>
    <t>portafolio</t>
  </si>
  <si>
    <t>instrumento</t>
  </si>
  <si>
    <t>intermediario</t>
  </si>
  <si>
    <t>títulos</t>
  </si>
  <si>
    <t>orden de la última transacción</t>
  </si>
  <si>
    <t>costo unitario promedio</t>
  </si>
  <si>
    <t>costo total</t>
  </si>
  <si>
    <t>fecha del precio</t>
  </si>
  <si>
    <t>precio usado (cierre o P)</t>
  </si>
  <si>
    <t>valor de mercado</t>
  </si>
  <si>
    <t>resultado no realizado</t>
  </si>
  <si>
    <t>liquidación por vencimiento (retiro)</t>
  </si>
  <si>
    <t>¿corte?</t>
  </si>
  <si>
    <t>llave de la fila</t>
  </si>
  <si>
    <t>Posiciones en cada fecha de corte (RF-06, RF-08, RF-26b, RF-31)</t>
  </si>
  <si>
    <t>Tres tablas: por intermediario (cada par portafolio-instrumento-intermediario), consolidado por instrumento (suma de intermediarios) y totales del portafolio, comparados con V(t) de la Serie. Se incluyen los renglones en cero.</t>
  </si>
  <si>
    <t>Por intermediario</t>
  </si>
  <si>
    <t>fila en Valuación diaria</t>
  </si>
  <si>
    <t>¿tiene transacciones al corte?</t>
  </si>
  <si>
    <t>fecha del precio (cierre usado)</t>
  </si>
  <si>
    <t>¿hay valuación de CETES?</t>
  </si>
  <si>
    <t>d</t>
  </si>
  <si>
    <t>r (% anual)</t>
  </si>
  <si>
    <t>Consolidado por instrumento (suma de intermediarios)</t>
  </si>
  <si>
    <t>intermediarios con saldo</t>
  </si>
  <si>
    <t>Totales del portafolio (comprobación: suma por intermediario = suma consolidada = V(t) de la Serie)</t>
  </si>
  <si>
    <t>valor (suma por intermediario)</t>
  </si>
  <si>
    <t>valor (suma consolidada)</t>
  </si>
  <si>
    <t>V(t) de la Serie</t>
  </si>
  <si>
    <t>¿iguales?</t>
  </si>
  <si>
    <t>Serie diaria por día natural y portafolio (RF-09, RF-10, RF-11)</t>
  </si>
  <si>
    <t>V(t): valor al cierre de t. A(t): compras (títulos × precio + importe). R(t): ventas (títulos × precio − importe) y vencimientos (títulos × 10.00). r(t) = [V(t) + R(t)] / [V(t−1) + A(t)] − 1, y 0 si el denominador es 0. I(t) parte de 1 en el cierre base (10/09), que es el primer máximo.</t>
  </si>
  <si>
    <t>V(t) valor</t>
  </si>
  <si>
    <t>A(t) aportaciones</t>
  </si>
  <si>
    <t>R ventas</t>
  </si>
  <si>
    <t>R vencimientos</t>
  </si>
  <si>
    <t>R(t) retiros</t>
  </si>
  <si>
    <t>V(t−1)</t>
  </si>
  <si>
    <t>denominador V(t−1) + A(t)</t>
  </si>
  <si>
    <t>r(t) (fracción)</t>
  </si>
  <si>
    <t>r(t) (%)</t>
  </si>
  <si>
    <t>I(t) índice</t>
  </si>
  <si>
    <t>máximo acumulado</t>
  </si>
  <si>
    <t>caída I/máx − 1</t>
  </si>
  <si>
    <t>TWR y máxima caída por periodo (RF-09, RF-10)</t>
  </si>
  <si>
    <t>Cada bloque toma r(t) de la Serie. I = 1 en el cierre previo al inicio (primer máximo). TWR = Π(1 + r) − 1, sin anualizar, por dos caminos (índice final y PRODUCT); T lo recalcula con la Serie y las fechas de Entradas. Máxima caída = mín(I/máx) − 1. Pico: la primera fecha, contando la fecha base con I = 1, en que I alcanzó el máximo vigente en el valle (con empates, la más antigua). Valle: la primera fecha con la caída mínima. Los bloques tienen un largo fijo: cambiar inicio o fin exige regenerar el libro.</t>
  </si>
  <si>
    <t>fecha base (cierre previo)</t>
  </si>
  <si>
    <t>días</t>
  </si>
  <si>
    <t>V base</t>
  </si>
  <si>
    <t>V fin</t>
  </si>
  <si>
    <t>costo total al fin</t>
  </si>
  <si>
    <t>resultado no realizado al fin</t>
  </si>
  <si>
    <t>TWR (índice final − 1)</t>
  </si>
  <si>
    <t>TWR (PRODUCT − 1)</t>
  </si>
  <si>
    <t>TWR (%)</t>
  </si>
  <si>
    <t>máxima caída (fracción)</t>
  </si>
  <si>
    <t>máxima caída (%)</t>
  </si>
  <si>
    <t>fecha del valle</t>
  </si>
  <si>
    <t>máximo vigente en el valle</t>
  </si>
  <si>
    <t>fecha del pico</t>
  </si>
  <si>
    <t>|diferencia entre los dos TWR|</t>
  </si>
  <si>
    <t>TWR por la Serie: I(fin) / I(base) − 1</t>
  </si>
  <si>
    <t>Periodo P1-A</t>
  </si>
  <si>
    <t>r(t)</t>
  </si>
  <si>
    <t>1 + r(t)</t>
  </si>
  <si>
    <t>I(t)</t>
  </si>
  <si>
    <t>máximo (con I = 1 inicial)</t>
  </si>
  <si>
    <t>Periodo P1-B</t>
  </si>
  <si>
    <t>Periodo P1-C</t>
  </si>
  <si>
    <t>Periodo P1-D</t>
  </si>
  <si>
    <t>Periodo P2-A</t>
  </si>
  <si>
    <t>Periodo P2-C</t>
  </si>
  <si>
    <t>Rechazos esperados (RF-28, RF-26a, RF-05, RF-09) y caso positivo C1</t>
  </si>
  <si>
    <t>A–N: candidatos (entradas/candidatos_rechazo.csv), que se intentan registrar después de T01 a T16. S: saldo del par al cierre del día del candidato; T–AI: saldo al cierre de la fecha de cada transacción posterior del mismo par (fila 3), con el candidato. La regla se aplica en orden: intervalo, vencimiento, saldo negativo (RF-28, en cualquier fecha, compras antes que ventas).</t>
  </si>
  <si>
    <t>fecha de la transacción →</t>
  </si>
  <si>
    <t>id</t>
  </si>
  <si>
    <t>criterio</t>
  </si>
  <si>
    <t>periodo_inicio</t>
  </si>
  <si>
    <t>periodo_fin</t>
  </si>
  <si>
    <t>motivo_esperado</t>
  </si>
  <si>
    <t>¿fuera del intervalo de las semillas?</t>
  </si>
  <si>
    <t>¿CETES en o después del vencimiento?</t>
  </si>
  <si>
    <t>saldo al cierre del día del candidato</t>
  </si>
  <si>
    <t>saldo mínimo</t>
  </si>
  <si>
    <t>primera fecha con saldo negativo</t>
  </si>
  <si>
    <t>regla</t>
  </si>
  <si>
    <t>resultado_esperado</t>
  </si>
  <si>
    <t>fecha_saldo_negativo</t>
  </si>
  <si>
    <t>saldo_resultante</t>
  </si>
  <si>
    <t>N1</t>
  </si>
  <si>
    <t>RF-28 crit. 1</t>
  </si>
  <si>
    <t>transaccion</t>
  </si>
  <si>
    <t>El saldo con Casa B es 100 aunque la posicion consolidada sea 300; su contraparte aceptada es T14 (80 &lt;= 200)</t>
  </si>
  <si>
    <t>N2</t>
  </si>
  <si>
    <t>RF-28 crit. 2</t>
  </si>
  <si>
    <t>El 15/09 quedaria en 300 y el 14/10 en 200, pero el 22/09, con T10, seria -100</t>
  </si>
  <si>
    <t>N3</t>
  </si>
  <si>
    <t>RF-28 crit. 3 y X-06</t>
  </si>
  <si>
    <t>El saldo del Principal con Casa A es 120; los 150 del Secundario con Casa A no cuentan</t>
  </si>
  <si>
    <t>N4</t>
  </si>
  <si>
    <t>RF-26a crit. 2</t>
  </si>
  <si>
    <t>La fecha es igual al vencimiento de la emision</t>
  </si>
  <si>
    <t>N5</t>
  </si>
  <si>
    <t>RF-05 crit. 3 (opcional)</t>
  </si>
  <si>
    <t>Compra fechada el 09/09, antes del intervalo de las semillas</t>
  </si>
  <si>
    <t>N6</t>
  </si>
  <si>
    <t>Compra fechada el 15/10, despues del intervalo de las semillas</t>
  </si>
  <si>
    <t>N7</t>
  </si>
  <si>
    <t>RF-09 crit. 3 (opcional)</t>
  </si>
  <si>
    <t>Fecha final anterior a la inicial</t>
  </si>
  <si>
    <t>N8</t>
  </si>
  <si>
    <t>El periodo termina despues del intervalo de las semillas</t>
  </si>
  <si>
    <t>Caso positivo C1 (casos_positivos.csv): compras antes que ventas el mismo día</t>
  </si>
  <si>
    <t>refs</t>
  </si>
  <si>
    <t>saldo_previo</t>
  </si>
  <si>
    <t>compras_del_dia</t>
  </si>
  <si>
    <t>ventas_del_dia</t>
  </si>
  <si>
    <t>saldo_si_ventas_antes_que_compras</t>
  </si>
  <si>
    <t>C1</t>
  </si>
  <si>
    <t>RF-08 crit. 3 y RF-28 (caso positivo)</t>
  </si>
  <si>
    <t>T11 y T12</t>
  </si>
  <si>
    <t>compras antes que ventas el mismo dia</t>
  </si>
  <si>
    <t>Comprobaciones</t>
  </si>
  <si>
    <t>Cada renglón compara una cifra del libro con otro camino (fórmula cerrada sobre las entradas) o comprueba una regla de las entradas. VERDADERO = se cumple.</t>
  </si>
  <si>
    <t>n.º</t>
  </si>
  <si>
    <t>comprobación</t>
  </si>
  <si>
    <t>valor del libro</t>
  </si>
  <si>
    <t>valor por otro camino</t>
  </si>
  <si>
    <t>diferencia</t>
  </si>
  <si>
    <t>Encadenamiento: (1 + TWR P1-B)(1 + TWR P1-C) = 1 + TWR P1-A</t>
  </si>
  <si>
    <t>RF-09; escenario 7 f</t>
  </si>
  <si>
    <t>TWR P2-A = 150 × cierre(14/10) / (150 × 103.60 + 45.07) − 1</t>
  </si>
  <si>
    <t>RF-09 crit. 2; factor 1 con denominador 0</t>
  </si>
  <si>
    <t>TWR P2-C = cierre(14/10) / cierre(30/09) − 1 (sin flujos)</t>
  </si>
  <si>
    <t>RF-09 crit. 1</t>
  </si>
  <si>
    <t>Máxima caída P2-C = cierre(05/10) / cierre(30/09) − 1</t>
  </si>
  <si>
    <t>RF-10; el máximo es el I = 1 inicial</t>
  </si>
  <si>
    <t>Máxima caída P2-A = 90.4250 / 104.75 − 1 (pico 15/09, valle 23/09)</t>
  </si>
  <si>
    <t>RF-10 crit. 2: la caída medida es la de los precios</t>
  </si>
  <si>
    <t>Pico de P2-A el 15/09 (primera fecha del máximo; I(16/09) empata porque el 16/09 no hay cierre)</t>
  </si>
  <si>
    <t>escenario 7 f</t>
  </si>
  <si>
    <t>Valle de P2-A el 23/09</t>
  </si>
  <si>
    <t>Cada corte: suma por intermediario = suma consolidada = V(t) de la Serie</t>
  </si>
  <si>
    <t>RF-06 crit. 3; RF-11 crit. 2; RNF-02</t>
  </si>
  <si>
    <t>Días de compra de CETES (y T13): precio de la transacción = P de RF-26b de ese día</t>
  </si>
  <si>
    <t>RF-26b; P a 7 decimales</t>
  </si>
  <si>
    <t>T13: precio = P(01/10, BI261008)</t>
  </si>
  <si>
    <t>venta secundaria al P del día</t>
  </si>
  <si>
    <t>R(08/10) de Principal = 20,000.00 exactos (2,000 × 10.00, sin ISR)</t>
  </si>
  <si>
    <t>RF-26a crit. 1; S-14</t>
  </si>
  <si>
    <t>RF-28: ningún saldo negativo tras cada transacción (orden compras antes que ventas)</t>
  </si>
  <si>
    <t>RF-28; X-04</t>
  </si>
  <si>
    <t>RF-28: ningún saldo negativo al cierre de ningún día natural</t>
  </si>
  <si>
    <t>Transacciones en orden creciente (requisito del kardex)</t>
  </si>
  <si>
    <t>estructura de la hoja</t>
  </si>
  <si>
    <t>Cada valuación de CETES tiene colocación vigente en los cinco plazos</t>
  </si>
  <si>
    <t>RF-30 crit. 1</t>
  </si>
  <si>
    <t>Ninguna valuación usa una colocación posterior a su fecha (R-14)</t>
  </si>
  <si>
    <t>RF-26b crit. 3; R-14</t>
  </si>
  <si>
    <t>La colocación del 15/10 no rige ninguna valuación</t>
  </si>
  <si>
    <t>R-14</t>
  </si>
  <si>
    <t>07/10 BI261008 (d = 1) usa la tasa a 28 días del 01/10 (6.01), no la del 08/10</t>
  </si>
  <si>
    <t>RF-26b crit. 3</t>
  </si>
  <si>
    <t>Precios solo en días con operaciones de 2026</t>
  </si>
  <si>
    <t>RF-07 crit. 2; DOF 10/12/2025</t>
  </si>
  <si>
    <t>Precios de cierre con 7 decimales o menos</t>
  </si>
  <si>
    <t>RD-13</t>
  </si>
  <si>
    <t>Precios de transacción con 7 decimales o menos e importes con 2 o menos</t>
  </si>
  <si>
    <t>RD-13; RF-05</t>
  </si>
  <si>
    <t>Tasas con 5 decimales o menos</t>
  </si>
  <si>
    <t>Claves: CETES = BI + vencimiento AAMMDD; las demás no tienen esa forma</t>
  </si>
  <si>
    <t>RF-04; RD-04</t>
  </si>
  <si>
    <t>Marca de demostración si y solo si no es CETES</t>
  </si>
  <si>
    <t>RF-04 crit. 3</t>
  </si>
  <si>
    <t>Transacciones de CETES antes del vencimiento y a 728 días o menos</t>
  </si>
  <si>
    <t>RF-26a crit. 2; RD-05</t>
  </si>
  <si>
    <t>Ventas con importe menor que títulos × precio</t>
  </si>
  <si>
    <t>RF-05 crit. 2</t>
  </si>
  <si>
    <t>Transacciones dentro del intervalo de las semillas</t>
  </si>
  <si>
    <t>RD-07; S-09</t>
  </si>
  <si>
    <t>Cada plazo de la semilla de tasas empieza con una colocación anterior al intervalo</t>
  </si>
  <si>
    <t>RF-30 crit. 1; P-14</t>
  </si>
  <si>
    <t>P2: r = 0 del 11/09 al 13/09 (denominador 0, factor 1)</t>
  </si>
  <si>
    <t>RF-09 (recomendado)</t>
  </si>
  <si>
    <t>Serie de Principal: I(fin de P1-A) − 1 = TWR de P1-A en Periodos</t>
  </si>
  <si>
    <t>RF-11 crit. 2</t>
  </si>
  <si>
    <t>P1-D no baja: máxima caída = 0</t>
  </si>
  <si>
    <t>RF-10 crit. 2</t>
  </si>
  <si>
    <t>Forma esperada de P1-A: pico 16/09 (festivo) y valle 23/09</t>
  </si>
  <si>
    <t>escenario 7 h (orden de magnitud, no es cifra)</t>
  </si>
  <si>
    <t>16/09: DEMOACC en Principal = 300 (200 Casa A + 100 Casa B), no 450</t>
  </si>
  <si>
    <t>RF-06 crit. 1 y 3; X-06</t>
  </si>
  <si>
    <t>08/10: posición de BI261008 = 0 desde su vencimiento</t>
  </si>
  <si>
    <t>RF-26a crit. 1</t>
  </si>
  <si>
    <t>Redondeo de Excel: ROUND(−0.125; 2) = −0.13 (mitad alejándose de cero)</t>
  </si>
  <si>
    <t>RD-16; P-13</t>
  </si>
  <si>
    <t>Redondeo de Excel: criterio 1 de RF-26b, P = 9.9027626</t>
  </si>
  <si>
    <t>RF-26b crit. 1</t>
  </si>
  <si>
    <t>Cada bloque diario de Periodos termina en el fin del periodo (si se cambia un fin en Entradas, hay que regenerar)</t>
  </si>
  <si>
    <t>TWR del bloque = TWR por la Serie con las fechas de Entradas (I(fin) / I(base) − 1), en los seis periodos (libro: suma de |K − T|)</t>
  </si>
  <si>
    <t>RF-09; estructura de la hoja</t>
  </si>
  <si>
    <t>La cuadrícula de Valuación diaria cubre cada par y fecha de Transacciones</t>
  </si>
  <si>
    <t>Calendario: 104 sábados y domingos de 2026, sin fechas repetidas ni fuera de 2026</t>
  </si>
  <si>
    <t>RF-07 crit. 2; DOF 10/12/2025, art. 1</t>
  </si>
  <si>
    <t>Cargas: incorporadas = filas de la semilla, intervalo = fechas de sus datos y licencia de su fuente</t>
  </si>
  <si>
    <t>RF-31 crit. 1; RD-17; 4.4</t>
  </si>
  <si>
    <t>Cada precio y cada tasa tiene la fuente de su carga</t>
  </si>
  <si>
    <t>RD-19; FK (carga_id, fuente_id)</t>
  </si>
  <si>
    <t>Rechazos: N1 a N8 se rechazan</t>
  </si>
  <si>
    <t>RF-28; RF-26a crit. 2; RF-05 crit. 3; RF-09 crit. 3</t>
  </si>
  <si>
    <t>C1: T11 y T12 se aceptan (saldo 40); con la venta antes que la compra, el saldo sería negativo</t>
  </si>
  <si>
    <t>RF-08 crit. 3; RF-28</t>
  </si>
  <si>
    <t>TODAS LAS COMPROBACIONES</t>
  </si>
  <si>
    <t>Esperados: cifras finales del oráculo (lo que compara pytest)</t>
  </si>
  <si>
    <t>Cada sección empieza con «## nombre» y repite, con referencias, las cifras de las hojas de cálculo. Los CSV de esperados/ (y rechazos_rf28.csv y casos_positivos.csv, en la raíz del oráculo) tienen las mismas secciones y columnas, calculadas por el camino independiente en Python (decimal, 28 dígitos), y son los que lee pytest. Gris: rótulo constante (nivel).</t>
  </si>
  <si>
    <t>## transacciones</t>
  </si>
  <si>
    <t>monto</t>
  </si>
  <si>
    <t>costo_por_titulo</t>
  </si>
  <si>
    <t>ingreso_por_titulo</t>
  </si>
  <si>
    <t>aportacion</t>
  </si>
  <si>
    <t>retiro</t>
  </si>
  <si>
    <t>## valuacion_cetes</t>
  </si>
  <si>
    <t>inf_plazo_nominal</t>
  </si>
  <si>
    <t>inf_plazo_efectivo</t>
  </si>
  <si>
    <t>inf_tasa</t>
  </si>
  <si>
    <t>inf_fecha_colocacion</t>
  </si>
  <si>
    <t>sup_plazo_nominal</t>
  </si>
  <si>
    <t>sup_plazo_efectivo</t>
  </si>
  <si>
    <t>sup_tasa</t>
  </si>
  <si>
    <t>sup_fecha_colocacion</t>
  </si>
  <si>
    <t>r_por_ciento_anual</t>
  </si>
  <si>
    <t>p_sin_redondear</t>
  </si>
  <si>
    <t>p</t>
  </si>
  <si>
    <t>## precios_usados</t>
  </si>
  <si>
    <t>fecha_cierre</t>
  </si>
  <si>
    <t>sin_cierre_ese_dia</t>
  </si>
  <si>
    <t>## posiciones</t>
  </si>
  <si>
    <t>nivel</t>
  </si>
  <si>
    <t>tiene_transacciones</t>
  </si>
  <si>
    <t>titulos</t>
  </si>
  <si>
    <t>costo_unitario</t>
  </si>
  <si>
    <t>costo_total</t>
  </si>
  <si>
    <t>fecha_precio</t>
  </si>
  <si>
    <t>fecha_colocacion_inf</t>
  </si>
  <si>
    <t>fecha_colocacion_sup</t>
  </si>
  <si>
    <t>resultado_no_realizado</t>
  </si>
  <si>
    <t>## serie_diaria</t>
  </si>
  <si>
    <t>aportaciones</t>
  </si>
  <si>
    <t>retiros_ventas</t>
  </si>
  <si>
    <t>retiros_vencimientos</t>
  </si>
  <si>
    <t>retiros</t>
  </si>
  <si>
    <t>r</t>
  </si>
  <si>
    <t>r_por_ciento</t>
  </si>
  <si>
    <t>indice</t>
  </si>
  <si>
    <t>maximo</t>
  </si>
  <si>
    <t>caida</t>
  </si>
  <si>
    <t>## indice_por_periodo</t>
  </si>
  <si>
    <t>## indicadores</t>
  </si>
  <si>
    <t>fecha_base</t>
  </si>
  <si>
    <t>dias</t>
  </si>
  <si>
    <t>valor_base</t>
  </si>
  <si>
    <t>valor_fin</t>
  </si>
  <si>
    <t>costo_total_fin</t>
  </si>
  <si>
    <t>resultado_no_realizado_fin</t>
  </si>
  <si>
    <t>twr</t>
  </si>
  <si>
    <t>twr_por_ciento</t>
  </si>
  <si>
    <t>maxima_caida</t>
  </si>
  <si>
    <t>maxima_caida_por_ciento</t>
  </si>
  <si>
    <t>fecha_pico</t>
  </si>
  <si>
    <t>fecha_valle</t>
  </si>
  <si>
    <t>## rechazos_rf28</t>
  </si>
  <si>
    <t>## casos_positivos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</si>
</sst>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#,##0.0000"/>
    <numFmt numFmtId="166" formatCode="#,##0.0000000"/>
    <numFmt numFmtId="167" formatCode="0.0000000000"/>
    <numFmt numFmtId="168" formatCode="0.00000"/>
    <numFmt numFmtId="169" formatCode="0.0000000"/>
    <numFmt numFmtId="170" formatCode="0.000000000000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404040"/>
      <name val="Arial"/>
    </font>
    <font>
      <b/>
      <sz val="11"/>
      <name val="Arial"/>
    </font>
    <font>
      <b/>
      <sz val="10"/>
      <name val="Arial"/>
    </font>
    <font>
      <sz val="10"/>
      <color rgb="FF0000FF"/>
      <name val="Arial"/>
    </font>
    <font>
      <sz val="10"/>
      <color rgb="FF000000"/>
      <name val="Arial"/>
    </font>
    <font>
      <sz val="10"/>
      <color rgb="FF808080"/>
      <name val="Arial"/>
    </font>
    <font>
      <b/>
      <sz val="10"/>
      <color rgb="FF80808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165" fontId="5" fillId="0" borderId="0" xfId="0" applyNumberFormat="1" applyFont="1"/>
    <xf numFmtId="3" fontId="5" fillId="0" borderId="0" xfId="0" applyNumberFormat="1" applyFont="1"/>
    <xf numFmtId="3" fontId="6" fillId="0" borderId="0" xfId="0" applyNumberFormat="1" applyFont="1"/>
    <xf numFmtId="164" fontId="6" fillId="0" borderId="0" xfId="0" applyNumberFormat="1" applyFont="1"/>
    <xf numFmtId="166" fontId="5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169" fontId="6" fillId="0" borderId="0" xfId="0" applyNumberFormat="1" applyFont="1"/>
    <xf numFmtId="164" fontId="7" fillId="0" borderId="0" xfId="0" applyNumberFormat="1" applyFont="1"/>
    <xf numFmtId="0" fontId="7" fillId="0" borderId="0" xfId="0" applyFont="1"/>
    <xf numFmtId="168" fontId="5" fillId="0" borderId="0" xfId="0" applyNumberFormat="1" applyFont="1"/>
    <xf numFmtId="0" fontId="4" fillId="0" borderId="0" xfId="0" applyFont="1"/>
    <xf numFmtId="0" fontId="8" fillId="2" borderId="0" xfId="0" applyFont="1" applyFill="1"/>
    <xf numFmtId="168" fontId="6" fillId="0" borderId="0" xfId="0" applyNumberFormat="1" applyFont="1"/>
    <xf numFmtId="167" fontId="6" fillId="0" borderId="0" xfId="0" applyNumberFormat="1" applyFont="1"/>
    <xf numFmtId="170" fontId="6" fillId="0" borderId="0" xfId="0" applyNumberFormat="1" applyFont="1"/>
    <xf numFmtId="0" fontId="4" fillId="2" borderId="0" xfId="0" applyFont="1" applyFill="1"/>
    <xf numFmtId="3" fontId="7" fillId="0" borderId="0" xfId="0" applyNumberFormat="1" applyFont="1"/>
    <xf numFmtId="0" fontId="9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tabSelected="1" workbookViewId="0"/>
  </sheetViews>
  <sheetFormatPr defaultRowHeight="14.4" x14ac:dyDescent="0.3"/>
  <cols>
    <col min="1" max="1" width="150" customWidth="1"/>
  </cols>
  <sheetData>
    <row r="1" spans="1:1" ht="17.399999999999999" x14ac:dyDescent="0.3">
      <c r="A1" s="1" t="s">
        <v>0</v>
      </c>
    </row>
    <row r="2" spans="1:1" ht="22.8" x14ac:dyDescent="0.3">
      <c r="A2" s="2" t="s">
        <v>1</v>
      </c>
    </row>
    <row r="3" spans="1:1" x14ac:dyDescent="0.3">
      <c r="A3" s="3"/>
    </row>
    <row r="4" spans="1:1" x14ac:dyDescent="0.3">
      <c r="A4" s="4" t="s">
        <v>2</v>
      </c>
    </row>
    <row r="5" spans="1:1" ht="52.8" x14ac:dyDescent="0.3">
      <c r="A5" s="3" t="s">
        <v>3</v>
      </c>
    </row>
    <row r="6" spans="1:1" ht="26.4" x14ac:dyDescent="0.3">
      <c r="A6" s="3" t="s">
        <v>4</v>
      </c>
    </row>
    <row r="7" spans="1:1" ht="26.4" x14ac:dyDescent="0.3">
      <c r="A7" s="3" t="s">
        <v>5</v>
      </c>
    </row>
    <row r="8" spans="1:1" ht="26.4" x14ac:dyDescent="0.3">
      <c r="A8" s="3" t="s">
        <v>6</v>
      </c>
    </row>
    <row r="9" spans="1:1" x14ac:dyDescent="0.3">
      <c r="A9" s="3"/>
    </row>
    <row r="10" spans="1:1" x14ac:dyDescent="0.3">
      <c r="A10" s="4" t="s">
        <v>7</v>
      </c>
    </row>
    <row r="11" spans="1:1" ht="52.8" x14ac:dyDescent="0.3">
      <c r="A11" s="3" t="s">
        <v>8</v>
      </c>
    </row>
    <row r="12" spans="1:1" ht="26.4" x14ac:dyDescent="0.3">
      <c r="A12" s="3" t="s">
        <v>9</v>
      </c>
    </row>
    <row r="13" spans="1:1" ht="26.4" x14ac:dyDescent="0.3">
      <c r="A13" s="3" t="s">
        <v>10</v>
      </c>
    </row>
    <row r="14" spans="1:1" ht="26.4" x14ac:dyDescent="0.3">
      <c r="A14" s="3" t="s">
        <v>11</v>
      </c>
    </row>
    <row r="15" spans="1:1" x14ac:dyDescent="0.3">
      <c r="A15" s="3" t="s">
        <v>12</v>
      </c>
    </row>
    <row r="16" spans="1:1" x14ac:dyDescent="0.3">
      <c r="A16" s="3" t="s">
        <v>13</v>
      </c>
    </row>
    <row r="17" spans="1:1" x14ac:dyDescent="0.3">
      <c r="A17" s="3" t="s">
        <v>14</v>
      </c>
    </row>
    <row r="18" spans="1:1" x14ac:dyDescent="0.3">
      <c r="A18" s="3" t="s">
        <v>15</v>
      </c>
    </row>
    <row r="19" spans="1:1" x14ac:dyDescent="0.3">
      <c r="A19" s="3" t="s">
        <v>16</v>
      </c>
    </row>
    <row r="20" spans="1:1" x14ac:dyDescent="0.3">
      <c r="A20" s="3" t="s">
        <v>17</v>
      </c>
    </row>
    <row r="21" spans="1:1" x14ac:dyDescent="0.3">
      <c r="A21" s="3" t="s">
        <v>18</v>
      </c>
    </row>
    <row r="22" spans="1:1" x14ac:dyDescent="0.3">
      <c r="A22" s="3" t="s">
        <v>19</v>
      </c>
    </row>
    <row r="23" spans="1:1" x14ac:dyDescent="0.3">
      <c r="A23" s="3" t="s">
        <v>20</v>
      </c>
    </row>
    <row r="24" spans="1:1" x14ac:dyDescent="0.3">
      <c r="A24" s="3" t="s">
        <v>21</v>
      </c>
    </row>
    <row r="25" spans="1:1" x14ac:dyDescent="0.3">
      <c r="A25" s="3"/>
    </row>
    <row r="26" spans="1:1" x14ac:dyDescent="0.3">
      <c r="A26" s="4" t="s">
        <v>22</v>
      </c>
    </row>
    <row r="27" spans="1:1" ht="26.4" x14ac:dyDescent="0.3">
      <c r="A27" s="3" t="s">
        <v>23</v>
      </c>
    </row>
    <row r="28" spans="1:1" x14ac:dyDescent="0.3">
      <c r="A28" s="3" t="s">
        <v>24</v>
      </c>
    </row>
    <row r="29" spans="1:1" ht="26.4" x14ac:dyDescent="0.3">
      <c r="A29" s="3" t="s">
        <v>25</v>
      </c>
    </row>
    <row r="30" spans="1:1" ht="26.4" x14ac:dyDescent="0.3">
      <c r="A30" s="3" t="s">
        <v>26</v>
      </c>
    </row>
    <row r="31" spans="1:1" x14ac:dyDescent="0.3">
      <c r="A31" s="3" t="s">
        <v>27</v>
      </c>
    </row>
    <row r="32" spans="1:1" ht="39.6" x14ac:dyDescent="0.3">
      <c r="A32" s="3" t="s">
        <v>28</v>
      </c>
    </row>
    <row r="33" spans="1:1" x14ac:dyDescent="0.3">
      <c r="A33" s="3" t="s">
        <v>29</v>
      </c>
    </row>
    <row r="34" spans="1:1" x14ac:dyDescent="0.3">
      <c r="A34" s="3" t="s">
        <v>30</v>
      </c>
    </row>
    <row r="35" spans="1:1" x14ac:dyDescent="0.3">
      <c r="A35" s="3" t="s">
        <v>31</v>
      </c>
    </row>
    <row r="36" spans="1:1" ht="26.4" x14ac:dyDescent="0.3">
      <c r="A36" s="3" t="s">
        <v>32</v>
      </c>
    </row>
    <row r="37" spans="1:1" ht="26.4" x14ac:dyDescent="0.3">
      <c r="A37" s="3" t="s">
        <v>33</v>
      </c>
    </row>
    <row r="38" spans="1:1" x14ac:dyDescent="0.3">
      <c r="A38" s="3"/>
    </row>
    <row r="39" spans="1:1" x14ac:dyDescent="0.3">
      <c r="A39" s="4" t="s">
        <v>34</v>
      </c>
    </row>
    <row r="40" spans="1:1" x14ac:dyDescent="0.3">
      <c r="A40" s="3" t="s">
        <v>35</v>
      </c>
    </row>
    <row r="41" spans="1:1" x14ac:dyDescent="0.3">
      <c r="A41" s="3" t="s">
        <v>36</v>
      </c>
    </row>
    <row r="42" spans="1:1" x14ac:dyDescent="0.3">
      <c r="A42" s="3" t="s">
        <v>37</v>
      </c>
    </row>
    <row r="43" spans="1:1" x14ac:dyDescent="0.3">
      <c r="A43" s="3" t="s">
        <v>38</v>
      </c>
    </row>
    <row r="44" spans="1:1" x14ac:dyDescent="0.3">
      <c r="A44" s="3" t="s">
        <v>39</v>
      </c>
    </row>
    <row r="45" spans="1:1" x14ac:dyDescent="0.3">
      <c r="A45" s="3"/>
    </row>
    <row r="46" spans="1:1" x14ac:dyDescent="0.3">
      <c r="A46" s="4" t="s">
        <v>40</v>
      </c>
    </row>
    <row r="47" spans="1:1" x14ac:dyDescent="0.3">
      <c r="A47" s="3" t="s">
        <v>41</v>
      </c>
    </row>
    <row r="48" spans="1:1" x14ac:dyDescent="0.3">
      <c r="A48" s="3" t="s">
        <v>42</v>
      </c>
    </row>
    <row r="49" spans="1:1" x14ac:dyDescent="0.3">
      <c r="A49" s="3"/>
    </row>
    <row r="50" spans="1:1" x14ac:dyDescent="0.3">
      <c r="A50" s="4" t="s">
        <v>43</v>
      </c>
    </row>
    <row r="51" spans="1:1" ht="26.4" x14ac:dyDescent="0.3">
      <c r="A51" s="3" t="s">
        <v>44</v>
      </c>
    </row>
    <row r="52" spans="1:1" ht="39.6" x14ac:dyDescent="0.3">
      <c r="A52" s="3" t="s">
        <v>45</v>
      </c>
    </row>
    <row r="53" spans="1:1" x14ac:dyDescent="0.3">
      <c r="A53" s="3" t="s">
        <v>46</v>
      </c>
    </row>
    <row r="54" spans="1:1" x14ac:dyDescent="0.3">
      <c r="A54" s="3" t="s">
        <v>47</v>
      </c>
    </row>
    <row r="55" spans="1:1" x14ac:dyDescent="0.3">
      <c r="A55" s="3" t="s">
        <v>48</v>
      </c>
    </row>
    <row r="56" spans="1:1" x14ac:dyDescent="0.3">
      <c r="A56" s="3" t="s">
        <v>49</v>
      </c>
    </row>
    <row r="57" spans="1:1" ht="26.4" x14ac:dyDescent="0.3">
      <c r="A57" s="3" t="s">
        <v>50</v>
      </c>
    </row>
    <row r="58" spans="1:1" ht="26.4" x14ac:dyDescent="0.3">
      <c r="A58" s="3" t="s">
        <v>51</v>
      </c>
    </row>
    <row r="59" spans="1:1" x14ac:dyDescent="0.3">
      <c r="A59" s="3"/>
    </row>
    <row r="60" spans="1:1" x14ac:dyDescent="0.3">
      <c r="A60" s="4" t="s">
        <v>52</v>
      </c>
    </row>
    <row r="61" spans="1:1" ht="52.8" x14ac:dyDescent="0.3">
      <c r="A61" s="3" t="s">
        <v>53</v>
      </c>
    </row>
    <row r="62" spans="1:1" ht="39.6" x14ac:dyDescent="0.3">
      <c r="A62" s="3" t="s">
        <v>54</v>
      </c>
    </row>
    <row r="63" spans="1:1" x14ac:dyDescent="0.3">
      <c r="A63" s="3" t="s">
        <v>55</v>
      </c>
    </row>
    <row r="64" spans="1:1" x14ac:dyDescent="0.3">
      <c r="A64" s="3"/>
    </row>
    <row r="65" spans="1:1" x14ac:dyDescent="0.3">
      <c r="A65" s="4" t="s">
        <v>56</v>
      </c>
    </row>
    <row r="66" spans="1:1" ht="26.4" x14ac:dyDescent="0.3">
      <c r="A66" s="3" t="s">
        <v>57</v>
      </c>
    </row>
    <row r="67" spans="1:1" x14ac:dyDescent="0.3">
      <c r="A67" s="3" t="s">
        <v>58</v>
      </c>
    </row>
    <row r="68" spans="1:1" x14ac:dyDescent="0.3">
      <c r="A68" s="3" t="s">
        <v>59</v>
      </c>
    </row>
    <row r="69" spans="1:1" x14ac:dyDescent="0.3">
      <c r="A69" s="3"/>
    </row>
    <row r="70" spans="1:1" x14ac:dyDescent="0.3">
      <c r="A70" s="4" t="s">
        <v>60</v>
      </c>
    </row>
    <row r="71" spans="1:1" ht="39.6" x14ac:dyDescent="0.3">
      <c r="A71" s="3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8"/>
  <sheetViews>
    <sheetView workbookViewId="0"/>
  </sheetViews>
  <sheetFormatPr defaultRowHeight="14.4" x14ac:dyDescent="0.3"/>
  <cols>
    <col min="1" max="2" width="26" customWidth="1"/>
    <col min="3" max="3" width="18" customWidth="1"/>
    <col min="4" max="4" width="14" customWidth="1"/>
    <col min="5" max="5" width="16" customWidth="1"/>
    <col min="6" max="7" width="13" customWidth="1"/>
    <col min="8" max="8" width="18" customWidth="1"/>
    <col min="9" max="14" width="14" customWidth="1"/>
  </cols>
  <sheetData>
    <row r="1" spans="1:3" ht="17.399999999999999" x14ac:dyDescent="0.3">
      <c r="A1" s="5" t="s">
        <v>62</v>
      </c>
    </row>
    <row r="2" spans="1:3" x14ac:dyDescent="0.3">
      <c r="A2" s="6" t="s">
        <v>63</v>
      </c>
    </row>
    <row r="4" spans="1:3" x14ac:dyDescent="0.3">
      <c r="A4" s="7" t="s">
        <v>64</v>
      </c>
    </row>
    <row r="5" spans="1:3" x14ac:dyDescent="0.3">
      <c r="A5" s="8" t="s">
        <v>65</v>
      </c>
      <c r="B5" s="8" t="s">
        <v>66</v>
      </c>
      <c r="C5" s="8" t="s">
        <v>67</v>
      </c>
    </row>
    <row r="6" spans="1:3" x14ac:dyDescent="0.3">
      <c r="A6" s="9" t="s">
        <v>68</v>
      </c>
      <c r="B6" s="10">
        <v>46275</v>
      </c>
      <c r="C6" s="9" t="s">
        <v>69</v>
      </c>
    </row>
    <row r="7" spans="1:3" x14ac:dyDescent="0.3">
      <c r="A7" s="9" t="s">
        <v>70</v>
      </c>
      <c r="B7" s="10">
        <v>46309</v>
      </c>
      <c r="C7" s="9" t="s">
        <v>71</v>
      </c>
    </row>
    <row r="8" spans="1:3" x14ac:dyDescent="0.3">
      <c r="A8" s="9" t="s">
        <v>72</v>
      </c>
      <c r="B8" s="10">
        <v>46275</v>
      </c>
      <c r="C8" s="9" t="s">
        <v>73</v>
      </c>
    </row>
    <row r="9" spans="1:3" x14ac:dyDescent="0.3">
      <c r="A9" s="9" t="s">
        <v>74</v>
      </c>
      <c r="B9" s="10">
        <v>46309</v>
      </c>
      <c r="C9" s="9" t="s">
        <v>75</v>
      </c>
    </row>
    <row r="10" spans="1:3" x14ac:dyDescent="0.3">
      <c r="A10" s="9" t="s">
        <v>76</v>
      </c>
      <c r="B10" s="9" t="s">
        <v>77</v>
      </c>
      <c r="C10" s="9" t="s">
        <v>78</v>
      </c>
    </row>
    <row r="12" spans="1:3" x14ac:dyDescent="0.3">
      <c r="A12" s="7" t="s">
        <v>79</v>
      </c>
    </row>
    <row r="13" spans="1:3" x14ac:dyDescent="0.3">
      <c r="A13" s="8" t="s">
        <v>80</v>
      </c>
      <c r="B13" s="8" t="s">
        <v>81</v>
      </c>
    </row>
    <row r="14" spans="1:3" x14ac:dyDescent="0.3">
      <c r="A14" s="10">
        <v>46278</v>
      </c>
      <c r="B14" s="9" t="s">
        <v>82</v>
      </c>
    </row>
    <row r="15" spans="1:3" x14ac:dyDescent="0.3">
      <c r="A15" s="10">
        <v>46281</v>
      </c>
      <c r="B15" s="9" t="s">
        <v>83</v>
      </c>
    </row>
    <row r="16" spans="1:3" x14ac:dyDescent="0.3">
      <c r="A16" s="10">
        <v>46303</v>
      </c>
      <c r="B16" s="9" t="s">
        <v>84</v>
      </c>
    </row>
    <row r="17" spans="1:5" x14ac:dyDescent="0.3">
      <c r="A17" s="10">
        <v>46309</v>
      </c>
      <c r="B17" s="9" t="s">
        <v>85</v>
      </c>
    </row>
    <row r="19" spans="1:5" x14ac:dyDescent="0.3">
      <c r="A19" s="7" t="s">
        <v>86</v>
      </c>
      <c r="C19" s="6" t="s">
        <v>87</v>
      </c>
    </row>
    <row r="20" spans="1:5" x14ac:dyDescent="0.3">
      <c r="A20" s="8" t="s">
        <v>88</v>
      </c>
      <c r="B20" s="8" t="s">
        <v>89</v>
      </c>
      <c r="C20" s="8" t="s">
        <v>90</v>
      </c>
      <c r="D20" s="8" t="s">
        <v>91</v>
      </c>
      <c r="E20" s="8" t="s">
        <v>92</v>
      </c>
    </row>
    <row r="21" spans="1:5" x14ac:dyDescent="0.3">
      <c r="A21" s="9" t="s">
        <v>93</v>
      </c>
      <c r="B21" s="9" t="s">
        <v>94</v>
      </c>
      <c r="C21" s="10">
        <v>46276</v>
      </c>
      <c r="D21" s="10">
        <v>46309</v>
      </c>
      <c r="E21" s="9" t="s">
        <v>95</v>
      </c>
    </row>
    <row r="22" spans="1:5" x14ac:dyDescent="0.3">
      <c r="A22" s="9" t="s">
        <v>96</v>
      </c>
      <c r="B22" s="9" t="s">
        <v>94</v>
      </c>
      <c r="C22" s="10">
        <v>46276</v>
      </c>
      <c r="D22" s="10">
        <v>46295</v>
      </c>
      <c r="E22" s="9" t="s">
        <v>97</v>
      </c>
    </row>
    <row r="23" spans="1:5" x14ac:dyDescent="0.3">
      <c r="A23" s="9" t="s">
        <v>98</v>
      </c>
      <c r="B23" s="9" t="s">
        <v>94</v>
      </c>
      <c r="C23" s="10">
        <v>46296</v>
      </c>
      <c r="D23" s="10">
        <v>46309</v>
      </c>
      <c r="E23" s="9" t="s">
        <v>99</v>
      </c>
    </row>
    <row r="24" spans="1:5" x14ac:dyDescent="0.3">
      <c r="A24" s="9" t="s">
        <v>100</v>
      </c>
      <c r="B24" s="9" t="s">
        <v>94</v>
      </c>
      <c r="C24" s="10">
        <v>46304</v>
      </c>
      <c r="D24" s="10">
        <v>46307</v>
      </c>
      <c r="E24" s="9" t="s">
        <v>101</v>
      </c>
    </row>
    <row r="25" spans="1:5" x14ac:dyDescent="0.3">
      <c r="A25" s="9" t="s">
        <v>102</v>
      </c>
      <c r="B25" s="9" t="s">
        <v>103</v>
      </c>
      <c r="C25" s="10">
        <v>46276</v>
      </c>
      <c r="D25" s="10">
        <v>46309</v>
      </c>
      <c r="E25" s="9" t="s">
        <v>104</v>
      </c>
    </row>
    <row r="26" spans="1:5" x14ac:dyDescent="0.3">
      <c r="A26" s="9" t="s">
        <v>105</v>
      </c>
      <c r="B26" s="9" t="s">
        <v>103</v>
      </c>
      <c r="C26" s="10">
        <v>46296</v>
      </c>
      <c r="D26" s="10">
        <v>46309</v>
      </c>
      <c r="E26" s="9" t="s">
        <v>106</v>
      </c>
    </row>
    <row r="28" spans="1:5" x14ac:dyDescent="0.3">
      <c r="A28" s="7" t="s">
        <v>107</v>
      </c>
    </row>
    <row r="29" spans="1:5" x14ac:dyDescent="0.3">
      <c r="A29" s="8" t="s">
        <v>76</v>
      </c>
      <c r="B29" s="8" t="s">
        <v>108</v>
      </c>
      <c r="C29" s="8" t="s">
        <v>109</v>
      </c>
    </row>
    <row r="30" spans="1:5" x14ac:dyDescent="0.3">
      <c r="A30" s="9" t="s">
        <v>77</v>
      </c>
      <c r="B30" s="9" t="s">
        <v>94</v>
      </c>
      <c r="C30" s="9" t="s">
        <v>110</v>
      </c>
    </row>
    <row r="31" spans="1:5" x14ac:dyDescent="0.3">
      <c r="A31" s="9" t="s">
        <v>77</v>
      </c>
      <c r="B31" s="9" t="s">
        <v>103</v>
      </c>
      <c r="C31" s="9" t="s">
        <v>110</v>
      </c>
    </row>
    <row r="33" spans="1:9" x14ac:dyDescent="0.3">
      <c r="A33" s="7" t="s">
        <v>111</v>
      </c>
    </row>
    <row r="34" spans="1:9" x14ac:dyDescent="0.3">
      <c r="A34" s="8" t="s">
        <v>76</v>
      </c>
      <c r="B34" s="8" t="s">
        <v>108</v>
      </c>
    </row>
    <row r="35" spans="1:9" x14ac:dyDescent="0.3">
      <c r="A35" s="9" t="s">
        <v>77</v>
      </c>
      <c r="B35" s="9" t="s">
        <v>112</v>
      </c>
    </row>
    <row r="36" spans="1:9" x14ac:dyDescent="0.3">
      <c r="A36" s="9" t="s">
        <v>77</v>
      </c>
      <c r="B36" s="9" t="s">
        <v>113</v>
      </c>
    </row>
    <row r="38" spans="1:9" x14ac:dyDescent="0.3">
      <c r="A38" s="7" t="s">
        <v>114</v>
      </c>
    </row>
    <row r="39" spans="1:9" ht="26.4" x14ac:dyDescent="0.3">
      <c r="A39" s="8" t="s">
        <v>115</v>
      </c>
      <c r="B39" s="8" t="s">
        <v>108</v>
      </c>
      <c r="C39" s="8" t="s">
        <v>116</v>
      </c>
      <c r="D39" s="8" t="s">
        <v>117</v>
      </c>
      <c r="E39" s="8" t="s">
        <v>118</v>
      </c>
      <c r="F39" s="8" t="s">
        <v>119</v>
      </c>
      <c r="G39" s="8" t="s">
        <v>120</v>
      </c>
      <c r="H39" s="8" t="s">
        <v>121</v>
      </c>
      <c r="I39" s="8" t="s">
        <v>122</v>
      </c>
    </row>
    <row r="40" spans="1:9" x14ac:dyDescent="0.3">
      <c r="A40" s="9" t="s">
        <v>123</v>
      </c>
      <c r="B40" s="9" t="s">
        <v>124</v>
      </c>
      <c r="C40" s="9" t="s">
        <v>125</v>
      </c>
      <c r="D40" s="9" t="s">
        <v>110</v>
      </c>
      <c r="E40" s="9" t="b">
        <v>1</v>
      </c>
      <c r="H40" s="11" t="b">
        <f t="shared" ref="H40:H46" si="0">IF(C40="cetes",A40="BI"&amp;RIGHT(YEAR(F40),2)&amp;RIGHT("0"&amp;MONTH(F40),2)&amp;RIGHT("0"&amp;DAY(F40),2),NOT(AND(LEFT(A40,2)="BI",LEN(A40)=8,ISNUMBER(--MID(A40,3,6)))))</f>
        <v>1</v>
      </c>
      <c r="I40" s="11" t="b">
        <f t="shared" ref="I40:I46" si="1">E40=(C40&lt;&gt;"cetes")</f>
        <v>1</v>
      </c>
    </row>
    <row r="41" spans="1:9" x14ac:dyDescent="0.3">
      <c r="A41" s="9" t="s">
        <v>126</v>
      </c>
      <c r="B41" s="9" t="s">
        <v>127</v>
      </c>
      <c r="C41" s="9" t="s">
        <v>128</v>
      </c>
      <c r="D41" s="9" t="s">
        <v>110</v>
      </c>
      <c r="E41" s="9" t="b">
        <v>1</v>
      </c>
      <c r="H41" s="11" t="b">
        <f t="shared" si="0"/>
        <v>1</v>
      </c>
      <c r="I41" s="11" t="b">
        <f t="shared" si="1"/>
        <v>1</v>
      </c>
    </row>
    <row r="42" spans="1:9" x14ac:dyDescent="0.3">
      <c r="A42" s="9" t="s">
        <v>129</v>
      </c>
      <c r="B42" s="9" t="s">
        <v>130</v>
      </c>
      <c r="C42" s="9" t="s">
        <v>131</v>
      </c>
      <c r="D42" s="9" t="s">
        <v>110</v>
      </c>
      <c r="E42" s="9" t="b">
        <v>1</v>
      </c>
      <c r="H42" s="11" t="b">
        <f t="shared" si="0"/>
        <v>1</v>
      </c>
      <c r="I42" s="11" t="b">
        <f t="shared" si="1"/>
        <v>1</v>
      </c>
    </row>
    <row r="43" spans="1:9" x14ac:dyDescent="0.3">
      <c r="A43" s="9" t="s">
        <v>132</v>
      </c>
      <c r="B43" s="9" t="s">
        <v>133</v>
      </c>
      <c r="C43" s="9" t="s">
        <v>134</v>
      </c>
      <c r="D43" s="9" t="s">
        <v>110</v>
      </c>
      <c r="E43" s="9" t="b">
        <v>0</v>
      </c>
      <c r="F43" s="10">
        <v>46303</v>
      </c>
      <c r="G43" s="12">
        <v>10</v>
      </c>
      <c r="H43" s="11" t="b">
        <f t="shared" si="0"/>
        <v>1</v>
      </c>
      <c r="I43" s="11" t="b">
        <f t="shared" si="1"/>
        <v>1</v>
      </c>
    </row>
    <row r="44" spans="1:9" x14ac:dyDescent="0.3">
      <c r="A44" s="9" t="s">
        <v>135</v>
      </c>
      <c r="B44" s="9" t="s">
        <v>136</v>
      </c>
      <c r="C44" s="9" t="s">
        <v>134</v>
      </c>
      <c r="D44" s="9" t="s">
        <v>110</v>
      </c>
      <c r="E44" s="9" t="b">
        <v>0</v>
      </c>
      <c r="F44" s="10">
        <v>46331</v>
      </c>
      <c r="G44" s="12">
        <v>10</v>
      </c>
      <c r="H44" s="11" t="b">
        <f t="shared" si="0"/>
        <v>1</v>
      </c>
      <c r="I44" s="11" t="b">
        <f t="shared" si="1"/>
        <v>1</v>
      </c>
    </row>
    <row r="45" spans="1:9" x14ac:dyDescent="0.3">
      <c r="A45" s="9" t="s">
        <v>137</v>
      </c>
      <c r="B45" s="9" t="s">
        <v>138</v>
      </c>
      <c r="C45" s="9" t="s">
        <v>134</v>
      </c>
      <c r="D45" s="9" t="s">
        <v>110</v>
      </c>
      <c r="E45" s="9" t="b">
        <v>0</v>
      </c>
      <c r="F45" s="10">
        <v>46373</v>
      </c>
      <c r="G45" s="12">
        <v>10</v>
      </c>
      <c r="H45" s="11" t="b">
        <f t="shared" si="0"/>
        <v>1</v>
      </c>
      <c r="I45" s="11" t="b">
        <f t="shared" si="1"/>
        <v>1</v>
      </c>
    </row>
    <row r="46" spans="1:9" x14ac:dyDescent="0.3">
      <c r="A46" s="9" t="s">
        <v>139</v>
      </c>
      <c r="B46" s="9" t="s">
        <v>140</v>
      </c>
      <c r="C46" s="9" t="s">
        <v>134</v>
      </c>
      <c r="D46" s="9" t="s">
        <v>110</v>
      </c>
      <c r="E46" s="9" t="b">
        <v>0</v>
      </c>
      <c r="F46" s="10">
        <v>46464</v>
      </c>
      <c r="G46" s="12">
        <v>10</v>
      </c>
      <c r="H46" s="11" t="b">
        <f t="shared" si="0"/>
        <v>1</v>
      </c>
      <c r="I46" s="11" t="b">
        <f t="shared" si="1"/>
        <v>1</v>
      </c>
    </row>
    <row r="48" spans="1:9" x14ac:dyDescent="0.3">
      <c r="A48" s="7" t="s">
        <v>141</v>
      </c>
    </row>
    <row r="49" spans="1:14" x14ac:dyDescent="0.3">
      <c r="A49" s="8" t="s">
        <v>108</v>
      </c>
      <c r="B49" s="8" t="s">
        <v>142</v>
      </c>
      <c r="C49" s="8" t="s">
        <v>118</v>
      </c>
    </row>
    <row r="50" spans="1:14" x14ac:dyDescent="0.3">
      <c r="A50" s="9" t="s">
        <v>143</v>
      </c>
      <c r="B50" s="9" t="s">
        <v>144</v>
      </c>
      <c r="C50" s="9" t="b">
        <v>0</v>
      </c>
    </row>
    <row r="51" spans="1:14" x14ac:dyDescent="0.3">
      <c r="A51" s="9" t="s">
        <v>145</v>
      </c>
      <c r="C51" s="9" t="b">
        <v>1</v>
      </c>
    </row>
    <row r="53" spans="1:14" x14ac:dyDescent="0.3">
      <c r="A53" s="7" t="s">
        <v>146</v>
      </c>
    </row>
    <row r="54" spans="1:14" ht="26.4" x14ac:dyDescent="0.3">
      <c r="A54" s="8" t="s">
        <v>147</v>
      </c>
      <c r="B54" s="8" t="s">
        <v>148</v>
      </c>
      <c r="C54" s="8" t="s">
        <v>149</v>
      </c>
      <c r="D54" s="8" t="s">
        <v>150</v>
      </c>
      <c r="E54" s="8" t="s">
        <v>151</v>
      </c>
    </row>
    <row r="55" spans="1:14" x14ac:dyDescent="0.3">
      <c r="A55" s="9" t="s">
        <v>143</v>
      </c>
      <c r="B55" s="9" t="s">
        <v>152</v>
      </c>
      <c r="C55" s="9" t="s">
        <v>153</v>
      </c>
      <c r="E55" s="9" t="s">
        <v>154</v>
      </c>
    </row>
    <row r="56" spans="1:14" x14ac:dyDescent="0.3">
      <c r="A56" s="9" t="s">
        <v>145</v>
      </c>
      <c r="B56" s="9" t="s">
        <v>152</v>
      </c>
      <c r="C56" s="9" t="s">
        <v>155</v>
      </c>
      <c r="E56" s="9" t="s">
        <v>156</v>
      </c>
    </row>
    <row r="58" spans="1:14" x14ac:dyDescent="0.3">
      <c r="A58" s="7" t="s">
        <v>157</v>
      </c>
    </row>
    <row r="59" spans="1:14" ht="39.6" x14ac:dyDescent="0.3">
      <c r="A59" s="8" t="s">
        <v>158</v>
      </c>
      <c r="B59" s="8" t="s">
        <v>147</v>
      </c>
      <c r="C59" s="8" t="s">
        <v>148</v>
      </c>
      <c r="D59" s="8" t="s">
        <v>159</v>
      </c>
      <c r="E59" s="8" t="s">
        <v>160</v>
      </c>
      <c r="F59" s="8" t="s">
        <v>161</v>
      </c>
      <c r="G59" s="8" t="s">
        <v>162</v>
      </c>
      <c r="H59" s="8" t="s">
        <v>163</v>
      </c>
      <c r="I59" s="8" t="s">
        <v>164</v>
      </c>
      <c r="J59" s="8" t="s">
        <v>165</v>
      </c>
      <c r="K59" s="8" t="s">
        <v>166</v>
      </c>
      <c r="L59" s="8" t="s">
        <v>167</v>
      </c>
      <c r="M59" s="8" t="s">
        <v>168</v>
      </c>
      <c r="N59" s="8" t="s">
        <v>169</v>
      </c>
    </row>
    <row r="60" spans="1:14" x14ac:dyDescent="0.3">
      <c r="A60" s="9" t="s">
        <v>170</v>
      </c>
      <c r="B60" s="9" t="s">
        <v>145</v>
      </c>
      <c r="C60" s="9" t="s">
        <v>152</v>
      </c>
      <c r="D60" s="9" t="s">
        <v>171</v>
      </c>
      <c r="E60" s="10">
        <v>46275</v>
      </c>
      <c r="F60" s="10">
        <v>46309</v>
      </c>
      <c r="G60" s="9" t="s">
        <v>172</v>
      </c>
      <c r="H60" s="13">
        <v>71</v>
      </c>
      <c r="I60" s="13">
        <v>0</v>
      </c>
      <c r="J60" s="9" t="s">
        <v>173</v>
      </c>
      <c r="K60" s="14">
        <f>COUNTIF(Precios!$E$5:$E$75,A60)+COUNTIF(Tasas!$G$5:$G$36,A60)</f>
        <v>71</v>
      </c>
      <c r="L60" s="15">
        <f>IF(COUNTIF(Precios!$E$5:$E$75,A60)&gt;0,_xlfn.MINIFS(Precios!$B$5:$B$75,Precios!$E$5:$E$75,A60),_xlfn.MINIFS(Tasas!$B$5:$B$36,Tasas!$G$5:$G$36,A60))</f>
        <v>46275</v>
      </c>
      <c r="M60" s="15">
        <f>IF(COUNTIF(Precios!$E$5:$E$75,A60)&gt;0,_xlfn.MAXIFS(Precios!$B$5:$B$75,Precios!$E$5:$E$75,A60),_xlfn.MAXIFS(Tasas!$B$5:$B$36,Tasas!$G$5:$G$36,A60))</f>
        <v>46309</v>
      </c>
      <c r="N60" s="11" t="b">
        <f>AND(H60=K60,E60=L60,F60=M60,D60="semilla",I60&gt;=0,COUNTIFS(Entradas!$A$55:$A$56,B60,Entradas!$B$55:$B$56,C60)=1)</f>
        <v>1</v>
      </c>
    </row>
    <row r="61" spans="1:14" x14ac:dyDescent="0.3">
      <c r="A61" s="9" t="s">
        <v>174</v>
      </c>
      <c r="B61" s="9" t="s">
        <v>143</v>
      </c>
      <c r="C61" s="9" t="s">
        <v>152</v>
      </c>
      <c r="D61" s="9" t="s">
        <v>171</v>
      </c>
      <c r="E61" s="10">
        <v>46261</v>
      </c>
      <c r="F61" s="10">
        <v>46310</v>
      </c>
      <c r="G61" s="9" t="s">
        <v>172</v>
      </c>
      <c r="H61" s="13">
        <v>32</v>
      </c>
      <c r="I61" s="13">
        <v>0</v>
      </c>
      <c r="J61" s="9" t="s">
        <v>173</v>
      </c>
      <c r="K61" s="14">
        <f>COUNTIF(Precios!$E$5:$E$75,A61)+COUNTIF(Tasas!$G$5:$G$36,A61)</f>
        <v>32</v>
      </c>
      <c r="L61" s="15">
        <f>IF(COUNTIF(Precios!$E$5:$E$75,A61)&gt;0,_xlfn.MINIFS(Precios!$B$5:$B$75,Precios!$E$5:$E$75,A61),_xlfn.MINIFS(Tasas!$B$5:$B$36,Tasas!$G$5:$G$36,A61))</f>
        <v>46261</v>
      </c>
      <c r="M61" s="15">
        <f>IF(COUNTIF(Precios!$E$5:$E$75,A61)&gt;0,_xlfn.MAXIFS(Precios!$B$5:$B$75,Precios!$E$5:$E$75,A61),_xlfn.MAXIFS(Tasas!$B$5:$B$36,Tasas!$G$5:$G$36,A61))</f>
        <v>46310</v>
      </c>
      <c r="N61" s="11" t="b">
        <f>AND(H61=K61,E61=L61,F61=M61,D61="semilla",I61&gt;=0,COUNTIFS(Entradas!$A$55:$A$56,B61,Entradas!$B$55:$B$56,C61)=1)</f>
        <v>1</v>
      </c>
    </row>
    <row r="63" spans="1:14" x14ac:dyDescent="0.3">
      <c r="A63" s="7" t="s">
        <v>175</v>
      </c>
      <c r="E63" s="6" t="s">
        <v>176</v>
      </c>
    </row>
    <row r="64" spans="1:14" x14ac:dyDescent="0.3">
      <c r="A64" s="8" t="s">
        <v>177</v>
      </c>
      <c r="B64" s="8" t="s">
        <v>178</v>
      </c>
      <c r="C64" s="8" t="s">
        <v>179</v>
      </c>
      <c r="D64" s="8" t="s">
        <v>81</v>
      </c>
    </row>
    <row r="65" spans="1:4" x14ac:dyDescent="0.3">
      <c r="A65" s="10">
        <v>46023</v>
      </c>
      <c r="B65" s="9" t="s">
        <v>180</v>
      </c>
      <c r="C65" s="9" t="s">
        <v>181</v>
      </c>
      <c r="D65" s="9" t="s">
        <v>182</v>
      </c>
    </row>
    <row r="66" spans="1:4" x14ac:dyDescent="0.3">
      <c r="A66" s="10">
        <v>46025</v>
      </c>
      <c r="B66" s="9" t="s">
        <v>183</v>
      </c>
      <c r="C66" s="9" t="s">
        <v>184</v>
      </c>
      <c r="D66" s="9" t="s">
        <v>185</v>
      </c>
    </row>
    <row r="67" spans="1:4" x14ac:dyDescent="0.3">
      <c r="A67" s="10">
        <v>46026</v>
      </c>
      <c r="B67" s="9" t="s">
        <v>186</v>
      </c>
      <c r="C67" s="9" t="s">
        <v>184</v>
      </c>
      <c r="D67" s="9" t="s">
        <v>185</v>
      </c>
    </row>
    <row r="68" spans="1:4" x14ac:dyDescent="0.3">
      <c r="A68" s="10">
        <v>46032</v>
      </c>
      <c r="B68" s="9" t="s">
        <v>183</v>
      </c>
      <c r="C68" s="9" t="s">
        <v>184</v>
      </c>
      <c r="D68" s="9" t="s">
        <v>185</v>
      </c>
    </row>
    <row r="69" spans="1:4" x14ac:dyDescent="0.3">
      <c r="A69" s="10">
        <v>46033</v>
      </c>
      <c r="B69" s="9" t="s">
        <v>186</v>
      </c>
      <c r="C69" s="9" t="s">
        <v>184</v>
      </c>
      <c r="D69" s="9" t="s">
        <v>185</v>
      </c>
    </row>
    <row r="70" spans="1:4" x14ac:dyDescent="0.3">
      <c r="A70" s="10">
        <v>46039</v>
      </c>
      <c r="B70" s="9" t="s">
        <v>183</v>
      </c>
      <c r="C70" s="9" t="s">
        <v>184</v>
      </c>
      <c r="D70" s="9" t="s">
        <v>185</v>
      </c>
    </row>
    <row r="71" spans="1:4" x14ac:dyDescent="0.3">
      <c r="A71" s="10">
        <v>46040</v>
      </c>
      <c r="B71" s="9" t="s">
        <v>186</v>
      </c>
      <c r="C71" s="9" t="s">
        <v>184</v>
      </c>
      <c r="D71" s="9" t="s">
        <v>185</v>
      </c>
    </row>
    <row r="72" spans="1:4" x14ac:dyDescent="0.3">
      <c r="A72" s="10">
        <v>46046</v>
      </c>
      <c r="B72" s="9" t="s">
        <v>183</v>
      </c>
      <c r="C72" s="9" t="s">
        <v>184</v>
      </c>
      <c r="D72" s="9" t="s">
        <v>185</v>
      </c>
    </row>
    <row r="73" spans="1:4" x14ac:dyDescent="0.3">
      <c r="A73" s="10">
        <v>46047</v>
      </c>
      <c r="B73" s="9" t="s">
        <v>186</v>
      </c>
      <c r="C73" s="9" t="s">
        <v>184</v>
      </c>
      <c r="D73" s="9" t="s">
        <v>185</v>
      </c>
    </row>
    <row r="74" spans="1:4" x14ac:dyDescent="0.3">
      <c r="A74" s="10">
        <v>46053</v>
      </c>
      <c r="B74" s="9" t="s">
        <v>183</v>
      </c>
      <c r="C74" s="9" t="s">
        <v>184</v>
      </c>
      <c r="D74" s="9" t="s">
        <v>185</v>
      </c>
    </row>
    <row r="75" spans="1:4" x14ac:dyDescent="0.3">
      <c r="A75" s="10">
        <v>46054</v>
      </c>
      <c r="B75" s="9" t="s">
        <v>186</v>
      </c>
      <c r="C75" s="9" t="s">
        <v>184</v>
      </c>
      <c r="D75" s="9" t="s">
        <v>185</v>
      </c>
    </row>
    <row r="76" spans="1:4" x14ac:dyDescent="0.3">
      <c r="A76" s="10">
        <v>46055</v>
      </c>
      <c r="B76" s="9" t="s">
        <v>187</v>
      </c>
      <c r="C76" s="9" t="s">
        <v>181</v>
      </c>
      <c r="D76" s="9" t="s">
        <v>188</v>
      </c>
    </row>
    <row r="77" spans="1:4" x14ac:dyDescent="0.3">
      <c r="A77" s="10">
        <v>46060</v>
      </c>
      <c r="B77" s="9" t="s">
        <v>183</v>
      </c>
      <c r="C77" s="9" t="s">
        <v>184</v>
      </c>
      <c r="D77" s="9" t="s">
        <v>185</v>
      </c>
    </row>
    <row r="78" spans="1:4" x14ac:dyDescent="0.3">
      <c r="A78" s="10">
        <v>46061</v>
      </c>
      <c r="B78" s="9" t="s">
        <v>186</v>
      </c>
      <c r="C78" s="9" t="s">
        <v>184</v>
      </c>
      <c r="D78" s="9" t="s">
        <v>185</v>
      </c>
    </row>
    <row r="79" spans="1:4" x14ac:dyDescent="0.3">
      <c r="A79" s="10">
        <v>46067</v>
      </c>
      <c r="B79" s="9" t="s">
        <v>183</v>
      </c>
      <c r="C79" s="9" t="s">
        <v>184</v>
      </c>
      <c r="D79" s="9" t="s">
        <v>185</v>
      </c>
    </row>
    <row r="80" spans="1:4" x14ac:dyDescent="0.3">
      <c r="A80" s="10">
        <v>46068</v>
      </c>
      <c r="B80" s="9" t="s">
        <v>186</v>
      </c>
      <c r="C80" s="9" t="s">
        <v>184</v>
      </c>
      <c r="D80" s="9" t="s">
        <v>185</v>
      </c>
    </row>
    <row r="81" spans="1:4" x14ac:dyDescent="0.3">
      <c r="A81" s="10">
        <v>46074</v>
      </c>
      <c r="B81" s="9" t="s">
        <v>183</v>
      </c>
      <c r="C81" s="9" t="s">
        <v>184</v>
      </c>
      <c r="D81" s="9" t="s">
        <v>185</v>
      </c>
    </row>
    <row r="82" spans="1:4" x14ac:dyDescent="0.3">
      <c r="A82" s="10">
        <v>46075</v>
      </c>
      <c r="B82" s="9" t="s">
        <v>186</v>
      </c>
      <c r="C82" s="9" t="s">
        <v>184</v>
      </c>
      <c r="D82" s="9" t="s">
        <v>185</v>
      </c>
    </row>
    <row r="83" spans="1:4" x14ac:dyDescent="0.3">
      <c r="A83" s="10">
        <v>46081</v>
      </c>
      <c r="B83" s="9" t="s">
        <v>183</v>
      </c>
      <c r="C83" s="9" t="s">
        <v>184</v>
      </c>
      <c r="D83" s="9" t="s">
        <v>185</v>
      </c>
    </row>
    <row r="84" spans="1:4" x14ac:dyDescent="0.3">
      <c r="A84" s="10">
        <v>46082</v>
      </c>
      <c r="B84" s="9" t="s">
        <v>186</v>
      </c>
      <c r="C84" s="9" t="s">
        <v>184</v>
      </c>
      <c r="D84" s="9" t="s">
        <v>185</v>
      </c>
    </row>
    <row r="85" spans="1:4" x14ac:dyDescent="0.3">
      <c r="A85" s="10">
        <v>46088</v>
      </c>
      <c r="B85" s="9" t="s">
        <v>183</v>
      </c>
      <c r="C85" s="9" t="s">
        <v>184</v>
      </c>
      <c r="D85" s="9" t="s">
        <v>185</v>
      </c>
    </row>
    <row r="86" spans="1:4" x14ac:dyDescent="0.3">
      <c r="A86" s="10">
        <v>46089</v>
      </c>
      <c r="B86" s="9" t="s">
        <v>186</v>
      </c>
      <c r="C86" s="9" t="s">
        <v>184</v>
      </c>
      <c r="D86" s="9" t="s">
        <v>185</v>
      </c>
    </row>
    <row r="87" spans="1:4" x14ac:dyDescent="0.3">
      <c r="A87" s="10">
        <v>46095</v>
      </c>
      <c r="B87" s="9" t="s">
        <v>183</v>
      </c>
      <c r="C87" s="9" t="s">
        <v>184</v>
      </c>
      <c r="D87" s="9" t="s">
        <v>185</v>
      </c>
    </row>
    <row r="88" spans="1:4" x14ac:dyDescent="0.3">
      <c r="A88" s="10">
        <v>46096</v>
      </c>
      <c r="B88" s="9" t="s">
        <v>186</v>
      </c>
      <c r="C88" s="9" t="s">
        <v>184</v>
      </c>
      <c r="D88" s="9" t="s">
        <v>185</v>
      </c>
    </row>
    <row r="89" spans="1:4" x14ac:dyDescent="0.3">
      <c r="A89" s="10">
        <v>46097</v>
      </c>
      <c r="B89" s="9" t="s">
        <v>187</v>
      </c>
      <c r="C89" s="9" t="s">
        <v>181</v>
      </c>
      <c r="D89" s="9" t="s">
        <v>189</v>
      </c>
    </row>
    <row r="90" spans="1:4" x14ac:dyDescent="0.3">
      <c r="A90" s="10">
        <v>46102</v>
      </c>
      <c r="B90" s="9" t="s">
        <v>183</v>
      </c>
      <c r="C90" s="9" t="s">
        <v>184</v>
      </c>
      <c r="D90" s="9" t="s">
        <v>185</v>
      </c>
    </row>
    <row r="91" spans="1:4" x14ac:dyDescent="0.3">
      <c r="A91" s="10">
        <v>46103</v>
      </c>
      <c r="B91" s="9" t="s">
        <v>186</v>
      </c>
      <c r="C91" s="9" t="s">
        <v>184</v>
      </c>
      <c r="D91" s="9" t="s">
        <v>185</v>
      </c>
    </row>
    <row r="92" spans="1:4" x14ac:dyDescent="0.3">
      <c r="A92" s="10">
        <v>46109</v>
      </c>
      <c r="B92" s="9" t="s">
        <v>183</v>
      </c>
      <c r="C92" s="9" t="s">
        <v>184</v>
      </c>
      <c r="D92" s="9" t="s">
        <v>185</v>
      </c>
    </row>
    <row r="93" spans="1:4" x14ac:dyDescent="0.3">
      <c r="A93" s="10">
        <v>46110</v>
      </c>
      <c r="B93" s="9" t="s">
        <v>186</v>
      </c>
      <c r="C93" s="9" t="s">
        <v>184</v>
      </c>
      <c r="D93" s="9" t="s">
        <v>185</v>
      </c>
    </row>
    <row r="94" spans="1:4" x14ac:dyDescent="0.3">
      <c r="A94" s="10">
        <v>46114</v>
      </c>
      <c r="B94" s="9" t="s">
        <v>180</v>
      </c>
      <c r="C94" s="9" t="s">
        <v>181</v>
      </c>
      <c r="D94" s="9" t="s">
        <v>190</v>
      </c>
    </row>
    <row r="95" spans="1:4" x14ac:dyDescent="0.3">
      <c r="A95" s="10">
        <v>46115</v>
      </c>
      <c r="B95" s="9" t="s">
        <v>191</v>
      </c>
      <c r="C95" s="9" t="s">
        <v>181</v>
      </c>
      <c r="D95" s="9" t="s">
        <v>192</v>
      </c>
    </row>
    <row r="96" spans="1:4" x14ac:dyDescent="0.3">
      <c r="A96" s="10">
        <v>46116</v>
      </c>
      <c r="B96" s="9" t="s">
        <v>183</v>
      </c>
      <c r="C96" s="9" t="s">
        <v>184</v>
      </c>
      <c r="D96" s="9" t="s">
        <v>185</v>
      </c>
    </row>
    <row r="97" spans="1:4" x14ac:dyDescent="0.3">
      <c r="A97" s="10">
        <v>46117</v>
      </c>
      <c r="B97" s="9" t="s">
        <v>186</v>
      </c>
      <c r="C97" s="9" t="s">
        <v>184</v>
      </c>
      <c r="D97" s="9" t="s">
        <v>185</v>
      </c>
    </row>
    <row r="98" spans="1:4" x14ac:dyDescent="0.3">
      <c r="A98" s="10">
        <v>46123</v>
      </c>
      <c r="B98" s="9" t="s">
        <v>183</v>
      </c>
      <c r="C98" s="9" t="s">
        <v>184</v>
      </c>
      <c r="D98" s="9" t="s">
        <v>185</v>
      </c>
    </row>
    <row r="99" spans="1:4" x14ac:dyDescent="0.3">
      <c r="A99" s="10">
        <v>46124</v>
      </c>
      <c r="B99" s="9" t="s">
        <v>186</v>
      </c>
      <c r="C99" s="9" t="s">
        <v>184</v>
      </c>
      <c r="D99" s="9" t="s">
        <v>185</v>
      </c>
    </row>
    <row r="100" spans="1:4" x14ac:dyDescent="0.3">
      <c r="A100" s="10">
        <v>46130</v>
      </c>
      <c r="B100" s="9" t="s">
        <v>183</v>
      </c>
      <c r="C100" s="9" t="s">
        <v>184</v>
      </c>
      <c r="D100" s="9" t="s">
        <v>185</v>
      </c>
    </row>
    <row r="101" spans="1:4" x14ac:dyDescent="0.3">
      <c r="A101" s="10">
        <v>46131</v>
      </c>
      <c r="B101" s="9" t="s">
        <v>186</v>
      </c>
      <c r="C101" s="9" t="s">
        <v>184</v>
      </c>
      <c r="D101" s="9" t="s">
        <v>185</v>
      </c>
    </row>
    <row r="102" spans="1:4" x14ac:dyDescent="0.3">
      <c r="A102" s="10">
        <v>46137</v>
      </c>
      <c r="B102" s="9" t="s">
        <v>183</v>
      </c>
      <c r="C102" s="9" t="s">
        <v>184</v>
      </c>
      <c r="D102" s="9" t="s">
        <v>185</v>
      </c>
    </row>
    <row r="103" spans="1:4" x14ac:dyDescent="0.3">
      <c r="A103" s="10">
        <v>46138</v>
      </c>
      <c r="B103" s="9" t="s">
        <v>186</v>
      </c>
      <c r="C103" s="9" t="s">
        <v>184</v>
      </c>
      <c r="D103" s="9" t="s">
        <v>185</v>
      </c>
    </row>
    <row r="104" spans="1:4" x14ac:dyDescent="0.3">
      <c r="A104" s="10">
        <v>46143</v>
      </c>
      <c r="B104" s="9" t="s">
        <v>191</v>
      </c>
      <c r="C104" s="9" t="s">
        <v>181</v>
      </c>
      <c r="D104" s="9" t="s">
        <v>193</v>
      </c>
    </row>
    <row r="105" spans="1:4" x14ac:dyDescent="0.3">
      <c r="A105" s="10">
        <v>46144</v>
      </c>
      <c r="B105" s="9" t="s">
        <v>183</v>
      </c>
      <c r="C105" s="9" t="s">
        <v>184</v>
      </c>
      <c r="D105" s="9" t="s">
        <v>185</v>
      </c>
    </row>
    <row r="106" spans="1:4" x14ac:dyDescent="0.3">
      <c r="A106" s="10">
        <v>46145</v>
      </c>
      <c r="B106" s="9" t="s">
        <v>186</v>
      </c>
      <c r="C106" s="9" t="s">
        <v>184</v>
      </c>
      <c r="D106" s="9" t="s">
        <v>185</v>
      </c>
    </row>
    <row r="107" spans="1:4" x14ac:dyDescent="0.3">
      <c r="A107" s="10">
        <v>46151</v>
      </c>
      <c r="B107" s="9" t="s">
        <v>183</v>
      </c>
      <c r="C107" s="9" t="s">
        <v>184</v>
      </c>
      <c r="D107" s="9" t="s">
        <v>185</v>
      </c>
    </row>
    <row r="108" spans="1:4" x14ac:dyDescent="0.3">
      <c r="A108" s="10">
        <v>46152</v>
      </c>
      <c r="B108" s="9" t="s">
        <v>186</v>
      </c>
      <c r="C108" s="9" t="s">
        <v>184</v>
      </c>
      <c r="D108" s="9" t="s">
        <v>185</v>
      </c>
    </row>
    <row r="109" spans="1:4" x14ac:dyDescent="0.3">
      <c r="A109" s="10">
        <v>46158</v>
      </c>
      <c r="B109" s="9" t="s">
        <v>183</v>
      </c>
      <c r="C109" s="9" t="s">
        <v>184</v>
      </c>
      <c r="D109" s="9" t="s">
        <v>185</v>
      </c>
    </row>
    <row r="110" spans="1:4" x14ac:dyDescent="0.3">
      <c r="A110" s="10">
        <v>46159</v>
      </c>
      <c r="B110" s="9" t="s">
        <v>186</v>
      </c>
      <c r="C110" s="9" t="s">
        <v>184</v>
      </c>
      <c r="D110" s="9" t="s">
        <v>185</v>
      </c>
    </row>
    <row r="111" spans="1:4" x14ac:dyDescent="0.3">
      <c r="A111" s="10">
        <v>46165</v>
      </c>
      <c r="B111" s="9" t="s">
        <v>183</v>
      </c>
      <c r="C111" s="9" t="s">
        <v>184</v>
      </c>
      <c r="D111" s="9" t="s">
        <v>185</v>
      </c>
    </row>
    <row r="112" spans="1:4" x14ac:dyDescent="0.3">
      <c r="A112" s="10">
        <v>46166</v>
      </c>
      <c r="B112" s="9" t="s">
        <v>186</v>
      </c>
      <c r="C112" s="9" t="s">
        <v>184</v>
      </c>
      <c r="D112" s="9" t="s">
        <v>185</v>
      </c>
    </row>
    <row r="113" spans="1:4" x14ac:dyDescent="0.3">
      <c r="A113" s="10">
        <v>46172</v>
      </c>
      <c r="B113" s="9" t="s">
        <v>183</v>
      </c>
      <c r="C113" s="9" t="s">
        <v>184</v>
      </c>
      <c r="D113" s="9" t="s">
        <v>185</v>
      </c>
    </row>
    <row r="114" spans="1:4" x14ac:dyDescent="0.3">
      <c r="A114" s="10">
        <v>46173</v>
      </c>
      <c r="B114" s="9" t="s">
        <v>186</v>
      </c>
      <c r="C114" s="9" t="s">
        <v>184</v>
      </c>
      <c r="D114" s="9" t="s">
        <v>185</v>
      </c>
    </row>
    <row r="115" spans="1:4" x14ac:dyDescent="0.3">
      <c r="A115" s="10">
        <v>46179</v>
      </c>
      <c r="B115" s="9" t="s">
        <v>183</v>
      </c>
      <c r="C115" s="9" t="s">
        <v>184</v>
      </c>
      <c r="D115" s="9" t="s">
        <v>185</v>
      </c>
    </row>
    <row r="116" spans="1:4" x14ac:dyDescent="0.3">
      <c r="A116" s="10">
        <v>46180</v>
      </c>
      <c r="B116" s="9" t="s">
        <v>186</v>
      </c>
      <c r="C116" s="9" t="s">
        <v>184</v>
      </c>
      <c r="D116" s="9" t="s">
        <v>185</v>
      </c>
    </row>
    <row r="117" spans="1:4" x14ac:dyDescent="0.3">
      <c r="A117" s="10">
        <v>46186</v>
      </c>
      <c r="B117" s="9" t="s">
        <v>183</v>
      </c>
      <c r="C117" s="9" t="s">
        <v>184</v>
      </c>
      <c r="D117" s="9" t="s">
        <v>185</v>
      </c>
    </row>
    <row r="118" spans="1:4" x14ac:dyDescent="0.3">
      <c r="A118" s="10">
        <v>46187</v>
      </c>
      <c r="B118" s="9" t="s">
        <v>186</v>
      </c>
      <c r="C118" s="9" t="s">
        <v>184</v>
      </c>
      <c r="D118" s="9" t="s">
        <v>185</v>
      </c>
    </row>
    <row r="119" spans="1:4" x14ac:dyDescent="0.3">
      <c r="A119" s="10">
        <v>46193</v>
      </c>
      <c r="B119" s="9" t="s">
        <v>183</v>
      </c>
      <c r="C119" s="9" t="s">
        <v>184</v>
      </c>
      <c r="D119" s="9" t="s">
        <v>185</v>
      </c>
    </row>
    <row r="120" spans="1:4" x14ac:dyDescent="0.3">
      <c r="A120" s="10">
        <v>46194</v>
      </c>
      <c r="B120" s="9" t="s">
        <v>186</v>
      </c>
      <c r="C120" s="9" t="s">
        <v>184</v>
      </c>
      <c r="D120" s="9" t="s">
        <v>185</v>
      </c>
    </row>
    <row r="121" spans="1:4" x14ac:dyDescent="0.3">
      <c r="A121" s="10">
        <v>46200</v>
      </c>
      <c r="B121" s="9" t="s">
        <v>183</v>
      </c>
      <c r="C121" s="9" t="s">
        <v>184</v>
      </c>
      <c r="D121" s="9" t="s">
        <v>185</v>
      </c>
    </row>
    <row r="122" spans="1:4" x14ac:dyDescent="0.3">
      <c r="A122" s="10">
        <v>46201</v>
      </c>
      <c r="B122" s="9" t="s">
        <v>186</v>
      </c>
      <c r="C122" s="9" t="s">
        <v>184</v>
      </c>
      <c r="D122" s="9" t="s">
        <v>185</v>
      </c>
    </row>
    <row r="123" spans="1:4" x14ac:dyDescent="0.3">
      <c r="A123" s="10">
        <v>46207</v>
      </c>
      <c r="B123" s="9" t="s">
        <v>183</v>
      </c>
      <c r="C123" s="9" t="s">
        <v>184</v>
      </c>
      <c r="D123" s="9" t="s">
        <v>185</v>
      </c>
    </row>
    <row r="124" spans="1:4" x14ac:dyDescent="0.3">
      <c r="A124" s="10">
        <v>46208</v>
      </c>
      <c r="B124" s="9" t="s">
        <v>186</v>
      </c>
      <c r="C124" s="9" t="s">
        <v>184</v>
      </c>
      <c r="D124" s="9" t="s">
        <v>185</v>
      </c>
    </row>
    <row r="125" spans="1:4" x14ac:dyDescent="0.3">
      <c r="A125" s="10">
        <v>46214</v>
      </c>
      <c r="B125" s="9" t="s">
        <v>183</v>
      </c>
      <c r="C125" s="9" t="s">
        <v>184</v>
      </c>
      <c r="D125" s="9" t="s">
        <v>185</v>
      </c>
    </row>
    <row r="126" spans="1:4" x14ac:dyDescent="0.3">
      <c r="A126" s="10">
        <v>46215</v>
      </c>
      <c r="B126" s="9" t="s">
        <v>186</v>
      </c>
      <c r="C126" s="9" t="s">
        <v>184</v>
      </c>
      <c r="D126" s="9" t="s">
        <v>185</v>
      </c>
    </row>
    <row r="127" spans="1:4" x14ac:dyDescent="0.3">
      <c r="A127" s="10">
        <v>46221</v>
      </c>
      <c r="B127" s="9" t="s">
        <v>183</v>
      </c>
      <c r="C127" s="9" t="s">
        <v>184</v>
      </c>
      <c r="D127" s="9" t="s">
        <v>185</v>
      </c>
    </row>
    <row r="128" spans="1:4" x14ac:dyDescent="0.3">
      <c r="A128" s="10">
        <v>46222</v>
      </c>
      <c r="B128" s="9" t="s">
        <v>186</v>
      </c>
      <c r="C128" s="9" t="s">
        <v>184</v>
      </c>
      <c r="D128" s="9" t="s">
        <v>185</v>
      </c>
    </row>
    <row r="129" spans="1:4" x14ac:dyDescent="0.3">
      <c r="A129" s="10">
        <v>46228</v>
      </c>
      <c r="B129" s="9" t="s">
        <v>183</v>
      </c>
      <c r="C129" s="9" t="s">
        <v>184</v>
      </c>
      <c r="D129" s="9" t="s">
        <v>185</v>
      </c>
    </row>
    <row r="130" spans="1:4" x14ac:dyDescent="0.3">
      <c r="A130" s="10">
        <v>46229</v>
      </c>
      <c r="B130" s="9" t="s">
        <v>186</v>
      </c>
      <c r="C130" s="9" t="s">
        <v>184</v>
      </c>
      <c r="D130" s="9" t="s">
        <v>185</v>
      </c>
    </row>
    <row r="131" spans="1:4" x14ac:dyDescent="0.3">
      <c r="A131" s="10">
        <v>46235</v>
      </c>
      <c r="B131" s="9" t="s">
        <v>183</v>
      </c>
      <c r="C131" s="9" t="s">
        <v>184</v>
      </c>
      <c r="D131" s="9" t="s">
        <v>185</v>
      </c>
    </row>
    <row r="132" spans="1:4" x14ac:dyDescent="0.3">
      <c r="A132" s="10">
        <v>46236</v>
      </c>
      <c r="B132" s="9" t="s">
        <v>186</v>
      </c>
      <c r="C132" s="9" t="s">
        <v>184</v>
      </c>
      <c r="D132" s="9" t="s">
        <v>185</v>
      </c>
    </row>
    <row r="133" spans="1:4" x14ac:dyDescent="0.3">
      <c r="A133" s="10">
        <v>46242</v>
      </c>
      <c r="B133" s="9" t="s">
        <v>183</v>
      </c>
      <c r="C133" s="9" t="s">
        <v>184</v>
      </c>
      <c r="D133" s="9" t="s">
        <v>185</v>
      </c>
    </row>
    <row r="134" spans="1:4" x14ac:dyDescent="0.3">
      <c r="A134" s="10">
        <v>46243</v>
      </c>
      <c r="B134" s="9" t="s">
        <v>186</v>
      </c>
      <c r="C134" s="9" t="s">
        <v>184</v>
      </c>
      <c r="D134" s="9" t="s">
        <v>185</v>
      </c>
    </row>
    <row r="135" spans="1:4" x14ac:dyDescent="0.3">
      <c r="A135" s="10">
        <v>46249</v>
      </c>
      <c r="B135" s="9" t="s">
        <v>183</v>
      </c>
      <c r="C135" s="9" t="s">
        <v>184</v>
      </c>
      <c r="D135" s="9" t="s">
        <v>185</v>
      </c>
    </row>
    <row r="136" spans="1:4" x14ac:dyDescent="0.3">
      <c r="A136" s="10">
        <v>46250</v>
      </c>
      <c r="B136" s="9" t="s">
        <v>186</v>
      </c>
      <c r="C136" s="9" t="s">
        <v>184</v>
      </c>
      <c r="D136" s="9" t="s">
        <v>185</v>
      </c>
    </row>
    <row r="137" spans="1:4" x14ac:dyDescent="0.3">
      <c r="A137" s="10">
        <v>46256</v>
      </c>
      <c r="B137" s="9" t="s">
        <v>183</v>
      </c>
      <c r="C137" s="9" t="s">
        <v>184</v>
      </c>
      <c r="D137" s="9" t="s">
        <v>185</v>
      </c>
    </row>
    <row r="138" spans="1:4" x14ac:dyDescent="0.3">
      <c r="A138" s="10">
        <v>46257</v>
      </c>
      <c r="B138" s="9" t="s">
        <v>186</v>
      </c>
      <c r="C138" s="9" t="s">
        <v>184</v>
      </c>
      <c r="D138" s="9" t="s">
        <v>185</v>
      </c>
    </row>
    <row r="139" spans="1:4" x14ac:dyDescent="0.3">
      <c r="A139" s="10">
        <v>46263</v>
      </c>
      <c r="B139" s="9" t="s">
        <v>183</v>
      </c>
      <c r="C139" s="9" t="s">
        <v>184</v>
      </c>
      <c r="D139" s="9" t="s">
        <v>185</v>
      </c>
    </row>
    <row r="140" spans="1:4" x14ac:dyDescent="0.3">
      <c r="A140" s="10">
        <v>46264</v>
      </c>
      <c r="B140" s="9" t="s">
        <v>186</v>
      </c>
      <c r="C140" s="9" t="s">
        <v>184</v>
      </c>
      <c r="D140" s="9" t="s">
        <v>185</v>
      </c>
    </row>
    <row r="141" spans="1:4" x14ac:dyDescent="0.3">
      <c r="A141" s="10">
        <v>46270</v>
      </c>
      <c r="B141" s="9" t="s">
        <v>183</v>
      </c>
      <c r="C141" s="9" t="s">
        <v>184</v>
      </c>
      <c r="D141" s="9" t="s">
        <v>185</v>
      </c>
    </row>
    <row r="142" spans="1:4" x14ac:dyDescent="0.3">
      <c r="A142" s="10">
        <v>46271</v>
      </c>
      <c r="B142" s="9" t="s">
        <v>186</v>
      </c>
      <c r="C142" s="9" t="s">
        <v>184</v>
      </c>
      <c r="D142" s="9" t="s">
        <v>185</v>
      </c>
    </row>
    <row r="143" spans="1:4" x14ac:dyDescent="0.3">
      <c r="A143" s="10">
        <v>46277</v>
      </c>
      <c r="B143" s="9" t="s">
        <v>183</v>
      </c>
      <c r="C143" s="9" t="s">
        <v>184</v>
      </c>
      <c r="D143" s="9" t="s">
        <v>185</v>
      </c>
    </row>
    <row r="144" spans="1:4" x14ac:dyDescent="0.3">
      <c r="A144" s="10">
        <v>46278</v>
      </c>
      <c r="B144" s="9" t="s">
        <v>186</v>
      </c>
      <c r="C144" s="9" t="s">
        <v>184</v>
      </c>
      <c r="D144" s="9" t="s">
        <v>185</v>
      </c>
    </row>
    <row r="145" spans="1:4" x14ac:dyDescent="0.3">
      <c r="A145" s="10">
        <v>46281</v>
      </c>
      <c r="B145" s="9" t="s">
        <v>194</v>
      </c>
      <c r="C145" s="9" t="s">
        <v>181</v>
      </c>
      <c r="D145" s="9" t="s">
        <v>195</v>
      </c>
    </row>
    <row r="146" spans="1:4" x14ac:dyDescent="0.3">
      <c r="A146" s="10">
        <v>46284</v>
      </c>
      <c r="B146" s="9" t="s">
        <v>183</v>
      </c>
      <c r="C146" s="9" t="s">
        <v>184</v>
      </c>
      <c r="D146" s="9" t="s">
        <v>185</v>
      </c>
    </row>
    <row r="147" spans="1:4" x14ac:dyDescent="0.3">
      <c r="A147" s="10">
        <v>46285</v>
      </c>
      <c r="B147" s="9" t="s">
        <v>186</v>
      </c>
      <c r="C147" s="9" t="s">
        <v>184</v>
      </c>
      <c r="D147" s="9" t="s">
        <v>185</v>
      </c>
    </row>
    <row r="148" spans="1:4" x14ac:dyDescent="0.3">
      <c r="A148" s="10">
        <v>46291</v>
      </c>
      <c r="B148" s="9" t="s">
        <v>183</v>
      </c>
      <c r="C148" s="9" t="s">
        <v>184</v>
      </c>
      <c r="D148" s="9" t="s">
        <v>185</v>
      </c>
    </row>
    <row r="149" spans="1:4" x14ac:dyDescent="0.3">
      <c r="A149" s="10">
        <v>46292</v>
      </c>
      <c r="B149" s="9" t="s">
        <v>186</v>
      </c>
      <c r="C149" s="9" t="s">
        <v>184</v>
      </c>
      <c r="D149" s="9" t="s">
        <v>185</v>
      </c>
    </row>
    <row r="150" spans="1:4" x14ac:dyDescent="0.3">
      <c r="A150" s="10">
        <v>46298</v>
      </c>
      <c r="B150" s="9" t="s">
        <v>183</v>
      </c>
      <c r="C150" s="9" t="s">
        <v>184</v>
      </c>
      <c r="D150" s="9" t="s">
        <v>185</v>
      </c>
    </row>
    <row r="151" spans="1:4" x14ac:dyDescent="0.3">
      <c r="A151" s="10">
        <v>46299</v>
      </c>
      <c r="B151" s="9" t="s">
        <v>186</v>
      </c>
      <c r="C151" s="9" t="s">
        <v>184</v>
      </c>
      <c r="D151" s="9" t="s">
        <v>185</v>
      </c>
    </row>
    <row r="152" spans="1:4" x14ac:dyDescent="0.3">
      <c r="A152" s="10">
        <v>46305</v>
      </c>
      <c r="B152" s="9" t="s">
        <v>183</v>
      </c>
      <c r="C152" s="9" t="s">
        <v>184</v>
      </c>
      <c r="D152" s="9" t="s">
        <v>185</v>
      </c>
    </row>
    <row r="153" spans="1:4" x14ac:dyDescent="0.3">
      <c r="A153" s="10">
        <v>46306</v>
      </c>
      <c r="B153" s="9" t="s">
        <v>186</v>
      </c>
      <c r="C153" s="9" t="s">
        <v>184</v>
      </c>
      <c r="D153" s="9" t="s">
        <v>185</v>
      </c>
    </row>
    <row r="154" spans="1:4" x14ac:dyDescent="0.3">
      <c r="A154" s="10">
        <v>46312</v>
      </c>
      <c r="B154" s="9" t="s">
        <v>183</v>
      </c>
      <c r="C154" s="9" t="s">
        <v>184</v>
      </c>
      <c r="D154" s="9" t="s">
        <v>185</v>
      </c>
    </row>
    <row r="155" spans="1:4" x14ac:dyDescent="0.3">
      <c r="A155" s="10">
        <v>46313</v>
      </c>
      <c r="B155" s="9" t="s">
        <v>186</v>
      </c>
      <c r="C155" s="9" t="s">
        <v>184</v>
      </c>
      <c r="D155" s="9" t="s">
        <v>185</v>
      </c>
    </row>
    <row r="156" spans="1:4" x14ac:dyDescent="0.3">
      <c r="A156" s="10">
        <v>46319</v>
      </c>
      <c r="B156" s="9" t="s">
        <v>183</v>
      </c>
      <c r="C156" s="9" t="s">
        <v>184</v>
      </c>
      <c r="D156" s="9" t="s">
        <v>185</v>
      </c>
    </row>
    <row r="157" spans="1:4" x14ac:dyDescent="0.3">
      <c r="A157" s="10">
        <v>46320</v>
      </c>
      <c r="B157" s="9" t="s">
        <v>186</v>
      </c>
      <c r="C157" s="9" t="s">
        <v>184</v>
      </c>
      <c r="D157" s="9" t="s">
        <v>185</v>
      </c>
    </row>
    <row r="158" spans="1:4" x14ac:dyDescent="0.3">
      <c r="A158" s="10">
        <v>46326</v>
      </c>
      <c r="B158" s="9" t="s">
        <v>183</v>
      </c>
      <c r="C158" s="9" t="s">
        <v>184</v>
      </c>
      <c r="D158" s="9" t="s">
        <v>185</v>
      </c>
    </row>
    <row r="159" spans="1:4" x14ac:dyDescent="0.3">
      <c r="A159" s="10">
        <v>46327</v>
      </c>
      <c r="B159" s="9" t="s">
        <v>186</v>
      </c>
      <c r="C159" s="9" t="s">
        <v>184</v>
      </c>
      <c r="D159" s="9" t="s">
        <v>185</v>
      </c>
    </row>
    <row r="160" spans="1:4" x14ac:dyDescent="0.3">
      <c r="A160" s="10">
        <v>46328</v>
      </c>
      <c r="B160" s="9" t="s">
        <v>187</v>
      </c>
      <c r="C160" s="9" t="s">
        <v>181</v>
      </c>
      <c r="D160" s="9" t="s">
        <v>196</v>
      </c>
    </row>
    <row r="161" spans="1:4" x14ac:dyDescent="0.3">
      <c r="A161" s="10">
        <v>46333</v>
      </c>
      <c r="B161" s="9" t="s">
        <v>183</v>
      </c>
      <c r="C161" s="9" t="s">
        <v>184</v>
      </c>
      <c r="D161" s="9" t="s">
        <v>185</v>
      </c>
    </row>
    <row r="162" spans="1:4" x14ac:dyDescent="0.3">
      <c r="A162" s="10">
        <v>46334</v>
      </c>
      <c r="B162" s="9" t="s">
        <v>186</v>
      </c>
      <c r="C162" s="9" t="s">
        <v>184</v>
      </c>
      <c r="D162" s="9" t="s">
        <v>185</v>
      </c>
    </row>
    <row r="163" spans="1:4" x14ac:dyDescent="0.3">
      <c r="A163" s="10">
        <v>46340</v>
      </c>
      <c r="B163" s="9" t="s">
        <v>183</v>
      </c>
      <c r="C163" s="9" t="s">
        <v>184</v>
      </c>
      <c r="D163" s="9" t="s">
        <v>185</v>
      </c>
    </row>
    <row r="164" spans="1:4" x14ac:dyDescent="0.3">
      <c r="A164" s="10">
        <v>46341</v>
      </c>
      <c r="B164" s="9" t="s">
        <v>186</v>
      </c>
      <c r="C164" s="9" t="s">
        <v>184</v>
      </c>
      <c r="D164" s="9" t="s">
        <v>185</v>
      </c>
    </row>
    <row r="165" spans="1:4" x14ac:dyDescent="0.3">
      <c r="A165" s="10">
        <v>46342</v>
      </c>
      <c r="B165" s="9" t="s">
        <v>187</v>
      </c>
      <c r="C165" s="9" t="s">
        <v>181</v>
      </c>
      <c r="D165" s="9" t="s">
        <v>197</v>
      </c>
    </row>
    <row r="166" spans="1:4" x14ac:dyDescent="0.3">
      <c r="A166" s="10">
        <v>46347</v>
      </c>
      <c r="B166" s="9" t="s">
        <v>183</v>
      </c>
      <c r="C166" s="9" t="s">
        <v>184</v>
      </c>
      <c r="D166" s="9" t="s">
        <v>185</v>
      </c>
    </row>
    <row r="167" spans="1:4" x14ac:dyDescent="0.3">
      <c r="A167" s="10">
        <v>46348</v>
      </c>
      <c r="B167" s="9" t="s">
        <v>186</v>
      </c>
      <c r="C167" s="9" t="s">
        <v>184</v>
      </c>
      <c r="D167" s="9" t="s">
        <v>185</v>
      </c>
    </row>
    <row r="168" spans="1:4" x14ac:dyDescent="0.3">
      <c r="A168" s="10">
        <v>46354</v>
      </c>
      <c r="B168" s="9" t="s">
        <v>183</v>
      </c>
      <c r="C168" s="9" t="s">
        <v>184</v>
      </c>
      <c r="D168" s="9" t="s">
        <v>185</v>
      </c>
    </row>
    <row r="169" spans="1:4" x14ac:dyDescent="0.3">
      <c r="A169" s="10">
        <v>46355</v>
      </c>
      <c r="B169" s="9" t="s">
        <v>186</v>
      </c>
      <c r="C169" s="9" t="s">
        <v>184</v>
      </c>
      <c r="D169" s="9" t="s">
        <v>185</v>
      </c>
    </row>
    <row r="170" spans="1:4" x14ac:dyDescent="0.3">
      <c r="A170" s="10">
        <v>46361</v>
      </c>
      <c r="B170" s="9" t="s">
        <v>183</v>
      </c>
      <c r="C170" s="9" t="s">
        <v>184</v>
      </c>
      <c r="D170" s="9" t="s">
        <v>185</v>
      </c>
    </row>
    <row r="171" spans="1:4" x14ac:dyDescent="0.3">
      <c r="A171" s="10">
        <v>46362</v>
      </c>
      <c r="B171" s="9" t="s">
        <v>186</v>
      </c>
      <c r="C171" s="9" t="s">
        <v>184</v>
      </c>
      <c r="D171" s="9" t="s">
        <v>185</v>
      </c>
    </row>
    <row r="172" spans="1:4" x14ac:dyDescent="0.3">
      <c r="A172" s="10">
        <v>46368</v>
      </c>
      <c r="B172" s="9" t="s">
        <v>183</v>
      </c>
      <c r="C172" s="9" t="s">
        <v>181</v>
      </c>
      <c r="D172" s="9" t="s">
        <v>198</v>
      </c>
    </row>
    <row r="173" spans="1:4" x14ac:dyDescent="0.3">
      <c r="A173" s="10">
        <v>46369</v>
      </c>
      <c r="B173" s="9" t="s">
        <v>186</v>
      </c>
      <c r="C173" s="9" t="s">
        <v>184</v>
      </c>
      <c r="D173" s="9" t="s">
        <v>185</v>
      </c>
    </row>
    <row r="174" spans="1:4" x14ac:dyDescent="0.3">
      <c r="A174" s="10">
        <v>46375</v>
      </c>
      <c r="B174" s="9" t="s">
        <v>183</v>
      </c>
      <c r="C174" s="9" t="s">
        <v>184</v>
      </c>
      <c r="D174" s="9" t="s">
        <v>185</v>
      </c>
    </row>
    <row r="175" spans="1:4" x14ac:dyDescent="0.3">
      <c r="A175" s="10">
        <v>46376</v>
      </c>
      <c r="B175" s="9" t="s">
        <v>186</v>
      </c>
      <c r="C175" s="9" t="s">
        <v>184</v>
      </c>
      <c r="D175" s="9" t="s">
        <v>185</v>
      </c>
    </row>
    <row r="176" spans="1:4" x14ac:dyDescent="0.3">
      <c r="A176" s="10">
        <v>46381</v>
      </c>
      <c r="B176" s="9" t="s">
        <v>191</v>
      </c>
      <c r="C176" s="9" t="s">
        <v>181</v>
      </c>
      <c r="D176" s="9" t="s">
        <v>199</v>
      </c>
    </row>
    <row r="177" spans="1:4" x14ac:dyDescent="0.3">
      <c r="A177" s="10">
        <v>46382</v>
      </c>
      <c r="B177" s="9" t="s">
        <v>183</v>
      </c>
      <c r="C177" s="9" t="s">
        <v>184</v>
      </c>
      <c r="D177" s="9" t="s">
        <v>185</v>
      </c>
    </row>
    <row r="178" spans="1:4" x14ac:dyDescent="0.3">
      <c r="A178" s="10">
        <v>46383</v>
      </c>
      <c r="B178" s="9" t="s">
        <v>186</v>
      </c>
      <c r="C178" s="9" t="s">
        <v>184</v>
      </c>
      <c r="D178" s="9" t="s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12" customWidth="1"/>
    <col min="3" max="4" width="11" customWidth="1"/>
    <col min="5" max="5" width="8" customWidth="1"/>
    <col min="6" max="6" width="12" customWidth="1"/>
    <col min="7" max="7" width="9" customWidth="1"/>
    <col min="8" max="8" width="12" customWidth="1"/>
    <col min="9" max="9" width="11" customWidth="1"/>
    <col min="10" max="10" width="40" customWidth="1"/>
    <col min="11" max="11" width="9" customWidth="1"/>
    <col min="12" max="12" width="12" customWidth="1"/>
    <col min="13" max="13" width="6" customWidth="1"/>
    <col min="14" max="14" width="9" customWidth="1"/>
    <col min="15" max="19" width="14" customWidth="1"/>
    <col min="20" max="20" width="26" customWidth="1"/>
    <col min="21" max="21" width="12" customWidth="1"/>
    <col min="22" max="23" width="9" customWidth="1"/>
    <col min="24" max="24" width="12" customWidth="1"/>
    <col min="25" max="26" width="14" customWidth="1"/>
    <col min="27" max="27" width="13" customWidth="1"/>
    <col min="28" max="28" width="9" customWidth="1"/>
    <col min="29" max="30" width="10" customWidth="1"/>
    <col min="31" max="32" width="12" customWidth="1"/>
  </cols>
  <sheetData>
    <row r="1" spans="1:32" ht="17.399999999999999" x14ac:dyDescent="0.3">
      <c r="A1" s="5" t="s">
        <v>200</v>
      </c>
    </row>
    <row r="2" spans="1:32" x14ac:dyDescent="0.3">
      <c r="A2" s="6" t="s">
        <v>201</v>
      </c>
    </row>
    <row r="4" spans="1:32" ht="66" x14ac:dyDescent="0.3">
      <c r="A4" s="8" t="s">
        <v>202</v>
      </c>
      <c r="B4" s="8" t="s">
        <v>89</v>
      </c>
      <c r="C4" s="8" t="s">
        <v>203</v>
      </c>
      <c r="D4" s="8" t="s">
        <v>204</v>
      </c>
      <c r="E4" s="8" t="s">
        <v>179</v>
      </c>
      <c r="F4" s="8" t="s">
        <v>205</v>
      </c>
      <c r="G4" s="8" t="s">
        <v>206</v>
      </c>
      <c r="H4" s="8" t="s">
        <v>207</v>
      </c>
      <c r="I4" s="8" t="s">
        <v>208</v>
      </c>
      <c r="J4" s="8" t="s">
        <v>92</v>
      </c>
      <c r="K4" s="8" t="s">
        <v>116</v>
      </c>
      <c r="L4" s="8" t="s">
        <v>119</v>
      </c>
      <c r="M4" s="8" t="s">
        <v>209</v>
      </c>
      <c r="N4" s="8" t="s">
        <v>210</v>
      </c>
      <c r="O4" s="8" t="s">
        <v>211</v>
      </c>
      <c r="P4" s="8" t="s">
        <v>212</v>
      </c>
      <c r="Q4" s="8" t="s">
        <v>213</v>
      </c>
      <c r="R4" s="8" t="s">
        <v>214</v>
      </c>
      <c r="S4" s="8" t="s">
        <v>215</v>
      </c>
      <c r="T4" s="8" t="s">
        <v>216</v>
      </c>
      <c r="U4" s="8" t="s">
        <v>217</v>
      </c>
      <c r="V4" s="8" t="s">
        <v>218</v>
      </c>
      <c r="W4" s="8" t="s">
        <v>219</v>
      </c>
      <c r="X4" s="8" t="s">
        <v>220</v>
      </c>
      <c r="Y4" s="8" t="s">
        <v>221</v>
      </c>
      <c r="Z4" s="8" t="s">
        <v>222</v>
      </c>
      <c r="AA4" s="8" t="s">
        <v>223</v>
      </c>
      <c r="AB4" s="8" t="s">
        <v>224</v>
      </c>
      <c r="AC4" s="8" t="s">
        <v>225</v>
      </c>
      <c r="AD4" s="8" t="s">
        <v>226</v>
      </c>
      <c r="AE4" s="8" t="s">
        <v>227</v>
      </c>
      <c r="AF4" s="8" t="s">
        <v>228</v>
      </c>
    </row>
    <row r="5" spans="1:32" x14ac:dyDescent="0.3">
      <c r="A5" s="9" t="s">
        <v>229</v>
      </c>
      <c r="B5" s="9" t="s">
        <v>94</v>
      </c>
      <c r="C5" s="9" t="s">
        <v>112</v>
      </c>
      <c r="D5" s="9" t="s">
        <v>123</v>
      </c>
      <c r="E5" s="9" t="s">
        <v>230</v>
      </c>
      <c r="F5" s="10">
        <v>46275</v>
      </c>
      <c r="G5" s="13">
        <v>200</v>
      </c>
      <c r="H5" s="16">
        <v>99.95</v>
      </c>
      <c r="I5" s="12">
        <v>57.97</v>
      </c>
      <c r="J5" s="9" t="s">
        <v>231</v>
      </c>
      <c r="K5" s="11" t="str">
        <f>INDEX(Entradas!$C$40:$C$46,MATCH(D5,Entradas!$A$40:$A$46,0))</f>
        <v>accion</v>
      </c>
      <c r="L5" s="15" t="str">
        <f>IF(K5="cetes",INDEX(Entradas!$F$40:$F$46,MATCH(D5,Entradas!$A$40:$A$46,0)),"")</f>
        <v/>
      </c>
      <c r="M5" s="14">
        <f t="shared" ref="M5:M20" si="0">IF(E5="compra",1,-1)</f>
        <v>1</v>
      </c>
      <c r="N5" s="14">
        <f t="shared" ref="N5:N20" si="1">G5*M5</f>
        <v>200</v>
      </c>
      <c r="O5" s="17">
        <f t="shared" ref="O5:O20" si="2">G5*H5</f>
        <v>19990</v>
      </c>
      <c r="P5" s="18">
        <f t="shared" ref="P5:P20" si="3">IF(E5="compra",(O5+I5)/G5,"")</f>
        <v>100.23985</v>
      </c>
      <c r="Q5" s="18" t="str">
        <f t="shared" ref="Q5:Q20" si="4">IF(E5="venta",(O5-I5)/G5,"")</f>
        <v/>
      </c>
      <c r="R5" s="17">
        <f t="shared" ref="R5:R20" si="5">IF(E5="compra",O5+I5,0)</f>
        <v>20047.97</v>
      </c>
      <c r="S5" s="17">
        <f t="shared" ref="S5:S20" si="6">IF(E5="venta",O5-I5,0)</f>
        <v>0</v>
      </c>
      <c r="T5" s="11" t="str">
        <f t="shared" ref="T5:T20" si="7">B5&amp;"|"&amp;D5&amp;"|"&amp;C5</f>
        <v>Principal|DEMOACC|Casa A</v>
      </c>
      <c r="U5" s="14">
        <f>F5*1000+IF(E5="venta",500,0)+ROWS($A$5:A5)</f>
        <v>46275001</v>
      </c>
      <c r="V5" s="14">
        <f t="shared" ref="V5:V20" si="8">SUMIFS($N$5:$N$20,$T$5:$T$20,T5,$U$5:$U$20,"&lt;"&amp;U5)</f>
        <v>0</v>
      </c>
      <c r="W5" s="14">
        <f t="shared" ref="W5:W20" si="9">V5+N5</f>
        <v>200</v>
      </c>
      <c r="X5" s="14">
        <f t="shared" ref="X5:X20" si="10">_xlfn.MAXIFS($U$5:$U$20,$T$5:$T$20,T5,$U$5:$U$20,"&lt;"&amp;U5)</f>
        <v>0</v>
      </c>
      <c r="Y5" s="18">
        <f>IF(X5=0,0,INDEX($Z$4:Z4,MATCH(X5,$U$4:U4,0)))</f>
        <v>0</v>
      </c>
      <c r="Z5" s="18">
        <f t="shared" ref="Z5:Z20" si="11">IF(E5="compra",(V5*Y5+G5*P5)/W5,IF(W5=0,0,Y5))</f>
        <v>100.23985</v>
      </c>
      <c r="AA5" s="19" t="str">
        <f>IF(K5="cetes",SUMIFS(CETES!$AF$5:$AF$95,CETES!$A$5:$A$95,F5,CETES!$B$5:$B$95,D5),"")</f>
        <v/>
      </c>
      <c r="AB5" s="11" t="str">
        <f t="shared" ref="AB5:AB20" si="12">IF(K5="cetes",H5=AA5,"")</f>
        <v/>
      </c>
      <c r="AC5" s="14" t="str">
        <f t="shared" ref="AC5:AC20" si="13">IF(K5="cetes",L5-F5,"")</f>
        <v/>
      </c>
      <c r="AD5" s="11" t="str">
        <f t="shared" ref="AD5:AD20" si="14">IF(E5="venta",I5&lt;O5,"")</f>
        <v/>
      </c>
      <c r="AE5" s="14">
        <f>SUMIFS('Valuación diaria'!$I$5:$I$354,'Valuación diaria'!$E$5:$E$354,T5,'Valuación diaria'!$A$5:$A$354,F5)</f>
        <v>200</v>
      </c>
      <c r="AF5" s="11" t="b">
        <f t="shared" ref="AF5:AF20" si="15">AE5=SUMIFS($N$5:$N$20,$T$5:$T$20,T5,$F$5:$F$20,"&lt;="&amp;F5)</f>
        <v>1</v>
      </c>
    </row>
    <row r="6" spans="1:32" x14ac:dyDescent="0.3">
      <c r="A6" s="9" t="s">
        <v>232</v>
      </c>
      <c r="B6" s="9" t="s">
        <v>94</v>
      </c>
      <c r="C6" s="9" t="s">
        <v>113</v>
      </c>
      <c r="D6" s="9" t="s">
        <v>126</v>
      </c>
      <c r="E6" s="9" t="s">
        <v>230</v>
      </c>
      <c r="F6" s="10">
        <v>46275</v>
      </c>
      <c r="G6" s="13">
        <v>100</v>
      </c>
      <c r="H6" s="16">
        <v>50.05</v>
      </c>
      <c r="I6" s="12">
        <v>14.51</v>
      </c>
      <c r="J6" s="9" t="s">
        <v>233</v>
      </c>
      <c r="K6" s="11" t="str">
        <f>INDEX(Entradas!$C$40:$C$46,MATCH(D6,Entradas!$A$40:$A$46,0))</f>
        <v>etf</v>
      </c>
      <c r="L6" s="15" t="str">
        <f>IF(K6="cetes",INDEX(Entradas!$F$40:$F$46,MATCH(D6,Entradas!$A$40:$A$46,0)),"")</f>
        <v/>
      </c>
      <c r="M6" s="14">
        <f t="shared" si="0"/>
        <v>1</v>
      </c>
      <c r="N6" s="14">
        <f t="shared" si="1"/>
        <v>100</v>
      </c>
      <c r="O6" s="17">
        <f t="shared" si="2"/>
        <v>5005</v>
      </c>
      <c r="P6" s="18">
        <f t="shared" si="3"/>
        <v>50.195100000000004</v>
      </c>
      <c r="Q6" s="18" t="str">
        <f t="shared" si="4"/>
        <v/>
      </c>
      <c r="R6" s="17">
        <f t="shared" si="5"/>
        <v>5019.51</v>
      </c>
      <c r="S6" s="17">
        <f t="shared" si="6"/>
        <v>0</v>
      </c>
      <c r="T6" s="11" t="str">
        <f t="shared" si="7"/>
        <v>Principal|DEMOETF|Casa B</v>
      </c>
      <c r="U6" s="14">
        <f>F6*1000+IF(E6="venta",500,0)+ROWS($A$5:A6)</f>
        <v>46275002</v>
      </c>
      <c r="V6" s="14">
        <f t="shared" si="8"/>
        <v>0</v>
      </c>
      <c r="W6" s="14">
        <f t="shared" si="9"/>
        <v>100</v>
      </c>
      <c r="X6" s="14">
        <f t="shared" si="10"/>
        <v>0</v>
      </c>
      <c r="Y6" s="18">
        <f>IF(X6=0,0,INDEX($Z$4:Z5,MATCH(X6,$U$4:U5,0)))</f>
        <v>0</v>
      </c>
      <c r="Z6" s="18">
        <f t="shared" si="11"/>
        <v>50.195100000000004</v>
      </c>
      <c r="AA6" s="19" t="str">
        <f>IF(K6="cetes",SUMIFS(CETES!$AF$5:$AF$95,CETES!$A$5:$A$95,F6,CETES!$B$5:$B$95,D6),"")</f>
        <v/>
      </c>
      <c r="AB6" s="11" t="str">
        <f t="shared" si="12"/>
        <v/>
      </c>
      <c r="AC6" s="14" t="str">
        <f t="shared" si="13"/>
        <v/>
      </c>
      <c r="AD6" s="11" t="str">
        <f t="shared" si="14"/>
        <v/>
      </c>
      <c r="AE6" s="14">
        <f>SUMIFS('Valuación diaria'!$I$5:$I$354,'Valuación diaria'!$E$5:$E$354,T6,'Valuación diaria'!$A$5:$A$354,F6)</f>
        <v>100</v>
      </c>
      <c r="AF6" s="11" t="b">
        <f t="shared" si="15"/>
        <v>1</v>
      </c>
    </row>
    <row r="7" spans="1:32" x14ac:dyDescent="0.3">
      <c r="A7" s="9" t="s">
        <v>234</v>
      </c>
      <c r="B7" s="9" t="s">
        <v>94</v>
      </c>
      <c r="C7" s="9" t="s">
        <v>112</v>
      </c>
      <c r="D7" s="9" t="s">
        <v>132</v>
      </c>
      <c r="E7" s="9" t="s">
        <v>230</v>
      </c>
      <c r="F7" s="10">
        <v>46275</v>
      </c>
      <c r="G7" s="13">
        <v>1500</v>
      </c>
      <c r="H7" s="16">
        <v>9.9516240000000007</v>
      </c>
      <c r="I7" s="12">
        <v>0</v>
      </c>
      <c r="J7" s="9" t="s">
        <v>235</v>
      </c>
      <c r="K7" s="11" t="str">
        <f>INDEX(Entradas!$C$40:$C$46,MATCH(D7,Entradas!$A$40:$A$46,0))</f>
        <v>cetes</v>
      </c>
      <c r="L7" s="15">
        <f>IF(K7="cetes",INDEX(Entradas!$F$40:$F$46,MATCH(D7,Entradas!$A$40:$A$46,0)),"")</f>
        <v>46303</v>
      </c>
      <c r="M7" s="14">
        <f t="shared" si="0"/>
        <v>1</v>
      </c>
      <c r="N7" s="14">
        <f t="shared" si="1"/>
        <v>1500</v>
      </c>
      <c r="O7" s="17">
        <f t="shared" si="2"/>
        <v>14927.436000000002</v>
      </c>
      <c r="P7" s="18">
        <f t="shared" si="3"/>
        <v>9.9516240000000007</v>
      </c>
      <c r="Q7" s="18" t="str">
        <f t="shared" si="4"/>
        <v/>
      </c>
      <c r="R7" s="17">
        <f t="shared" si="5"/>
        <v>14927.436000000002</v>
      </c>
      <c r="S7" s="17">
        <f t="shared" si="6"/>
        <v>0</v>
      </c>
      <c r="T7" s="11" t="str">
        <f t="shared" si="7"/>
        <v>Principal|BI261008|Casa A</v>
      </c>
      <c r="U7" s="14">
        <f>F7*1000+IF(E7="venta",500,0)+ROWS($A$5:A7)</f>
        <v>46275003</v>
      </c>
      <c r="V7" s="14">
        <f t="shared" si="8"/>
        <v>0</v>
      </c>
      <c r="W7" s="14">
        <f t="shared" si="9"/>
        <v>1500</v>
      </c>
      <c r="X7" s="14">
        <f t="shared" si="10"/>
        <v>0</v>
      </c>
      <c r="Y7" s="18">
        <f>IF(X7=0,0,INDEX($Z$4:Z6,MATCH(X7,$U$4:U6,0)))</f>
        <v>0</v>
      </c>
      <c r="Z7" s="18">
        <f t="shared" si="11"/>
        <v>9.9516240000000007</v>
      </c>
      <c r="AA7" s="19">
        <f>IF(K7="cetes",SUMIFS(CETES!$AF$5:$AF$95,CETES!$A$5:$A$95,F7,CETES!$B$5:$B$95,D7),"")</f>
        <v>9.9516240000000007</v>
      </c>
      <c r="AB7" s="11" t="b">
        <f t="shared" si="12"/>
        <v>1</v>
      </c>
      <c r="AC7" s="14">
        <f t="shared" si="13"/>
        <v>28</v>
      </c>
      <c r="AD7" s="11" t="str">
        <f t="shared" si="14"/>
        <v/>
      </c>
      <c r="AE7" s="14">
        <f>SUMIFS('Valuación diaria'!$I$5:$I$354,'Valuación diaria'!$E$5:$E$354,T7,'Valuación diaria'!$A$5:$A$354,F7)</f>
        <v>1500</v>
      </c>
      <c r="AF7" s="11" t="b">
        <f t="shared" si="15"/>
        <v>1</v>
      </c>
    </row>
    <row r="8" spans="1:32" x14ac:dyDescent="0.3">
      <c r="A8" s="9" t="s">
        <v>236</v>
      </c>
      <c r="B8" s="9" t="s">
        <v>94</v>
      </c>
      <c r="C8" s="9" t="s">
        <v>113</v>
      </c>
      <c r="D8" s="9" t="s">
        <v>132</v>
      </c>
      <c r="E8" s="9" t="s">
        <v>230</v>
      </c>
      <c r="F8" s="10">
        <v>46275</v>
      </c>
      <c r="G8" s="13">
        <v>1000</v>
      </c>
      <c r="H8" s="16">
        <v>9.9516240000000007</v>
      </c>
      <c r="I8" s="12">
        <v>0</v>
      </c>
      <c r="J8" s="9" t="s">
        <v>237</v>
      </c>
      <c r="K8" s="11" t="str">
        <f>INDEX(Entradas!$C$40:$C$46,MATCH(D8,Entradas!$A$40:$A$46,0))</f>
        <v>cetes</v>
      </c>
      <c r="L8" s="15">
        <f>IF(K8="cetes",INDEX(Entradas!$F$40:$F$46,MATCH(D8,Entradas!$A$40:$A$46,0)),"")</f>
        <v>46303</v>
      </c>
      <c r="M8" s="14">
        <f t="shared" si="0"/>
        <v>1</v>
      </c>
      <c r="N8" s="14">
        <f t="shared" si="1"/>
        <v>1000</v>
      </c>
      <c r="O8" s="17">
        <f t="shared" si="2"/>
        <v>9951.6239999999998</v>
      </c>
      <c r="P8" s="18">
        <f t="shared" si="3"/>
        <v>9.9516239999999989</v>
      </c>
      <c r="Q8" s="18" t="str">
        <f t="shared" si="4"/>
        <v/>
      </c>
      <c r="R8" s="17">
        <f t="shared" si="5"/>
        <v>9951.6239999999998</v>
      </c>
      <c r="S8" s="17">
        <f t="shared" si="6"/>
        <v>0</v>
      </c>
      <c r="T8" s="11" t="str">
        <f t="shared" si="7"/>
        <v>Principal|BI261008|Casa B</v>
      </c>
      <c r="U8" s="14">
        <f>F8*1000+IF(E8="venta",500,0)+ROWS($A$5:A8)</f>
        <v>46275004</v>
      </c>
      <c r="V8" s="14">
        <f t="shared" si="8"/>
        <v>0</v>
      </c>
      <c r="W8" s="14">
        <f t="shared" si="9"/>
        <v>1000</v>
      </c>
      <c r="X8" s="14">
        <f t="shared" si="10"/>
        <v>0</v>
      </c>
      <c r="Y8" s="18">
        <f>IF(X8=0,0,INDEX($Z$4:Z7,MATCH(X8,$U$4:U7,0)))</f>
        <v>0</v>
      </c>
      <c r="Z8" s="18">
        <f t="shared" si="11"/>
        <v>9.9516239999999989</v>
      </c>
      <c r="AA8" s="19">
        <f>IF(K8="cetes",SUMIFS(CETES!$AF$5:$AF$95,CETES!$A$5:$A$95,F8,CETES!$B$5:$B$95,D8),"")</f>
        <v>9.9516240000000007</v>
      </c>
      <c r="AB8" s="11" t="b">
        <f t="shared" si="12"/>
        <v>1</v>
      </c>
      <c r="AC8" s="14">
        <f t="shared" si="13"/>
        <v>28</v>
      </c>
      <c r="AD8" s="11" t="str">
        <f t="shared" si="14"/>
        <v/>
      </c>
      <c r="AE8" s="14">
        <f>SUMIFS('Valuación diaria'!$I$5:$I$354,'Valuación diaria'!$E$5:$E$354,T8,'Valuación diaria'!$A$5:$A$354,F8)</f>
        <v>1000</v>
      </c>
      <c r="AF8" s="11" t="b">
        <f t="shared" si="15"/>
        <v>1</v>
      </c>
    </row>
    <row r="9" spans="1:32" x14ac:dyDescent="0.3">
      <c r="A9" s="9" t="s">
        <v>238</v>
      </c>
      <c r="B9" s="9" t="s">
        <v>94</v>
      </c>
      <c r="C9" s="9" t="s">
        <v>112</v>
      </c>
      <c r="D9" s="9" t="s">
        <v>129</v>
      </c>
      <c r="E9" s="9" t="s">
        <v>230</v>
      </c>
      <c r="F9" s="10">
        <v>46276</v>
      </c>
      <c r="G9" s="13">
        <v>400</v>
      </c>
      <c r="H9" s="16">
        <v>24.982500000000002</v>
      </c>
      <c r="I9" s="12">
        <v>28.98</v>
      </c>
      <c r="J9" s="9" t="s">
        <v>239</v>
      </c>
      <c r="K9" s="11" t="str">
        <f>INDEX(Entradas!$C$40:$C$46,MATCH(D9,Entradas!$A$40:$A$46,0))</f>
        <v>fibra</v>
      </c>
      <c r="L9" s="15" t="str">
        <f>IF(K9="cetes",INDEX(Entradas!$F$40:$F$46,MATCH(D9,Entradas!$A$40:$A$46,0)),"")</f>
        <v/>
      </c>
      <c r="M9" s="14">
        <f t="shared" si="0"/>
        <v>1</v>
      </c>
      <c r="N9" s="14">
        <f t="shared" si="1"/>
        <v>400</v>
      </c>
      <c r="O9" s="17">
        <f t="shared" si="2"/>
        <v>9993</v>
      </c>
      <c r="P9" s="18">
        <f t="shared" si="3"/>
        <v>25.054949999999998</v>
      </c>
      <c r="Q9" s="18" t="str">
        <f t="shared" si="4"/>
        <v/>
      </c>
      <c r="R9" s="17">
        <f t="shared" si="5"/>
        <v>10021.98</v>
      </c>
      <c r="S9" s="17">
        <f t="shared" si="6"/>
        <v>0</v>
      </c>
      <c r="T9" s="11" t="str">
        <f t="shared" si="7"/>
        <v>Principal|DEMOFIB|Casa A</v>
      </c>
      <c r="U9" s="14">
        <f>F9*1000+IF(E9="venta",500,0)+ROWS($A$5:A9)</f>
        <v>46276005</v>
      </c>
      <c r="V9" s="14">
        <f t="shared" si="8"/>
        <v>0</v>
      </c>
      <c r="W9" s="14">
        <f t="shared" si="9"/>
        <v>400</v>
      </c>
      <c r="X9" s="14">
        <f t="shared" si="10"/>
        <v>0</v>
      </c>
      <c r="Y9" s="18">
        <f>IF(X9=0,0,INDEX($Z$4:Z8,MATCH(X9,$U$4:U8,0)))</f>
        <v>0</v>
      </c>
      <c r="Z9" s="18">
        <f t="shared" si="11"/>
        <v>25.054949999999998</v>
      </c>
      <c r="AA9" s="19" t="str">
        <f>IF(K9="cetes",SUMIFS(CETES!$AF$5:$AF$95,CETES!$A$5:$A$95,F9,CETES!$B$5:$B$95,D9),"")</f>
        <v/>
      </c>
      <c r="AB9" s="11" t="str">
        <f t="shared" si="12"/>
        <v/>
      </c>
      <c r="AC9" s="14" t="str">
        <f t="shared" si="13"/>
        <v/>
      </c>
      <c r="AD9" s="11" t="str">
        <f t="shared" si="14"/>
        <v/>
      </c>
      <c r="AE9" s="14">
        <f>SUMIFS('Valuación diaria'!$I$5:$I$354,'Valuación diaria'!$E$5:$E$354,T9,'Valuación diaria'!$A$5:$A$354,F9)</f>
        <v>400</v>
      </c>
      <c r="AF9" s="11" t="b">
        <f t="shared" si="15"/>
        <v>1</v>
      </c>
    </row>
    <row r="10" spans="1:32" x14ac:dyDescent="0.3">
      <c r="A10" s="9" t="s">
        <v>240</v>
      </c>
      <c r="B10" s="9" t="s">
        <v>94</v>
      </c>
      <c r="C10" s="9" t="s">
        <v>113</v>
      </c>
      <c r="D10" s="9" t="s">
        <v>123</v>
      </c>
      <c r="E10" s="9" t="s">
        <v>230</v>
      </c>
      <c r="F10" s="10">
        <v>46279</v>
      </c>
      <c r="G10" s="13">
        <v>100</v>
      </c>
      <c r="H10" s="16">
        <v>103.1</v>
      </c>
      <c r="I10" s="12">
        <v>29.9</v>
      </c>
      <c r="J10" s="9" t="s">
        <v>241</v>
      </c>
      <c r="K10" s="11" t="str">
        <f>INDEX(Entradas!$C$40:$C$46,MATCH(D10,Entradas!$A$40:$A$46,0))</f>
        <v>accion</v>
      </c>
      <c r="L10" s="15" t="str">
        <f>IF(K10="cetes",INDEX(Entradas!$F$40:$F$46,MATCH(D10,Entradas!$A$40:$A$46,0)),"")</f>
        <v/>
      </c>
      <c r="M10" s="14">
        <f t="shared" si="0"/>
        <v>1</v>
      </c>
      <c r="N10" s="14">
        <f t="shared" si="1"/>
        <v>100</v>
      </c>
      <c r="O10" s="17">
        <f t="shared" si="2"/>
        <v>10310</v>
      </c>
      <c r="P10" s="18">
        <f t="shared" si="3"/>
        <v>103.399</v>
      </c>
      <c r="Q10" s="18" t="str">
        <f t="shared" si="4"/>
        <v/>
      </c>
      <c r="R10" s="17">
        <f t="shared" si="5"/>
        <v>10339.9</v>
      </c>
      <c r="S10" s="17">
        <f t="shared" si="6"/>
        <v>0</v>
      </c>
      <c r="T10" s="11" t="str">
        <f t="shared" si="7"/>
        <v>Principal|DEMOACC|Casa B</v>
      </c>
      <c r="U10" s="14">
        <f>F10*1000+IF(E10="venta",500,0)+ROWS($A$5:A10)</f>
        <v>46279006</v>
      </c>
      <c r="V10" s="14">
        <f t="shared" si="8"/>
        <v>0</v>
      </c>
      <c r="W10" s="14">
        <f t="shared" si="9"/>
        <v>100</v>
      </c>
      <c r="X10" s="14">
        <f t="shared" si="10"/>
        <v>0</v>
      </c>
      <c r="Y10" s="18">
        <f>IF(X10=0,0,INDEX($Z$4:Z9,MATCH(X10,$U$4:U9,0)))</f>
        <v>0</v>
      </c>
      <c r="Z10" s="18">
        <f t="shared" si="11"/>
        <v>103.399</v>
      </c>
      <c r="AA10" s="19" t="str">
        <f>IF(K10="cetes",SUMIFS(CETES!$AF$5:$AF$95,CETES!$A$5:$A$95,F10,CETES!$B$5:$B$95,D10),"")</f>
        <v/>
      </c>
      <c r="AB10" s="11" t="str">
        <f t="shared" si="12"/>
        <v/>
      </c>
      <c r="AC10" s="14" t="str">
        <f t="shared" si="13"/>
        <v/>
      </c>
      <c r="AD10" s="11" t="str">
        <f t="shared" si="14"/>
        <v/>
      </c>
      <c r="AE10" s="14">
        <f>SUMIFS('Valuación diaria'!$I$5:$I$354,'Valuación diaria'!$E$5:$E$354,T10,'Valuación diaria'!$A$5:$A$354,F10)</f>
        <v>100</v>
      </c>
      <c r="AF10" s="11" t="b">
        <f t="shared" si="15"/>
        <v>1</v>
      </c>
    </row>
    <row r="11" spans="1:32" x14ac:dyDescent="0.3">
      <c r="A11" s="9" t="s">
        <v>242</v>
      </c>
      <c r="B11" s="9" t="s">
        <v>103</v>
      </c>
      <c r="C11" s="9" t="s">
        <v>112</v>
      </c>
      <c r="D11" s="9" t="s">
        <v>123</v>
      </c>
      <c r="E11" s="9" t="s">
        <v>230</v>
      </c>
      <c r="F11" s="10">
        <v>46279</v>
      </c>
      <c r="G11" s="13">
        <v>150</v>
      </c>
      <c r="H11" s="16">
        <v>103.6</v>
      </c>
      <c r="I11" s="12">
        <v>45.07</v>
      </c>
      <c r="J11" s="9" t="s">
        <v>243</v>
      </c>
      <c r="K11" s="11" t="str">
        <f>INDEX(Entradas!$C$40:$C$46,MATCH(D11,Entradas!$A$40:$A$46,0))</f>
        <v>accion</v>
      </c>
      <c r="L11" s="15" t="str">
        <f>IF(K11="cetes",INDEX(Entradas!$F$40:$F$46,MATCH(D11,Entradas!$A$40:$A$46,0)),"")</f>
        <v/>
      </c>
      <c r="M11" s="14">
        <f t="shared" si="0"/>
        <v>1</v>
      </c>
      <c r="N11" s="14">
        <f t="shared" si="1"/>
        <v>150</v>
      </c>
      <c r="O11" s="17">
        <f t="shared" si="2"/>
        <v>15540</v>
      </c>
      <c r="P11" s="18">
        <f t="shared" si="3"/>
        <v>103.90046666666666</v>
      </c>
      <c r="Q11" s="18" t="str">
        <f t="shared" si="4"/>
        <v/>
      </c>
      <c r="R11" s="17">
        <f t="shared" si="5"/>
        <v>15585.07</v>
      </c>
      <c r="S11" s="17">
        <f t="shared" si="6"/>
        <v>0</v>
      </c>
      <c r="T11" s="11" t="str">
        <f t="shared" si="7"/>
        <v>Secundario|DEMOACC|Casa A</v>
      </c>
      <c r="U11" s="14">
        <f>F11*1000+IF(E11="venta",500,0)+ROWS($A$5:A11)</f>
        <v>46279007</v>
      </c>
      <c r="V11" s="14">
        <f t="shared" si="8"/>
        <v>0</v>
      </c>
      <c r="W11" s="14">
        <f t="shared" si="9"/>
        <v>150</v>
      </c>
      <c r="X11" s="14">
        <f t="shared" si="10"/>
        <v>0</v>
      </c>
      <c r="Y11" s="18">
        <f>IF(X11=0,0,INDEX($Z$4:Z10,MATCH(X11,$U$4:U10,0)))</f>
        <v>0</v>
      </c>
      <c r="Z11" s="18">
        <f t="shared" si="11"/>
        <v>103.90046666666666</v>
      </c>
      <c r="AA11" s="19" t="str">
        <f>IF(K11="cetes",SUMIFS(CETES!$AF$5:$AF$95,CETES!$A$5:$A$95,F11,CETES!$B$5:$B$95,D11),"")</f>
        <v/>
      </c>
      <c r="AB11" s="11" t="str">
        <f t="shared" si="12"/>
        <v/>
      </c>
      <c r="AC11" s="14" t="str">
        <f t="shared" si="13"/>
        <v/>
      </c>
      <c r="AD11" s="11" t="str">
        <f t="shared" si="14"/>
        <v/>
      </c>
      <c r="AE11" s="14">
        <f>SUMIFS('Valuación diaria'!$I$5:$I$354,'Valuación diaria'!$E$5:$E$354,T11,'Valuación diaria'!$A$5:$A$354,F11)</f>
        <v>150</v>
      </c>
      <c r="AF11" s="11" t="b">
        <f t="shared" si="15"/>
        <v>1</v>
      </c>
    </row>
    <row r="12" spans="1:32" x14ac:dyDescent="0.3">
      <c r="A12" s="9" t="s">
        <v>244</v>
      </c>
      <c r="B12" s="9" t="s">
        <v>94</v>
      </c>
      <c r="C12" s="9" t="s">
        <v>112</v>
      </c>
      <c r="D12" s="9" t="s">
        <v>137</v>
      </c>
      <c r="E12" s="9" t="s">
        <v>230</v>
      </c>
      <c r="F12" s="10">
        <v>46282</v>
      </c>
      <c r="G12" s="13">
        <v>1000</v>
      </c>
      <c r="H12" s="16">
        <v>9.8344372</v>
      </c>
      <c r="I12" s="12">
        <v>0</v>
      </c>
      <c r="J12" s="9" t="s">
        <v>245</v>
      </c>
      <c r="K12" s="11" t="str">
        <f>INDEX(Entradas!$C$40:$C$46,MATCH(D12,Entradas!$A$40:$A$46,0))</f>
        <v>cetes</v>
      </c>
      <c r="L12" s="15">
        <f>IF(K12="cetes",INDEX(Entradas!$F$40:$F$46,MATCH(D12,Entradas!$A$40:$A$46,0)),"")</f>
        <v>46373</v>
      </c>
      <c r="M12" s="14">
        <f t="shared" si="0"/>
        <v>1</v>
      </c>
      <c r="N12" s="14">
        <f t="shared" si="1"/>
        <v>1000</v>
      </c>
      <c r="O12" s="17">
        <f t="shared" si="2"/>
        <v>9834.4372000000003</v>
      </c>
      <c r="P12" s="18">
        <f t="shared" si="3"/>
        <v>9.8344372</v>
      </c>
      <c r="Q12" s="18" t="str">
        <f t="shared" si="4"/>
        <v/>
      </c>
      <c r="R12" s="17">
        <f t="shared" si="5"/>
        <v>9834.4372000000003</v>
      </c>
      <c r="S12" s="17">
        <f t="shared" si="6"/>
        <v>0</v>
      </c>
      <c r="T12" s="11" t="str">
        <f t="shared" si="7"/>
        <v>Principal|BI261217|Casa A</v>
      </c>
      <c r="U12" s="14">
        <f>F12*1000+IF(E12="venta",500,0)+ROWS($A$5:A12)</f>
        <v>46282008</v>
      </c>
      <c r="V12" s="14">
        <f t="shared" si="8"/>
        <v>0</v>
      </c>
      <c r="W12" s="14">
        <f t="shared" si="9"/>
        <v>1000</v>
      </c>
      <c r="X12" s="14">
        <f t="shared" si="10"/>
        <v>0</v>
      </c>
      <c r="Y12" s="18">
        <f>IF(X12=0,0,INDEX($Z$4:Z11,MATCH(X12,$U$4:U11,0)))</f>
        <v>0</v>
      </c>
      <c r="Z12" s="18">
        <f t="shared" si="11"/>
        <v>9.8344372</v>
      </c>
      <c r="AA12" s="19">
        <f>IF(K12="cetes",SUMIFS(CETES!$AF$5:$AF$95,CETES!$A$5:$A$95,F12,CETES!$B$5:$B$95,D12),"")</f>
        <v>9.8344372</v>
      </c>
      <c r="AB12" s="11" t="b">
        <f t="shared" si="12"/>
        <v>1</v>
      </c>
      <c r="AC12" s="14">
        <f t="shared" si="13"/>
        <v>91</v>
      </c>
      <c r="AD12" s="11" t="str">
        <f t="shared" si="14"/>
        <v/>
      </c>
      <c r="AE12" s="14">
        <f>SUMIFS('Valuación diaria'!$I$5:$I$354,'Valuación diaria'!$E$5:$E$354,T12,'Valuación diaria'!$A$5:$A$354,F12)</f>
        <v>1000</v>
      </c>
      <c r="AF12" s="11" t="b">
        <f t="shared" si="15"/>
        <v>1</v>
      </c>
    </row>
    <row r="13" spans="1:32" x14ac:dyDescent="0.3">
      <c r="A13" s="9" t="s">
        <v>246</v>
      </c>
      <c r="B13" s="9" t="s">
        <v>94</v>
      </c>
      <c r="C13" s="9" t="s">
        <v>113</v>
      </c>
      <c r="D13" s="9" t="s">
        <v>139</v>
      </c>
      <c r="E13" s="9" t="s">
        <v>230</v>
      </c>
      <c r="F13" s="10">
        <v>46282</v>
      </c>
      <c r="G13" s="13">
        <v>500</v>
      </c>
      <c r="H13" s="16">
        <v>9.6629249999999995</v>
      </c>
      <c r="I13" s="12">
        <v>0</v>
      </c>
      <c r="J13" s="9" t="s">
        <v>247</v>
      </c>
      <c r="K13" s="11" t="str">
        <f>INDEX(Entradas!$C$40:$C$46,MATCH(D13,Entradas!$A$40:$A$46,0))</f>
        <v>cetes</v>
      </c>
      <c r="L13" s="15">
        <f>IF(K13="cetes",INDEX(Entradas!$F$40:$F$46,MATCH(D13,Entradas!$A$40:$A$46,0)),"")</f>
        <v>46464</v>
      </c>
      <c r="M13" s="14">
        <f t="shared" si="0"/>
        <v>1</v>
      </c>
      <c r="N13" s="14">
        <f t="shared" si="1"/>
        <v>500</v>
      </c>
      <c r="O13" s="17">
        <f t="shared" si="2"/>
        <v>4831.4624999999996</v>
      </c>
      <c r="P13" s="18">
        <f t="shared" si="3"/>
        <v>9.6629249999999995</v>
      </c>
      <c r="Q13" s="18" t="str">
        <f t="shared" si="4"/>
        <v/>
      </c>
      <c r="R13" s="17">
        <f t="shared" si="5"/>
        <v>4831.4624999999996</v>
      </c>
      <c r="S13" s="17">
        <f t="shared" si="6"/>
        <v>0</v>
      </c>
      <c r="T13" s="11" t="str">
        <f t="shared" si="7"/>
        <v>Principal|BI270318|Casa B</v>
      </c>
      <c r="U13" s="14">
        <f>F13*1000+IF(E13="venta",500,0)+ROWS($A$5:A13)</f>
        <v>46282009</v>
      </c>
      <c r="V13" s="14">
        <f t="shared" si="8"/>
        <v>0</v>
      </c>
      <c r="W13" s="14">
        <f t="shared" si="9"/>
        <v>500</v>
      </c>
      <c r="X13" s="14">
        <f t="shared" si="10"/>
        <v>0</v>
      </c>
      <c r="Y13" s="18">
        <f>IF(X13=0,0,INDEX($Z$4:Z12,MATCH(X13,$U$4:U12,0)))</f>
        <v>0</v>
      </c>
      <c r="Z13" s="18">
        <f t="shared" si="11"/>
        <v>9.6629249999999995</v>
      </c>
      <c r="AA13" s="19">
        <f>IF(K13="cetes",SUMIFS(CETES!$AF$5:$AF$95,CETES!$A$5:$A$95,F13,CETES!$B$5:$B$95,D13),"")</f>
        <v>9.6629249999999995</v>
      </c>
      <c r="AB13" s="11" t="b">
        <f t="shared" si="12"/>
        <v>1</v>
      </c>
      <c r="AC13" s="14">
        <f t="shared" si="13"/>
        <v>182</v>
      </c>
      <c r="AD13" s="11" t="str">
        <f t="shared" si="14"/>
        <v/>
      </c>
      <c r="AE13" s="14">
        <f>SUMIFS('Valuación diaria'!$I$5:$I$354,'Valuación diaria'!$E$5:$E$354,T13,'Valuación diaria'!$A$5:$A$354,F13)</f>
        <v>500</v>
      </c>
      <c r="AF13" s="11" t="b">
        <f t="shared" si="15"/>
        <v>1</v>
      </c>
    </row>
    <row r="14" spans="1:32" x14ac:dyDescent="0.3">
      <c r="A14" s="9" t="s">
        <v>248</v>
      </c>
      <c r="B14" s="9" t="s">
        <v>94</v>
      </c>
      <c r="C14" s="9" t="s">
        <v>112</v>
      </c>
      <c r="D14" s="9" t="s">
        <v>129</v>
      </c>
      <c r="E14" s="9" t="s">
        <v>249</v>
      </c>
      <c r="F14" s="10">
        <v>46287</v>
      </c>
      <c r="G14" s="13">
        <v>400</v>
      </c>
      <c r="H14" s="16">
        <v>23.2075</v>
      </c>
      <c r="I14" s="12">
        <v>26.92</v>
      </c>
      <c r="J14" s="9" t="s">
        <v>250</v>
      </c>
      <c r="K14" s="11" t="str">
        <f>INDEX(Entradas!$C$40:$C$46,MATCH(D14,Entradas!$A$40:$A$46,0))</f>
        <v>fibra</v>
      </c>
      <c r="L14" s="15" t="str">
        <f>IF(K14="cetes",INDEX(Entradas!$F$40:$F$46,MATCH(D14,Entradas!$A$40:$A$46,0)),"")</f>
        <v/>
      </c>
      <c r="M14" s="14">
        <f t="shared" si="0"/>
        <v>-1</v>
      </c>
      <c r="N14" s="14">
        <f t="shared" si="1"/>
        <v>-400</v>
      </c>
      <c r="O14" s="17">
        <f t="shared" si="2"/>
        <v>9283</v>
      </c>
      <c r="P14" s="18" t="str">
        <f t="shared" si="3"/>
        <v/>
      </c>
      <c r="Q14" s="18">
        <f t="shared" si="4"/>
        <v>23.1402</v>
      </c>
      <c r="R14" s="17">
        <f t="shared" si="5"/>
        <v>0</v>
      </c>
      <c r="S14" s="17">
        <f t="shared" si="6"/>
        <v>9256.08</v>
      </c>
      <c r="T14" s="11" t="str">
        <f t="shared" si="7"/>
        <v>Principal|DEMOFIB|Casa A</v>
      </c>
      <c r="U14" s="14">
        <f>F14*1000+IF(E14="venta",500,0)+ROWS($A$5:A14)</f>
        <v>46287510</v>
      </c>
      <c r="V14" s="14">
        <f t="shared" si="8"/>
        <v>400</v>
      </c>
      <c r="W14" s="14">
        <f t="shared" si="9"/>
        <v>0</v>
      </c>
      <c r="X14" s="14">
        <f t="shared" si="10"/>
        <v>46276005</v>
      </c>
      <c r="Y14" s="18">
        <f>IF(X14=0,0,INDEX($Z$4:Z13,MATCH(X14,$U$4:U13,0)))</f>
        <v>25.054949999999998</v>
      </c>
      <c r="Z14" s="18">
        <f t="shared" si="11"/>
        <v>0</v>
      </c>
      <c r="AA14" s="19" t="str">
        <f>IF(K14="cetes",SUMIFS(CETES!$AF$5:$AF$95,CETES!$A$5:$A$95,F14,CETES!$B$5:$B$95,D14),"")</f>
        <v/>
      </c>
      <c r="AB14" s="11" t="str">
        <f t="shared" si="12"/>
        <v/>
      </c>
      <c r="AC14" s="14" t="str">
        <f t="shared" si="13"/>
        <v/>
      </c>
      <c r="AD14" s="11" t="b">
        <f t="shared" si="14"/>
        <v>1</v>
      </c>
      <c r="AE14" s="14">
        <f>SUMIFS('Valuación diaria'!$I$5:$I$354,'Valuación diaria'!$E$5:$E$354,T14,'Valuación diaria'!$A$5:$A$354,F14)</f>
        <v>0</v>
      </c>
      <c r="AF14" s="11" t="b">
        <f t="shared" si="15"/>
        <v>1</v>
      </c>
    </row>
    <row r="15" spans="1:32" x14ac:dyDescent="0.3">
      <c r="A15" s="9" t="s">
        <v>251</v>
      </c>
      <c r="B15" s="9" t="s">
        <v>94</v>
      </c>
      <c r="C15" s="9" t="s">
        <v>113</v>
      </c>
      <c r="D15" s="9" t="s">
        <v>126</v>
      </c>
      <c r="E15" s="9" t="s">
        <v>230</v>
      </c>
      <c r="F15" s="10">
        <v>46290</v>
      </c>
      <c r="G15" s="13">
        <v>60</v>
      </c>
      <c r="H15" s="16">
        <v>47.9</v>
      </c>
      <c r="I15" s="12">
        <v>8.33</v>
      </c>
      <c r="J15" s="9" t="s">
        <v>252</v>
      </c>
      <c r="K15" s="11" t="str">
        <f>INDEX(Entradas!$C$40:$C$46,MATCH(D15,Entradas!$A$40:$A$46,0))</f>
        <v>etf</v>
      </c>
      <c r="L15" s="15" t="str">
        <f>IF(K15="cetes",INDEX(Entradas!$F$40:$F$46,MATCH(D15,Entradas!$A$40:$A$46,0)),"")</f>
        <v/>
      </c>
      <c r="M15" s="14">
        <f t="shared" si="0"/>
        <v>1</v>
      </c>
      <c r="N15" s="14">
        <f t="shared" si="1"/>
        <v>60</v>
      </c>
      <c r="O15" s="17">
        <f t="shared" si="2"/>
        <v>2874</v>
      </c>
      <c r="P15" s="18">
        <f t="shared" si="3"/>
        <v>48.038833333333329</v>
      </c>
      <c r="Q15" s="18" t="str">
        <f t="shared" si="4"/>
        <v/>
      </c>
      <c r="R15" s="17">
        <f t="shared" si="5"/>
        <v>2882.33</v>
      </c>
      <c r="S15" s="17">
        <f t="shared" si="6"/>
        <v>0</v>
      </c>
      <c r="T15" s="11" t="str">
        <f t="shared" si="7"/>
        <v>Principal|DEMOETF|Casa B</v>
      </c>
      <c r="U15" s="14">
        <f>F15*1000+IF(E15="venta",500,0)+ROWS($A$5:A15)</f>
        <v>46290011</v>
      </c>
      <c r="V15" s="14">
        <f t="shared" si="8"/>
        <v>100</v>
      </c>
      <c r="W15" s="14">
        <f t="shared" si="9"/>
        <v>160</v>
      </c>
      <c r="X15" s="14">
        <f t="shared" si="10"/>
        <v>46275002</v>
      </c>
      <c r="Y15" s="18">
        <f>IF(X15=0,0,INDEX($Z$4:Z14,MATCH(X15,$U$4:U14,0)))</f>
        <v>50.195100000000004</v>
      </c>
      <c r="Z15" s="18">
        <f t="shared" si="11"/>
        <v>49.386499999999998</v>
      </c>
      <c r="AA15" s="19" t="str">
        <f>IF(K15="cetes",SUMIFS(CETES!$AF$5:$AF$95,CETES!$A$5:$A$95,F15,CETES!$B$5:$B$95,D15),"")</f>
        <v/>
      </c>
      <c r="AB15" s="11" t="str">
        <f t="shared" si="12"/>
        <v/>
      </c>
      <c r="AC15" s="14" t="str">
        <f t="shared" si="13"/>
        <v/>
      </c>
      <c r="AD15" s="11" t="str">
        <f t="shared" si="14"/>
        <v/>
      </c>
      <c r="AE15" s="14">
        <f>SUMIFS('Valuación diaria'!$I$5:$I$354,'Valuación diaria'!$E$5:$E$354,T15,'Valuación diaria'!$A$5:$A$354,F15)</f>
        <v>40</v>
      </c>
      <c r="AF15" s="11" t="b">
        <f t="shared" si="15"/>
        <v>1</v>
      </c>
    </row>
    <row r="16" spans="1:32" x14ac:dyDescent="0.3">
      <c r="A16" s="9" t="s">
        <v>253</v>
      </c>
      <c r="B16" s="9" t="s">
        <v>94</v>
      </c>
      <c r="C16" s="9" t="s">
        <v>113</v>
      </c>
      <c r="D16" s="9" t="s">
        <v>126</v>
      </c>
      <c r="E16" s="9" t="s">
        <v>249</v>
      </c>
      <c r="F16" s="10">
        <v>46290</v>
      </c>
      <c r="G16" s="13">
        <v>120</v>
      </c>
      <c r="H16" s="16">
        <v>48.1</v>
      </c>
      <c r="I16" s="12">
        <v>16.739999999999998</v>
      </c>
      <c r="J16" s="9" t="s">
        <v>254</v>
      </c>
      <c r="K16" s="11" t="str">
        <f>INDEX(Entradas!$C$40:$C$46,MATCH(D16,Entradas!$A$40:$A$46,0))</f>
        <v>etf</v>
      </c>
      <c r="L16" s="15" t="str">
        <f>IF(K16="cetes",INDEX(Entradas!$F$40:$F$46,MATCH(D16,Entradas!$A$40:$A$46,0)),"")</f>
        <v/>
      </c>
      <c r="M16" s="14">
        <f t="shared" si="0"/>
        <v>-1</v>
      </c>
      <c r="N16" s="14">
        <f t="shared" si="1"/>
        <v>-120</v>
      </c>
      <c r="O16" s="17">
        <f t="shared" si="2"/>
        <v>5772</v>
      </c>
      <c r="P16" s="18" t="str">
        <f t="shared" si="3"/>
        <v/>
      </c>
      <c r="Q16" s="18">
        <f t="shared" si="4"/>
        <v>47.960500000000003</v>
      </c>
      <c r="R16" s="17">
        <f t="shared" si="5"/>
        <v>0</v>
      </c>
      <c r="S16" s="17">
        <f t="shared" si="6"/>
        <v>5755.26</v>
      </c>
      <c r="T16" s="11" t="str">
        <f t="shared" si="7"/>
        <v>Principal|DEMOETF|Casa B</v>
      </c>
      <c r="U16" s="14">
        <f>F16*1000+IF(E16="venta",500,0)+ROWS($A$5:A16)</f>
        <v>46290512</v>
      </c>
      <c r="V16" s="14">
        <f t="shared" si="8"/>
        <v>160</v>
      </c>
      <c r="W16" s="14">
        <f t="shared" si="9"/>
        <v>40</v>
      </c>
      <c r="X16" s="14">
        <f t="shared" si="10"/>
        <v>46290011</v>
      </c>
      <c r="Y16" s="18">
        <f>IF(X16=0,0,INDEX($Z$4:Z15,MATCH(X16,$U$4:U15,0)))</f>
        <v>49.386499999999998</v>
      </c>
      <c r="Z16" s="18">
        <f t="shared" si="11"/>
        <v>49.386499999999998</v>
      </c>
      <c r="AA16" s="19" t="str">
        <f>IF(K16="cetes",SUMIFS(CETES!$AF$5:$AF$95,CETES!$A$5:$A$95,F16,CETES!$B$5:$B$95,D16),"")</f>
        <v/>
      </c>
      <c r="AB16" s="11" t="str">
        <f t="shared" si="12"/>
        <v/>
      </c>
      <c r="AC16" s="14" t="str">
        <f t="shared" si="13"/>
        <v/>
      </c>
      <c r="AD16" s="11" t="b">
        <f t="shared" si="14"/>
        <v>1</v>
      </c>
      <c r="AE16" s="14">
        <f>SUMIFS('Valuación diaria'!$I$5:$I$354,'Valuación diaria'!$E$5:$E$354,T16,'Valuación diaria'!$A$5:$A$354,F16)</f>
        <v>40</v>
      </c>
      <c r="AF16" s="11" t="b">
        <f t="shared" si="15"/>
        <v>1</v>
      </c>
    </row>
    <row r="17" spans="1:32" x14ac:dyDescent="0.3">
      <c r="A17" s="9" t="s">
        <v>255</v>
      </c>
      <c r="B17" s="9" t="s">
        <v>94</v>
      </c>
      <c r="C17" s="9" t="s">
        <v>112</v>
      </c>
      <c r="D17" s="9" t="s">
        <v>132</v>
      </c>
      <c r="E17" s="9" t="s">
        <v>249</v>
      </c>
      <c r="F17" s="10">
        <v>46296</v>
      </c>
      <c r="G17" s="13">
        <v>500</v>
      </c>
      <c r="H17" s="16">
        <v>9.9883275000000005</v>
      </c>
      <c r="I17" s="12">
        <v>0</v>
      </c>
      <c r="J17" s="9" t="s">
        <v>256</v>
      </c>
      <c r="K17" s="11" t="str">
        <f>INDEX(Entradas!$C$40:$C$46,MATCH(D17,Entradas!$A$40:$A$46,0))</f>
        <v>cetes</v>
      </c>
      <c r="L17" s="15">
        <f>IF(K17="cetes",INDEX(Entradas!$F$40:$F$46,MATCH(D17,Entradas!$A$40:$A$46,0)),"")</f>
        <v>46303</v>
      </c>
      <c r="M17" s="14">
        <f t="shared" si="0"/>
        <v>-1</v>
      </c>
      <c r="N17" s="14">
        <f t="shared" si="1"/>
        <v>-500</v>
      </c>
      <c r="O17" s="17">
        <f t="shared" si="2"/>
        <v>4994.1637500000006</v>
      </c>
      <c r="P17" s="18" t="str">
        <f t="shared" si="3"/>
        <v/>
      </c>
      <c r="Q17" s="18">
        <f t="shared" si="4"/>
        <v>9.9883275000000005</v>
      </c>
      <c r="R17" s="17">
        <f t="shared" si="5"/>
        <v>0</v>
      </c>
      <c r="S17" s="17">
        <f t="shared" si="6"/>
        <v>4994.1637500000006</v>
      </c>
      <c r="T17" s="11" t="str">
        <f t="shared" si="7"/>
        <v>Principal|BI261008|Casa A</v>
      </c>
      <c r="U17" s="14">
        <f>F17*1000+IF(E17="venta",500,0)+ROWS($A$5:A17)</f>
        <v>46296513</v>
      </c>
      <c r="V17" s="14">
        <f t="shared" si="8"/>
        <v>1500</v>
      </c>
      <c r="W17" s="14">
        <f t="shared" si="9"/>
        <v>1000</v>
      </c>
      <c r="X17" s="14">
        <f t="shared" si="10"/>
        <v>46275003</v>
      </c>
      <c r="Y17" s="18">
        <f>IF(X17=0,0,INDEX($Z$4:Z16,MATCH(X17,$U$4:U16,0)))</f>
        <v>9.9516240000000007</v>
      </c>
      <c r="Z17" s="18">
        <f t="shared" si="11"/>
        <v>9.9516240000000007</v>
      </c>
      <c r="AA17" s="19">
        <f>IF(K17="cetes",SUMIFS(CETES!$AF$5:$AF$95,CETES!$A$5:$A$95,F17,CETES!$B$5:$B$95,D17),"")</f>
        <v>9.9883275000000005</v>
      </c>
      <c r="AB17" s="11" t="b">
        <f t="shared" si="12"/>
        <v>1</v>
      </c>
      <c r="AC17" s="14">
        <f t="shared" si="13"/>
        <v>7</v>
      </c>
      <c r="AD17" s="11" t="b">
        <f t="shared" si="14"/>
        <v>1</v>
      </c>
      <c r="AE17" s="14">
        <f>SUMIFS('Valuación diaria'!$I$5:$I$354,'Valuación diaria'!$E$5:$E$354,T17,'Valuación diaria'!$A$5:$A$354,F17)</f>
        <v>1000</v>
      </c>
      <c r="AF17" s="11" t="b">
        <f t="shared" si="15"/>
        <v>1</v>
      </c>
    </row>
    <row r="18" spans="1:32" x14ac:dyDescent="0.3">
      <c r="A18" s="9" t="s">
        <v>257</v>
      </c>
      <c r="B18" s="9" t="s">
        <v>94</v>
      </c>
      <c r="C18" s="9" t="s">
        <v>112</v>
      </c>
      <c r="D18" s="9" t="s">
        <v>123</v>
      </c>
      <c r="E18" s="9" t="s">
        <v>249</v>
      </c>
      <c r="F18" s="10">
        <v>46297</v>
      </c>
      <c r="G18" s="13">
        <v>80</v>
      </c>
      <c r="H18" s="16">
        <v>104.2</v>
      </c>
      <c r="I18" s="12">
        <v>24.17</v>
      </c>
      <c r="J18" s="9" t="s">
        <v>258</v>
      </c>
      <c r="K18" s="11" t="str">
        <f>INDEX(Entradas!$C$40:$C$46,MATCH(D18,Entradas!$A$40:$A$46,0))</f>
        <v>accion</v>
      </c>
      <c r="L18" s="15" t="str">
        <f>IF(K18="cetes",INDEX(Entradas!$F$40:$F$46,MATCH(D18,Entradas!$A$40:$A$46,0)),"")</f>
        <v/>
      </c>
      <c r="M18" s="14">
        <f t="shared" si="0"/>
        <v>-1</v>
      </c>
      <c r="N18" s="14">
        <f t="shared" si="1"/>
        <v>-80</v>
      </c>
      <c r="O18" s="17">
        <f t="shared" si="2"/>
        <v>8336</v>
      </c>
      <c r="P18" s="18" t="str">
        <f t="shared" si="3"/>
        <v/>
      </c>
      <c r="Q18" s="18">
        <f t="shared" si="4"/>
        <v>103.897875</v>
      </c>
      <c r="R18" s="17">
        <f t="shared" si="5"/>
        <v>0</v>
      </c>
      <c r="S18" s="17">
        <f t="shared" si="6"/>
        <v>8311.83</v>
      </c>
      <c r="T18" s="11" t="str">
        <f t="shared" si="7"/>
        <v>Principal|DEMOACC|Casa A</v>
      </c>
      <c r="U18" s="14">
        <f>F18*1000+IF(E18="venta",500,0)+ROWS($A$5:A18)</f>
        <v>46297514</v>
      </c>
      <c r="V18" s="14">
        <f t="shared" si="8"/>
        <v>200</v>
      </c>
      <c r="W18" s="14">
        <f t="shared" si="9"/>
        <v>120</v>
      </c>
      <c r="X18" s="14">
        <f t="shared" si="10"/>
        <v>46275001</v>
      </c>
      <c r="Y18" s="18">
        <f>IF(X18=0,0,INDEX($Z$4:Z17,MATCH(X18,$U$4:U17,0)))</f>
        <v>100.23985</v>
      </c>
      <c r="Z18" s="18">
        <f t="shared" si="11"/>
        <v>100.23985</v>
      </c>
      <c r="AA18" s="19" t="str">
        <f>IF(K18="cetes",SUMIFS(CETES!$AF$5:$AF$95,CETES!$A$5:$A$95,F18,CETES!$B$5:$B$95,D18),"")</f>
        <v/>
      </c>
      <c r="AB18" s="11" t="str">
        <f t="shared" si="12"/>
        <v/>
      </c>
      <c r="AC18" s="14" t="str">
        <f t="shared" si="13"/>
        <v/>
      </c>
      <c r="AD18" s="11" t="b">
        <f t="shared" si="14"/>
        <v>1</v>
      </c>
      <c r="AE18" s="14">
        <f>SUMIFS('Valuación diaria'!$I$5:$I$354,'Valuación diaria'!$E$5:$E$354,T18,'Valuación diaria'!$A$5:$A$354,F18)</f>
        <v>120</v>
      </c>
      <c r="AF18" s="11" t="b">
        <f t="shared" si="15"/>
        <v>1</v>
      </c>
    </row>
    <row r="19" spans="1:32" x14ac:dyDescent="0.3">
      <c r="A19" s="9" t="s">
        <v>259</v>
      </c>
      <c r="B19" s="9" t="s">
        <v>94</v>
      </c>
      <c r="C19" s="9" t="s">
        <v>112</v>
      </c>
      <c r="D19" s="9" t="s">
        <v>129</v>
      </c>
      <c r="E19" s="9" t="s">
        <v>230</v>
      </c>
      <c r="F19" s="10">
        <v>46300</v>
      </c>
      <c r="G19" s="13">
        <v>300</v>
      </c>
      <c r="H19" s="16">
        <v>24.412500000000001</v>
      </c>
      <c r="I19" s="12">
        <v>21.24</v>
      </c>
      <c r="J19" s="9" t="s">
        <v>260</v>
      </c>
      <c r="K19" s="11" t="str">
        <f>INDEX(Entradas!$C$40:$C$46,MATCH(D19,Entradas!$A$40:$A$46,0))</f>
        <v>fibra</v>
      </c>
      <c r="L19" s="15" t="str">
        <f>IF(K19="cetes",INDEX(Entradas!$F$40:$F$46,MATCH(D19,Entradas!$A$40:$A$46,0)),"")</f>
        <v/>
      </c>
      <c r="M19" s="14">
        <f t="shared" si="0"/>
        <v>1</v>
      </c>
      <c r="N19" s="14">
        <f t="shared" si="1"/>
        <v>300</v>
      </c>
      <c r="O19" s="17">
        <f t="shared" si="2"/>
        <v>7323.75</v>
      </c>
      <c r="P19" s="18">
        <f t="shared" si="3"/>
        <v>24.4833</v>
      </c>
      <c r="Q19" s="18" t="str">
        <f t="shared" si="4"/>
        <v/>
      </c>
      <c r="R19" s="17">
        <f t="shared" si="5"/>
        <v>7344.99</v>
      </c>
      <c r="S19" s="17">
        <f t="shared" si="6"/>
        <v>0</v>
      </c>
      <c r="T19" s="11" t="str">
        <f t="shared" si="7"/>
        <v>Principal|DEMOFIB|Casa A</v>
      </c>
      <c r="U19" s="14">
        <f>F19*1000+IF(E19="venta",500,0)+ROWS($A$5:A19)</f>
        <v>46300015</v>
      </c>
      <c r="V19" s="14">
        <f t="shared" si="8"/>
        <v>0</v>
      </c>
      <c r="W19" s="14">
        <f t="shared" si="9"/>
        <v>300</v>
      </c>
      <c r="X19" s="14">
        <f t="shared" si="10"/>
        <v>46287510</v>
      </c>
      <c r="Y19" s="18">
        <f>IF(X19=0,0,INDEX($Z$4:Z18,MATCH(X19,$U$4:U18,0)))</f>
        <v>0</v>
      </c>
      <c r="Z19" s="18">
        <f t="shared" si="11"/>
        <v>24.4833</v>
      </c>
      <c r="AA19" s="19" t="str">
        <f>IF(K19="cetes",SUMIFS(CETES!$AF$5:$AF$95,CETES!$A$5:$A$95,F19,CETES!$B$5:$B$95,D19),"")</f>
        <v/>
      </c>
      <c r="AB19" s="11" t="str">
        <f t="shared" si="12"/>
        <v/>
      </c>
      <c r="AC19" s="14" t="str">
        <f t="shared" si="13"/>
        <v/>
      </c>
      <c r="AD19" s="11" t="str">
        <f t="shared" si="14"/>
        <v/>
      </c>
      <c r="AE19" s="14">
        <f>SUMIFS('Valuación diaria'!$I$5:$I$354,'Valuación diaria'!$E$5:$E$354,T19,'Valuación diaria'!$A$5:$A$354,F19)</f>
        <v>300</v>
      </c>
      <c r="AF19" s="11" t="b">
        <f t="shared" si="15"/>
        <v>1</v>
      </c>
    </row>
    <row r="20" spans="1:32" x14ac:dyDescent="0.3">
      <c r="A20" s="9" t="s">
        <v>261</v>
      </c>
      <c r="B20" s="9" t="s">
        <v>94</v>
      </c>
      <c r="C20" s="9" t="s">
        <v>113</v>
      </c>
      <c r="D20" s="9" t="s">
        <v>135</v>
      </c>
      <c r="E20" s="9" t="s">
        <v>230</v>
      </c>
      <c r="F20" s="10">
        <v>46303</v>
      </c>
      <c r="G20" s="13">
        <v>1000</v>
      </c>
      <c r="H20" s="16">
        <v>9.9528566000000005</v>
      </c>
      <c r="I20" s="12">
        <v>0</v>
      </c>
      <c r="J20" s="9" t="s">
        <v>262</v>
      </c>
      <c r="K20" s="11" t="str">
        <f>INDEX(Entradas!$C$40:$C$46,MATCH(D20,Entradas!$A$40:$A$46,0))</f>
        <v>cetes</v>
      </c>
      <c r="L20" s="15">
        <f>IF(K20="cetes",INDEX(Entradas!$F$40:$F$46,MATCH(D20,Entradas!$A$40:$A$46,0)),"")</f>
        <v>46331</v>
      </c>
      <c r="M20" s="14">
        <f t="shared" si="0"/>
        <v>1</v>
      </c>
      <c r="N20" s="14">
        <f t="shared" si="1"/>
        <v>1000</v>
      </c>
      <c r="O20" s="17">
        <f t="shared" si="2"/>
        <v>9952.856600000001</v>
      </c>
      <c r="P20" s="18">
        <f t="shared" si="3"/>
        <v>9.9528566000000005</v>
      </c>
      <c r="Q20" s="18" t="str">
        <f t="shared" si="4"/>
        <v/>
      </c>
      <c r="R20" s="17">
        <f t="shared" si="5"/>
        <v>9952.856600000001</v>
      </c>
      <c r="S20" s="17">
        <f t="shared" si="6"/>
        <v>0</v>
      </c>
      <c r="T20" s="11" t="str">
        <f t="shared" si="7"/>
        <v>Principal|BI261105|Casa B</v>
      </c>
      <c r="U20" s="14">
        <f>F20*1000+IF(E20="venta",500,0)+ROWS($A$5:A20)</f>
        <v>46303016</v>
      </c>
      <c r="V20" s="14">
        <f t="shared" si="8"/>
        <v>0</v>
      </c>
      <c r="W20" s="14">
        <f t="shared" si="9"/>
        <v>1000</v>
      </c>
      <c r="X20" s="14">
        <f t="shared" si="10"/>
        <v>0</v>
      </c>
      <c r="Y20" s="18">
        <f>IF(X20=0,0,INDEX($Z$4:Z19,MATCH(X20,$U$4:U19,0)))</f>
        <v>0</v>
      </c>
      <c r="Z20" s="18">
        <f t="shared" si="11"/>
        <v>9.9528566000000005</v>
      </c>
      <c r="AA20" s="19">
        <f>IF(K20="cetes",SUMIFS(CETES!$AF$5:$AF$95,CETES!$A$5:$A$95,F20,CETES!$B$5:$B$95,D20),"")</f>
        <v>9.9528566000000005</v>
      </c>
      <c r="AB20" s="11" t="b">
        <f t="shared" si="12"/>
        <v>1</v>
      </c>
      <c r="AC20" s="14">
        <f t="shared" si="13"/>
        <v>28</v>
      </c>
      <c r="AD20" s="11" t="str">
        <f t="shared" si="14"/>
        <v/>
      </c>
      <c r="AE20" s="14">
        <f>SUMIFS('Valuación diaria'!$I$5:$I$354,'Valuación diaria'!$E$5:$E$354,T20,'Valuación diaria'!$A$5:$A$354,F20)</f>
        <v>1000</v>
      </c>
      <c r="AF20" s="11" t="b">
        <f t="shared" si="15"/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9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3" width="12" customWidth="1"/>
    <col min="4" max="4" width="34" customWidth="1"/>
    <col min="5" max="5" width="11" customWidth="1"/>
    <col min="6" max="6" width="12" customWidth="1"/>
    <col min="7" max="7" width="13" customWidth="1"/>
    <col min="8" max="8" width="3" customWidth="1"/>
    <col min="9" max="9" width="12" customWidth="1"/>
    <col min="10" max="10" width="16" customWidth="1"/>
    <col min="11" max="11" width="14" customWidth="1"/>
    <col min="12" max="12" width="13" customWidth="1"/>
    <col min="13" max="13" width="12" customWidth="1"/>
  </cols>
  <sheetData>
    <row r="1" spans="1:13" ht="17.399999999999999" x14ac:dyDescent="0.3">
      <c r="A1" s="5" t="s">
        <v>263</v>
      </c>
    </row>
    <row r="2" spans="1:13" x14ac:dyDescent="0.3">
      <c r="A2" s="6" t="s">
        <v>264</v>
      </c>
    </row>
    <row r="4" spans="1:13" ht="39.6" x14ac:dyDescent="0.3">
      <c r="A4" s="8" t="s">
        <v>204</v>
      </c>
      <c r="B4" s="8" t="s">
        <v>177</v>
      </c>
      <c r="C4" s="8" t="s">
        <v>207</v>
      </c>
      <c r="D4" s="8" t="s">
        <v>147</v>
      </c>
      <c r="E4" s="8" t="s">
        <v>158</v>
      </c>
      <c r="F4" s="8" t="s">
        <v>265</v>
      </c>
      <c r="G4" s="8" t="s">
        <v>266</v>
      </c>
      <c r="I4" s="8" t="s">
        <v>177</v>
      </c>
      <c r="J4" s="8" t="s">
        <v>204</v>
      </c>
      <c r="K4" s="8" t="s">
        <v>267</v>
      </c>
      <c r="L4" s="8" t="s">
        <v>268</v>
      </c>
      <c r="M4" s="8" t="s">
        <v>269</v>
      </c>
    </row>
    <row r="5" spans="1:13" x14ac:dyDescent="0.3">
      <c r="A5" s="9" t="s">
        <v>123</v>
      </c>
      <c r="B5" s="10">
        <v>46275</v>
      </c>
      <c r="C5" s="16">
        <v>100.2</v>
      </c>
      <c r="D5" s="9" t="s">
        <v>145</v>
      </c>
      <c r="E5" s="9" t="s">
        <v>170</v>
      </c>
      <c r="F5" s="14">
        <f t="shared" ref="F5:F36" si="0">WEEKDAY(B5,2)</f>
        <v>4</v>
      </c>
      <c r="G5" s="11" t="b">
        <f>AND(F5&lt;=5,COUNTIF(Entradas!$A$65:$A$178,B5)=0)</f>
        <v>1</v>
      </c>
      <c r="I5" s="20">
        <v>46275</v>
      </c>
      <c r="J5" s="21" t="s">
        <v>123</v>
      </c>
      <c r="K5" s="15">
        <f t="shared" ref="K5:K36" si="1">_xlfn.MAXIFS($B$5:$B$75,$A$5:$A$75,J5,$B$5:$B$75,"&lt;="&amp;I5)</f>
        <v>46275</v>
      </c>
      <c r="L5" s="18">
        <f t="shared" ref="L5:L36" si="2">SUMIFS($C$5:$C$75,$A$5:$A$75,J5,$B$5:$B$75,K5)</f>
        <v>100.2</v>
      </c>
      <c r="M5" s="11" t="str">
        <f t="shared" ref="M5:M36" si="3">IF(K5&lt;I5,"sí","no")</f>
        <v>no</v>
      </c>
    </row>
    <row r="6" spans="1:13" x14ac:dyDescent="0.3">
      <c r="A6" s="9" t="s">
        <v>123</v>
      </c>
      <c r="B6" s="10">
        <v>46276</v>
      </c>
      <c r="C6" s="16">
        <v>101.85</v>
      </c>
      <c r="D6" s="9" t="s">
        <v>145</v>
      </c>
      <c r="E6" s="9" t="s">
        <v>170</v>
      </c>
      <c r="F6" s="14">
        <f t="shared" si="0"/>
        <v>5</v>
      </c>
      <c r="G6" s="11" t="b">
        <f>AND(F6&lt;=5,COUNTIF(Entradas!$A$65:$A$178,B6)=0)</f>
        <v>1</v>
      </c>
      <c r="I6" s="20">
        <v>46275</v>
      </c>
      <c r="J6" s="21" t="s">
        <v>126</v>
      </c>
      <c r="K6" s="15">
        <f t="shared" si="1"/>
        <v>46275</v>
      </c>
      <c r="L6" s="18">
        <f t="shared" si="2"/>
        <v>50.1</v>
      </c>
      <c r="M6" s="11" t="str">
        <f t="shared" si="3"/>
        <v>no</v>
      </c>
    </row>
    <row r="7" spans="1:13" x14ac:dyDescent="0.3">
      <c r="A7" s="9" t="s">
        <v>123</v>
      </c>
      <c r="B7" s="10">
        <v>46279</v>
      </c>
      <c r="C7" s="16">
        <v>103.4</v>
      </c>
      <c r="D7" s="9" t="s">
        <v>145</v>
      </c>
      <c r="E7" s="9" t="s">
        <v>170</v>
      </c>
      <c r="F7" s="14">
        <f t="shared" si="0"/>
        <v>1</v>
      </c>
      <c r="G7" s="11" t="b">
        <f>AND(F7&lt;=5,COUNTIF(Entradas!$A$65:$A$178,B7)=0)</f>
        <v>1</v>
      </c>
      <c r="I7" s="20">
        <v>46275</v>
      </c>
      <c r="J7" s="21" t="s">
        <v>129</v>
      </c>
      <c r="K7" s="15">
        <f t="shared" si="1"/>
        <v>46275</v>
      </c>
      <c r="L7" s="18">
        <f t="shared" si="2"/>
        <v>24.8</v>
      </c>
      <c r="M7" s="11" t="str">
        <f t="shared" si="3"/>
        <v>no</v>
      </c>
    </row>
    <row r="8" spans="1:13" x14ac:dyDescent="0.3">
      <c r="A8" s="9" t="s">
        <v>123</v>
      </c>
      <c r="B8" s="10">
        <v>46280</v>
      </c>
      <c r="C8" s="16">
        <v>104.75</v>
      </c>
      <c r="D8" s="9" t="s">
        <v>145</v>
      </c>
      <c r="E8" s="9" t="s">
        <v>170</v>
      </c>
      <c r="F8" s="14">
        <f t="shared" si="0"/>
        <v>2</v>
      </c>
      <c r="G8" s="11" t="b">
        <f>AND(F8&lt;=5,COUNTIF(Entradas!$A$65:$A$178,B8)=0)</f>
        <v>1</v>
      </c>
      <c r="I8" s="20">
        <v>46276</v>
      </c>
      <c r="J8" s="21" t="s">
        <v>123</v>
      </c>
      <c r="K8" s="15">
        <f t="shared" si="1"/>
        <v>46276</v>
      </c>
      <c r="L8" s="18">
        <f t="shared" si="2"/>
        <v>101.85</v>
      </c>
      <c r="M8" s="11" t="str">
        <f t="shared" si="3"/>
        <v>no</v>
      </c>
    </row>
    <row r="9" spans="1:13" x14ac:dyDescent="0.3">
      <c r="A9" s="9" t="s">
        <v>123</v>
      </c>
      <c r="B9" s="10">
        <v>46282</v>
      </c>
      <c r="C9" s="16">
        <v>102.1</v>
      </c>
      <c r="D9" s="9" t="s">
        <v>145</v>
      </c>
      <c r="E9" s="9" t="s">
        <v>170</v>
      </c>
      <c r="F9" s="14">
        <f t="shared" si="0"/>
        <v>4</v>
      </c>
      <c r="G9" s="11" t="b">
        <f>AND(F9&lt;=5,COUNTIF(Entradas!$A$65:$A$178,B9)=0)</f>
        <v>1</v>
      </c>
      <c r="I9" s="20">
        <v>46276</v>
      </c>
      <c r="J9" s="21" t="s">
        <v>126</v>
      </c>
      <c r="K9" s="15">
        <f t="shared" si="1"/>
        <v>46276</v>
      </c>
      <c r="L9" s="18">
        <f t="shared" si="2"/>
        <v>50.62</v>
      </c>
      <c r="M9" s="11" t="str">
        <f t="shared" si="3"/>
        <v>no</v>
      </c>
    </row>
    <row r="10" spans="1:13" x14ac:dyDescent="0.3">
      <c r="A10" s="9" t="s">
        <v>123</v>
      </c>
      <c r="B10" s="10">
        <v>46283</v>
      </c>
      <c r="C10" s="16">
        <v>98.65</v>
      </c>
      <c r="D10" s="9" t="s">
        <v>145</v>
      </c>
      <c r="E10" s="9" t="s">
        <v>170</v>
      </c>
      <c r="F10" s="14">
        <f t="shared" si="0"/>
        <v>5</v>
      </c>
      <c r="G10" s="11" t="b">
        <f>AND(F10&lt;=5,COUNTIF(Entradas!$A$65:$A$178,B10)=0)</f>
        <v>1</v>
      </c>
      <c r="I10" s="20">
        <v>46276</v>
      </c>
      <c r="J10" s="21" t="s">
        <v>129</v>
      </c>
      <c r="K10" s="15">
        <f t="shared" si="1"/>
        <v>46276</v>
      </c>
      <c r="L10" s="18">
        <f t="shared" si="2"/>
        <v>25.015000000000001</v>
      </c>
      <c r="M10" s="11" t="str">
        <f t="shared" si="3"/>
        <v>no</v>
      </c>
    </row>
    <row r="11" spans="1:13" x14ac:dyDescent="0.3">
      <c r="A11" s="9" t="s">
        <v>123</v>
      </c>
      <c r="B11" s="10">
        <v>46286</v>
      </c>
      <c r="C11" s="16">
        <v>95.3</v>
      </c>
      <c r="D11" s="9" t="s">
        <v>145</v>
      </c>
      <c r="E11" s="9" t="s">
        <v>170</v>
      </c>
      <c r="F11" s="14">
        <f t="shared" si="0"/>
        <v>1</v>
      </c>
      <c r="G11" s="11" t="b">
        <f>AND(F11&lt;=5,COUNTIF(Entradas!$A$65:$A$178,B11)=0)</f>
        <v>1</v>
      </c>
      <c r="I11" s="20">
        <v>46277</v>
      </c>
      <c r="J11" s="21" t="s">
        <v>123</v>
      </c>
      <c r="K11" s="15">
        <f t="shared" si="1"/>
        <v>46276</v>
      </c>
      <c r="L11" s="18">
        <f t="shared" si="2"/>
        <v>101.85</v>
      </c>
      <c r="M11" s="11" t="str">
        <f t="shared" si="3"/>
        <v>sí</v>
      </c>
    </row>
    <row r="12" spans="1:13" x14ac:dyDescent="0.3">
      <c r="A12" s="9" t="s">
        <v>123</v>
      </c>
      <c r="B12" s="10">
        <v>46287</v>
      </c>
      <c r="C12" s="16">
        <v>92.15</v>
      </c>
      <c r="D12" s="9" t="s">
        <v>145</v>
      </c>
      <c r="E12" s="9" t="s">
        <v>170</v>
      </c>
      <c r="F12" s="14">
        <f t="shared" si="0"/>
        <v>2</v>
      </c>
      <c r="G12" s="11" t="b">
        <f>AND(F12&lt;=5,COUNTIF(Entradas!$A$65:$A$178,B12)=0)</f>
        <v>1</v>
      </c>
      <c r="I12" s="20">
        <v>46277</v>
      </c>
      <c r="J12" s="21" t="s">
        <v>126</v>
      </c>
      <c r="K12" s="15">
        <f t="shared" si="1"/>
        <v>46276</v>
      </c>
      <c r="L12" s="18">
        <f t="shared" si="2"/>
        <v>50.62</v>
      </c>
      <c r="M12" s="11" t="str">
        <f t="shared" si="3"/>
        <v>sí</v>
      </c>
    </row>
    <row r="13" spans="1:13" x14ac:dyDescent="0.3">
      <c r="A13" s="9" t="s">
        <v>123</v>
      </c>
      <c r="B13" s="10">
        <v>46288</v>
      </c>
      <c r="C13" s="16">
        <v>90.424999999999997</v>
      </c>
      <c r="D13" s="9" t="s">
        <v>145</v>
      </c>
      <c r="E13" s="9" t="s">
        <v>170</v>
      </c>
      <c r="F13" s="14">
        <f t="shared" si="0"/>
        <v>3</v>
      </c>
      <c r="G13" s="11" t="b">
        <f>AND(F13&lt;=5,COUNTIF(Entradas!$A$65:$A$178,B13)=0)</f>
        <v>1</v>
      </c>
      <c r="I13" s="20">
        <v>46277</v>
      </c>
      <c r="J13" s="21" t="s">
        <v>129</v>
      </c>
      <c r="K13" s="15">
        <f t="shared" si="1"/>
        <v>46276</v>
      </c>
      <c r="L13" s="18">
        <f t="shared" si="2"/>
        <v>25.015000000000001</v>
      </c>
      <c r="M13" s="11" t="str">
        <f t="shared" si="3"/>
        <v>sí</v>
      </c>
    </row>
    <row r="14" spans="1:13" x14ac:dyDescent="0.3">
      <c r="A14" s="9" t="s">
        <v>123</v>
      </c>
      <c r="B14" s="10">
        <v>46289</v>
      </c>
      <c r="C14" s="16">
        <v>92.8</v>
      </c>
      <c r="D14" s="9" t="s">
        <v>145</v>
      </c>
      <c r="E14" s="9" t="s">
        <v>170</v>
      </c>
      <c r="F14" s="14">
        <f t="shared" si="0"/>
        <v>4</v>
      </c>
      <c r="G14" s="11" t="b">
        <f>AND(F14&lt;=5,COUNTIF(Entradas!$A$65:$A$178,B14)=0)</f>
        <v>1</v>
      </c>
      <c r="I14" s="20">
        <v>46278</v>
      </c>
      <c r="J14" s="21" t="s">
        <v>123</v>
      </c>
      <c r="K14" s="15">
        <f t="shared" si="1"/>
        <v>46276</v>
      </c>
      <c r="L14" s="18">
        <f t="shared" si="2"/>
        <v>101.85</v>
      </c>
      <c r="M14" s="11" t="str">
        <f t="shared" si="3"/>
        <v>sí</v>
      </c>
    </row>
    <row r="15" spans="1:13" x14ac:dyDescent="0.3">
      <c r="A15" s="9" t="s">
        <v>123</v>
      </c>
      <c r="B15" s="10">
        <v>46290</v>
      </c>
      <c r="C15" s="16">
        <v>96.15</v>
      </c>
      <c r="D15" s="9" t="s">
        <v>145</v>
      </c>
      <c r="E15" s="9" t="s">
        <v>170</v>
      </c>
      <c r="F15" s="14">
        <f t="shared" si="0"/>
        <v>5</v>
      </c>
      <c r="G15" s="11" t="b">
        <f>AND(F15&lt;=5,COUNTIF(Entradas!$A$65:$A$178,B15)=0)</f>
        <v>1</v>
      </c>
      <c r="I15" s="20">
        <v>46278</v>
      </c>
      <c r="J15" s="21" t="s">
        <v>126</v>
      </c>
      <c r="K15" s="15">
        <f t="shared" si="1"/>
        <v>46276</v>
      </c>
      <c r="L15" s="18">
        <f t="shared" si="2"/>
        <v>50.62</v>
      </c>
      <c r="M15" s="11" t="str">
        <f t="shared" si="3"/>
        <v>sí</v>
      </c>
    </row>
    <row r="16" spans="1:13" x14ac:dyDescent="0.3">
      <c r="A16" s="9" t="s">
        <v>123</v>
      </c>
      <c r="B16" s="10">
        <v>46293</v>
      </c>
      <c r="C16" s="16">
        <v>99.7</v>
      </c>
      <c r="D16" s="9" t="s">
        <v>145</v>
      </c>
      <c r="E16" s="9" t="s">
        <v>170</v>
      </c>
      <c r="F16" s="14">
        <f t="shared" si="0"/>
        <v>1</v>
      </c>
      <c r="G16" s="11" t="b">
        <f>AND(F16&lt;=5,COUNTIF(Entradas!$A$65:$A$178,B16)=0)</f>
        <v>1</v>
      </c>
      <c r="I16" s="20">
        <v>46278</v>
      </c>
      <c r="J16" s="21" t="s">
        <v>129</v>
      </c>
      <c r="K16" s="15">
        <f t="shared" si="1"/>
        <v>46276</v>
      </c>
      <c r="L16" s="18">
        <f t="shared" si="2"/>
        <v>25.015000000000001</v>
      </c>
      <c r="M16" s="11" t="str">
        <f t="shared" si="3"/>
        <v>sí</v>
      </c>
    </row>
    <row r="17" spans="1:13" x14ac:dyDescent="0.3">
      <c r="A17" s="9" t="s">
        <v>123</v>
      </c>
      <c r="B17" s="10">
        <v>46294</v>
      </c>
      <c r="C17" s="16">
        <v>103.25</v>
      </c>
      <c r="D17" s="9" t="s">
        <v>145</v>
      </c>
      <c r="E17" s="9" t="s">
        <v>170</v>
      </c>
      <c r="F17" s="14">
        <f t="shared" si="0"/>
        <v>2</v>
      </c>
      <c r="G17" s="11" t="b">
        <f>AND(F17&lt;=5,COUNTIF(Entradas!$A$65:$A$178,B17)=0)</f>
        <v>1</v>
      </c>
      <c r="I17" s="20">
        <v>46279</v>
      </c>
      <c r="J17" s="21" t="s">
        <v>123</v>
      </c>
      <c r="K17" s="15">
        <f t="shared" si="1"/>
        <v>46279</v>
      </c>
      <c r="L17" s="18">
        <f t="shared" si="2"/>
        <v>103.4</v>
      </c>
      <c r="M17" s="11" t="str">
        <f t="shared" si="3"/>
        <v>no</v>
      </c>
    </row>
    <row r="18" spans="1:13" x14ac:dyDescent="0.3">
      <c r="A18" s="9" t="s">
        <v>123</v>
      </c>
      <c r="B18" s="10">
        <v>46295</v>
      </c>
      <c r="C18" s="16">
        <v>107.1</v>
      </c>
      <c r="D18" s="9" t="s">
        <v>145</v>
      </c>
      <c r="E18" s="9" t="s">
        <v>170</v>
      </c>
      <c r="F18" s="14">
        <f t="shared" si="0"/>
        <v>3</v>
      </c>
      <c r="G18" s="11" t="b">
        <f>AND(F18&lt;=5,COUNTIF(Entradas!$A$65:$A$178,B18)=0)</f>
        <v>1</v>
      </c>
      <c r="I18" s="20">
        <v>46279</v>
      </c>
      <c r="J18" s="21" t="s">
        <v>126</v>
      </c>
      <c r="K18" s="15">
        <f t="shared" si="1"/>
        <v>46279</v>
      </c>
      <c r="L18" s="18">
        <f t="shared" si="2"/>
        <v>51.05</v>
      </c>
      <c r="M18" s="11" t="str">
        <f t="shared" si="3"/>
        <v>no</v>
      </c>
    </row>
    <row r="19" spans="1:13" x14ac:dyDescent="0.3">
      <c r="A19" s="9" t="s">
        <v>123</v>
      </c>
      <c r="B19" s="10">
        <v>46296</v>
      </c>
      <c r="C19" s="16">
        <v>105.35</v>
      </c>
      <c r="D19" s="9" t="s">
        <v>145</v>
      </c>
      <c r="E19" s="9" t="s">
        <v>170</v>
      </c>
      <c r="F19" s="14">
        <f t="shared" si="0"/>
        <v>4</v>
      </c>
      <c r="G19" s="11" t="b">
        <f>AND(F19&lt;=5,COUNTIF(Entradas!$A$65:$A$178,B19)=0)</f>
        <v>1</v>
      </c>
      <c r="I19" s="20">
        <v>46279</v>
      </c>
      <c r="J19" s="21" t="s">
        <v>129</v>
      </c>
      <c r="K19" s="15">
        <f t="shared" si="1"/>
        <v>46279</v>
      </c>
      <c r="L19" s="18">
        <f t="shared" si="2"/>
        <v>25.237500000000001</v>
      </c>
      <c r="M19" s="11" t="str">
        <f t="shared" si="3"/>
        <v>no</v>
      </c>
    </row>
    <row r="20" spans="1:13" x14ac:dyDescent="0.3">
      <c r="A20" s="9" t="s">
        <v>123</v>
      </c>
      <c r="B20" s="10">
        <v>46297</v>
      </c>
      <c r="C20" s="16">
        <v>103.9</v>
      </c>
      <c r="D20" s="9" t="s">
        <v>145</v>
      </c>
      <c r="E20" s="9" t="s">
        <v>170</v>
      </c>
      <c r="F20" s="14">
        <f t="shared" si="0"/>
        <v>5</v>
      </c>
      <c r="G20" s="11" t="b">
        <f>AND(F20&lt;=5,COUNTIF(Entradas!$A$65:$A$178,B20)=0)</f>
        <v>1</v>
      </c>
      <c r="I20" s="20">
        <v>46280</v>
      </c>
      <c r="J20" s="21" t="s">
        <v>123</v>
      </c>
      <c r="K20" s="15">
        <f t="shared" si="1"/>
        <v>46280</v>
      </c>
      <c r="L20" s="18">
        <f t="shared" si="2"/>
        <v>104.75</v>
      </c>
      <c r="M20" s="11" t="str">
        <f t="shared" si="3"/>
        <v>no</v>
      </c>
    </row>
    <row r="21" spans="1:13" x14ac:dyDescent="0.3">
      <c r="A21" s="9" t="s">
        <v>123</v>
      </c>
      <c r="B21" s="10">
        <v>46300</v>
      </c>
      <c r="C21" s="16">
        <v>101.65</v>
      </c>
      <c r="D21" s="9" t="s">
        <v>145</v>
      </c>
      <c r="E21" s="9" t="s">
        <v>170</v>
      </c>
      <c r="F21" s="14">
        <f t="shared" si="0"/>
        <v>1</v>
      </c>
      <c r="G21" s="11" t="b">
        <f>AND(F21&lt;=5,COUNTIF(Entradas!$A$65:$A$178,B21)=0)</f>
        <v>1</v>
      </c>
      <c r="I21" s="20">
        <v>46280</v>
      </c>
      <c r="J21" s="21" t="s">
        <v>126</v>
      </c>
      <c r="K21" s="15">
        <f t="shared" si="1"/>
        <v>46280</v>
      </c>
      <c r="L21" s="18">
        <f t="shared" si="2"/>
        <v>51.48</v>
      </c>
      <c r="M21" s="11" t="str">
        <f t="shared" si="3"/>
        <v>no</v>
      </c>
    </row>
    <row r="22" spans="1:13" x14ac:dyDescent="0.3">
      <c r="A22" s="9" t="s">
        <v>123</v>
      </c>
      <c r="B22" s="10">
        <v>46301</v>
      </c>
      <c r="C22" s="16">
        <v>102.8</v>
      </c>
      <c r="D22" s="9" t="s">
        <v>145</v>
      </c>
      <c r="E22" s="9" t="s">
        <v>170</v>
      </c>
      <c r="F22" s="14">
        <f t="shared" si="0"/>
        <v>2</v>
      </c>
      <c r="G22" s="11" t="b">
        <f>AND(F22&lt;=5,COUNTIF(Entradas!$A$65:$A$178,B22)=0)</f>
        <v>1</v>
      </c>
      <c r="I22" s="20">
        <v>46280</v>
      </c>
      <c r="J22" s="21" t="s">
        <v>129</v>
      </c>
      <c r="K22" s="15">
        <f t="shared" si="1"/>
        <v>46280</v>
      </c>
      <c r="L22" s="18">
        <f t="shared" si="2"/>
        <v>25.41</v>
      </c>
      <c r="M22" s="11" t="str">
        <f t="shared" si="3"/>
        <v>no</v>
      </c>
    </row>
    <row r="23" spans="1:13" x14ac:dyDescent="0.3">
      <c r="A23" s="9" t="s">
        <v>123</v>
      </c>
      <c r="B23" s="10">
        <v>46302</v>
      </c>
      <c r="C23" s="16">
        <v>104.95</v>
      </c>
      <c r="D23" s="9" t="s">
        <v>145</v>
      </c>
      <c r="E23" s="9" t="s">
        <v>170</v>
      </c>
      <c r="F23" s="14">
        <f t="shared" si="0"/>
        <v>3</v>
      </c>
      <c r="G23" s="11" t="b">
        <f>AND(F23&lt;=5,COUNTIF(Entradas!$A$65:$A$178,B23)=0)</f>
        <v>1</v>
      </c>
      <c r="I23" s="20">
        <v>46281</v>
      </c>
      <c r="J23" s="21" t="s">
        <v>123</v>
      </c>
      <c r="K23" s="15">
        <f t="shared" si="1"/>
        <v>46280</v>
      </c>
      <c r="L23" s="18">
        <f t="shared" si="2"/>
        <v>104.75</v>
      </c>
      <c r="M23" s="11" t="str">
        <f t="shared" si="3"/>
        <v>sí</v>
      </c>
    </row>
    <row r="24" spans="1:13" x14ac:dyDescent="0.3">
      <c r="A24" s="9" t="s">
        <v>123</v>
      </c>
      <c r="B24" s="10">
        <v>46303</v>
      </c>
      <c r="C24" s="16">
        <v>107.4</v>
      </c>
      <c r="D24" s="9" t="s">
        <v>145</v>
      </c>
      <c r="E24" s="9" t="s">
        <v>170</v>
      </c>
      <c r="F24" s="14">
        <f t="shared" si="0"/>
        <v>4</v>
      </c>
      <c r="G24" s="11" t="b">
        <f>AND(F24&lt;=5,COUNTIF(Entradas!$A$65:$A$178,B24)=0)</f>
        <v>1</v>
      </c>
      <c r="I24" s="20">
        <v>46281</v>
      </c>
      <c r="J24" s="21" t="s">
        <v>126</v>
      </c>
      <c r="K24" s="15">
        <f t="shared" si="1"/>
        <v>46280</v>
      </c>
      <c r="L24" s="18">
        <f t="shared" si="2"/>
        <v>51.48</v>
      </c>
      <c r="M24" s="11" t="str">
        <f t="shared" si="3"/>
        <v>sí</v>
      </c>
    </row>
    <row r="25" spans="1:13" x14ac:dyDescent="0.3">
      <c r="A25" s="9" t="s">
        <v>123</v>
      </c>
      <c r="B25" s="10">
        <v>46304</v>
      </c>
      <c r="C25" s="16">
        <v>109.15</v>
      </c>
      <c r="D25" s="9" t="s">
        <v>145</v>
      </c>
      <c r="E25" s="9" t="s">
        <v>170</v>
      </c>
      <c r="F25" s="14">
        <f t="shared" si="0"/>
        <v>5</v>
      </c>
      <c r="G25" s="11" t="b">
        <f>AND(F25&lt;=5,COUNTIF(Entradas!$A$65:$A$178,B25)=0)</f>
        <v>1</v>
      </c>
      <c r="I25" s="20">
        <v>46281</v>
      </c>
      <c r="J25" s="21" t="s">
        <v>129</v>
      </c>
      <c r="K25" s="15">
        <f t="shared" si="1"/>
        <v>46280</v>
      </c>
      <c r="L25" s="18">
        <f t="shared" si="2"/>
        <v>25.41</v>
      </c>
      <c r="M25" s="11" t="str">
        <f t="shared" si="3"/>
        <v>sí</v>
      </c>
    </row>
    <row r="26" spans="1:13" x14ac:dyDescent="0.3">
      <c r="A26" s="9" t="s">
        <v>123</v>
      </c>
      <c r="B26" s="10">
        <v>46307</v>
      </c>
      <c r="C26" s="16">
        <v>110.3</v>
      </c>
      <c r="D26" s="9" t="s">
        <v>145</v>
      </c>
      <c r="E26" s="9" t="s">
        <v>170</v>
      </c>
      <c r="F26" s="14">
        <f t="shared" si="0"/>
        <v>1</v>
      </c>
      <c r="G26" s="11" t="b">
        <f>AND(F26&lt;=5,COUNTIF(Entradas!$A$65:$A$178,B26)=0)</f>
        <v>1</v>
      </c>
      <c r="I26" s="20">
        <v>46282</v>
      </c>
      <c r="J26" s="21" t="s">
        <v>123</v>
      </c>
      <c r="K26" s="15">
        <f t="shared" si="1"/>
        <v>46282</v>
      </c>
      <c r="L26" s="18">
        <f t="shared" si="2"/>
        <v>102.1</v>
      </c>
      <c r="M26" s="11" t="str">
        <f t="shared" si="3"/>
        <v>no</v>
      </c>
    </row>
    <row r="27" spans="1:13" x14ac:dyDescent="0.3">
      <c r="A27" s="9" t="s">
        <v>123</v>
      </c>
      <c r="B27" s="10">
        <v>46308</v>
      </c>
      <c r="C27" s="16">
        <v>109.2</v>
      </c>
      <c r="D27" s="9" t="s">
        <v>145</v>
      </c>
      <c r="E27" s="9" t="s">
        <v>170</v>
      </c>
      <c r="F27" s="14">
        <f t="shared" si="0"/>
        <v>2</v>
      </c>
      <c r="G27" s="11" t="b">
        <f>AND(F27&lt;=5,COUNTIF(Entradas!$A$65:$A$178,B27)=0)</f>
        <v>1</v>
      </c>
      <c r="I27" s="20">
        <v>46282</v>
      </c>
      <c r="J27" s="21" t="s">
        <v>126</v>
      </c>
      <c r="K27" s="15">
        <f t="shared" si="1"/>
        <v>46282</v>
      </c>
      <c r="L27" s="18">
        <f t="shared" si="2"/>
        <v>50.71</v>
      </c>
      <c r="M27" s="11" t="str">
        <f t="shared" si="3"/>
        <v>no</v>
      </c>
    </row>
    <row r="28" spans="1:13" x14ac:dyDescent="0.3">
      <c r="A28" s="9" t="s">
        <v>123</v>
      </c>
      <c r="B28" s="10">
        <v>46309</v>
      </c>
      <c r="C28" s="16">
        <v>111.05</v>
      </c>
      <c r="D28" s="9" t="s">
        <v>145</v>
      </c>
      <c r="E28" s="9" t="s">
        <v>170</v>
      </c>
      <c r="F28" s="14">
        <f t="shared" si="0"/>
        <v>3</v>
      </c>
      <c r="G28" s="11" t="b">
        <f>AND(F28&lt;=5,COUNTIF(Entradas!$A$65:$A$178,B28)=0)</f>
        <v>1</v>
      </c>
      <c r="I28" s="20">
        <v>46282</v>
      </c>
      <c r="J28" s="21" t="s">
        <v>129</v>
      </c>
      <c r="K28" s="15">
        <f t="shared" si="1"/>
        <v>46282</v>
      </c>
      <c r="L28" s="18">
        <f t="shared" si="2"/>
        <v>24.965</v>
      </c>
      <c r="M28" s="11" t="str">
        <f t="shared" si="3"/>
        <v>no</v>
      </c>
    </row>
    <row r="29" spans="1:13" x14ac:dyDescent="0.3">
      <c r="A29" s="9" t="s">
        <v>126</v>
      </c>
      <c r="B29" s="10">
        <v>46275</v>
      </c>
      <c r="C29" s="16">
        <v>50.1</v>
      </c>
      <c r="D29" s="9" t="s">
        <v>145</v>
      </c>
      <c r="E29" s="9" t="s">
        <v>170</v>
      </c>
      <c r="F29" s="14">
        <f t="shared" si="0"/>
        <v>4</v>
      </c>
      <c r="G29" s="11" t="b">
        <f>AND(F29&lt;=5,COUNTIF(Entradas!$A$65:$A$178,B29)=0)</f>
        <v>1</v>
      </c>
      <c r="I29" s="20">
        <v>46283</v>
      </c>
      <c r="J29" s="21" t="s">
        <v>123</v>
      </c>
      <c r="K29" s="15">
        <f t="shared" si="1"/>
        <v>46283</v>
      </c>
      <c r="L29" s="18">
        <f t="shared" si="2"/>
        <v>98.65</v>
      </c>
      <c r="M29" s="11" t="str">
        <f t="shared" si="3"/>
        <v>no</v>
      </c>
    </row>
    <row r="30" spans="1:13" x14ac:dyDescent="0.3">
      <c r="A30" s="9" t="s">
        <v>126</v>
      </c>
      <c r="B30" s="10">
        <v>46276</v>
      </c>
      <c r="C30" s="16">
        <v>50.62</v>
      </c>
      <c r="D30" s="9" t="s">
        <v>145</v>
      </c>
      <c r="E30" s="9" t="s">
        <v>170</v>
      </c>
      <c r="F30" s="14">
        <f t="shared" si="0"/>
        <v>5</v>
      </c>
      <c r="G30" s="11" t="b">
        <f>AND(F30&lt;=5,COUNTIF(Entradas!$A$65:$A$178,B30)=0)</f>
        <v>1</v>
      </c>
      <c r="I30" s="20">
        <v>46283</v>
      </c>
      <c r="J30" s="21" t="s">
        <v>126</v>
      </c>
      <c r="K30" s="15">
        <f t="shared" si="1"/>
        <v>46283</v>
      </c>
      <c r="L30" s="18">
        <f t="shared" si="2"/>
        <v>49.34</v>
      </c>
      <c r="M30" s="11" t="str">
        <f t="shared" si="3"/>
        <v>no</v>
      </c>
    </row>
    <row r="31" spans="1:13" x14ac:dyDescent="0.3">
      <c r="A31" s="9" t="s">
        <v>126</v>
      </c>
      <c r="B31" s="10">
        <v>46279</v>
      </c>
      <c r="C31" s="16">
        <v>51.05</v>
      </c>
      <c r="D31" s="9" t="s">
        <v>145</v>
      </c>
      <c r="E31" s="9" t="s">
        <v>170</v>
      </c>
      <c r="F31" s="14">
        <f t="shared" si="0"/>
        <v>1</v>
      </c>
      <c r="G31" s="11" t="b">
        <f>AND(F31&lt;=5,COUNTIF(Entradas!$A$65:$A$178,B31)=0)</f>
        <v>1</v>
      </c>
      <c r="I31" s="20">
        <v>46283</v>
      </c>
      <c r="J31" s="21" t="s">
        <v>129</v>
      </c>
      <c r="K31" s="15">
        <f t="shared" si="1"/>
        <v>46283</v>
      </c>
      <c r="L31" s="18">
        <f t="shared" si="2"/>
        <v>24.302499999999998</v>
      </c>
      <c r="M31" s="11" t="str">
        <f t="shared" si="3"/>
        <v>no</v>
      </c>
    </row>
    <row r="32" spans="1:13" x14ac:dyDescent="0.3">
      <c r="A32" s="9" t="s">
        <v>126</v>
      </c>
      <c r="B32" s="10">
        <v>46280</v>
      </c>
      <c r="C32" s="16">
        <v>51.48</v>
      </c>
      <c r="D32" s="9" t="s">
        <v>145</v>
      </c>
      <c r="E32" s="9" t="s">
        <v>170</v>
      </c>
      <c r="F32" s="14">
        <f t="shared" si="0"/>
        <v>2</v>
      </c>
      <c r="G32" s="11" t="b">
        <f>AND(F32&lt;=5,COUNTIF(Entradas!$A$65:$A$178,B32)=0)</f>
        <v>1</v>
      </c>
      <c r="I32" s="20">
        <v>46284</v>
      </c>
      <c r="J32" s="21" t="s">
        <v>123</v>
      </c>
      <c r="K32" s="15">
        <f t="shared" si="1"/>
        <v>46283</v>
      </c>
      <c r="L32" s="18">
        <f t="shared" si="2"/>
        <v>98.65</v>
      </c>
      <c r="M32" s="11" t="str">
        <f t="shared" si="3"/>
        <v>sí</v>
      </c>
    </row>
    <row r="33" spans="1:13" x14ac:dyDescent="0.3">
      <c r="A33" s="9" t="s">
        <v>126</v>
      </c>
      <c r="B33" s="10">
        <v>46282</v>
      </c>
      <c r="C33" s="16">
        <v>50.71</v>
      </c>
      <c r="D33" s="9" t="s">
        <v>145</v>
      </c>
      <c r="E33" s="9" t="s">
        <v>170</v>
      </c>
      <c r="F33" s="14">
        <f t="shared" si="0"/>
        <v>4</v>
      </c>
      <c r="G33" s="11" t="b">
        <f>AND(F33&lt;=5,COUNTIF(Entradas!$A$65:$A$178,B33)=0)</f>
        <v>1</v>
      </c>
      <c r="I33" s="20">
        <v>46284</v>
      </c>
      <c r="J33" s="21" t="s">
        <v>126</v>
      </c>
      <c r="K33" s="15">
        <f t="shared" si="1"/>
        <v>46283</v>
      </c>
      <c r="L33" s="18">
        <f t="shared" si="2"/>
        <v>49.34</v>
      </c>
      <c r="M33" s="11" t="str">
        <f t="shared" si="3"/>
        <v>sí</v>
      </c>
    </row>
    <row r="34" spans="1:13" x14ac:dyDescent="0.3">
      <c r="A34" s="9" t="s">
        <v>126</v>
      </c>
      <c r="B34" s="10">
        <v>46283</v>
      </c>
      <c r="C34" s="16">
        <v>49.34</v>
      </c>
      <c r="D34" s="9" t="s">
        <v>145</v>
      </c>
      <c r="E34" s="9" t="s">
        <v>170</v>
      </c>
      <c r="F34" s="14">
        <f t="shared" si="0"/>
        <v>5</v>
      </c>
      <c r="G34" s="11" t="b">
        <f>AND(F34&lt;=5,COUNTIF(Entradas!$A$65:$A$178,B34)=0)</f>
        <v>1</v>
      </c>
      <c r="I34" s="20">
        <v>46284</v>
      </c>
      <c r="J34" s="21" t="s">
        <v>129</v>
      </c>
      <c r="K34" s="15">
        <f t="shared" si="1"/>
        <v>46283</v>
      </c>
      <c r="L34" s="18">
        <f t="shared" si="2"/>
        <v>24.302499999999998</v>
      </c>
      <c r="M34" s="11" t="str">
        <f t="shared" si="3"/>
        <v>sí</v>
      </c>
    </row>
    <row r="35" spans="1:13" x14ac:dyDescent="0.3">
      <c r="A35" s="9" t="s">
        <v>126</v>
      </c>
      <c r="B35" s="10">
        <v>46286</v>
      </c>
      <c r="C35" s="16">
        <v>48.02</v>
      </c>
      <c r="D35" s="9" t="s">
        <v>145</v>
      </c>
      <c r="E35" s="9" t="s">
        <v>170</v>
      </c>
      <c r="F35" s="14">
        <f t="shared" si="0"/>
        <v>1</v>
      </c>
      <c r="G35" s="11" t="b">
        <f>AND(F35&lt;=5,COUNTIF(Entradas!$A$65:$A$178,B35)=0)</f>
        <v>1</v>
      </c>
      <c r="I35" s="20">
        <v>46285</v>
      </c>
      <c r="J35" s="21" t="s">
        <v>123</v>
      </c>
      <c r="K35" s="15">
        <f t="shared" si="1"/>
        <v>46283</v>
      </c>
      <c r="L35" s="18">
        <f t="shared" si="2"/>
        <v>98.65</v>
      </c>
      <c r="M35" s="11" t="str">
        <f t="shared" si="3"/>
        <v>sí</v>
      </c>
    </row>
    <row r="36" spans="1:13" x14ac:dyDescent="0.3">
      <c r="A36" s="9" t="s">
        <v>126</v>
      </c>
      <c r="B36" s="10">
        <v>46287</v>
      </c>
      <c r="C36" s="16">
        <v>46.87</v>
      </c>
      <c r="D36" s="9" t="s">
        <v>145</v>
      </c>
      <c r="E36" s="9" t="s">
        <v>170</v>
      </c>
      <c r="F36" s="14">
        <f t="shared" si="0"/>
        <v>2</v>
      </c>
      <c r="G36" s="11" t="b">
        <f>AND(F36&lt;=5,COUNTIF(Entradas!$A$65:$A$178,B36)=0)</f>
        <v>1</v>
      </c>
      <c r="I36" s="20">
        <v>46285</v>
      </c>
      <c r="J36" s="21" t="s">
        <v>126</v>
      </c>
      <c r="K36" s="15">
        <f t="shared" si="1"/>
        <v>46283</v>
      </c>
      <c r="L36" s="18">
        <f t="shared" si="2"/>
        <v>49.34</v>
      </c>
      <c r="M36" s="11" t="str">
        <f t="shared" si="3"/>
        <v>sí</v>
      </c>
    </row>
    <row r="37" spans="1:13" x14ac:dyDescent="0.3">
      <c r="A37" s="9" t="s">
        <v>126</v>
      </c>
      <c r="B37" s="10">
        <v>46288</v>
      </c>
      <c r="C37" s="16">
        <v>46.15</v>
      </c>
      <c r="D37" s="9" t="s">
        <v>145</v>
      </c>
      <c r="E37" s="9" t="s">
        <v>170</v>
      </c>
      <c r="F37" s="14">
        <f t="shared" ref="F37:F68" si="4">WEEKDAY(B37,2)</f>
        <v>3</v>
      </c>
      <c r="G37" s="11" t="b">
        <f>AND(F37&lt;=5,COUNTIF(Entradas!$A$65:$A$178,B37)=0)</f>
        <v>1</v>
      </c>
      <c r="I37" s="20">
        <v>46285</v>
      </c>
      <c r="J37" s="21" t="s">
        <v>129</v>
      </c>
      <c r="K37" s="15">
        <f t="shared" ref="K37:K68" si="5">_xlfn.MAXIFS($B$5:$B$75,$A$5:$A$75,J37,$B$5:$B$75,"&lt;="&amp;I37)</f>
        <v>46283</v>
      </c>
      <c r="L37" s="18">
        <f t="shared" ref="L37:L68" si="6">SUMIFS($C$5:$C$75,$A$5:$A$75,J37,$B$5:$B$75,K37)</f>
        <v>24.302499999999998</v>
      </c>
      <c r="M37" s="11" t="str">
        <f t="shared" ref="M37:M68" si="7">IF(K37&lt;I37,"sí","no")</f>
        <v>sí</v>
      </c>
    </row>
    <row r="38" spans="1:13" x14ac:dyDescent="0.3">
      <c r="A38" s="9" t="s">
        <v>126</v>
      </c>
      <c r="B38" s="10">
        <v>46289</v>
      </c>
      <c r="C38" s="16">
        <v>46.93</v>
      </c>
      <c r="D38" s="9" t="s">
        <v>145</v>
      </c>
      <c r="E38" s="9" t="s">
        <v>170</v>
      </c>
      <c r="F38" s="14">
        <f t="shared" si="4"/>
        <v>4</v>
      </c>
      <c r="G38" s="11" t="b">
        <f>AND(F38&lt;=5,COUNTIF(Entradas!$A$65:$A$178,B38)=0)</f>
        <v>1</v>
      </c>
      <c r="I38" s="20">
        <v>46286</v>
      </c>
      <c r="J38" s="21" t="s">
        <v>123</v>
      </c>
      <c r="K38" s="15">
        <f t="shared" si="5"/>
        <v>46286</v>
      </c>
      <c r="L38" s="18">
        <f t="shared" si="6"/>
        <v>95.3</v>
      </c>
      <c r="M38" s="11" t="str">
        <f t="shared" si="7"/>
        <v>no</v>
      </c>
    </row>
    <row r="39" spans="1:13" x14ac:dyDescent="0.3">
      <c r="A39" s="9" t="s">
        <v>126</v>
      </c>
      <c r="B39" s="10">
        <v>46290</v>
      </c>
      <c r="C39" s="16">
        <v>48.06</v>
      </c>
      <c r="D39" s="9" t="s">
        <v>145</v>
      </c>
      <c r="E39" s="9" t="s">
        <v>170</v>
      </c>
      <c r="F39" s="14">
        <f t="shared" si="4"/>
        <v>5</v>
      </c>
      <c r="G39" s="11" t="b">
        <f>AND(F39&lt;=5,COUNTIF(Entradas!$A$65:$A$178,B39)=0)</f>
        <v>1</v>
      </c>
      <c r="I39" s="20">
        <v>46286</v>
      </c>
      <c r="J39" s="21" t="s">
        <v>126</v>
      </c>
      <c r="K39" s="15">
        <f t="shared" si="5"/>
        <v>46286</v>
      </c>
      <c r="L39" s="18">
        <f t="shared" si="6"/>
        <v>48.02</v>
      </c>
      <c r="M39" s="11" t="str">
        <f t="shared" si="7"/>
        <v>no</v>
      </c>
    </row>
    <row r="40" spans="1:13" x14ac:dyDescent="0.3">
      <c r="A40" s="9" t="s">
        <v>126</v>
      </c>
      <c r="B40" s="10">
        <v>46293</v>
      </c>
      <c r="C40" s="16">
        <v>49.21</v>
      </c>
      <c r="D40" s="9" t="s">
        <v>145</v>
      </c>
      <c r="E40" s="9" t="s">
        <v>170</v>
      </c>
      <c r="F40" s="14">
        <f t="shared" si="4"/>
        <v>1</v>
      </c>
      <c r="G40" s="11" t="b">
        <f>AND(F40&lt;=5,COUNTIF(Entradas!$A$65:$A$178,B40)=0)</f>
        <v>1</v>
      </c>
      <c r="I40" s="20">
        <v>46286</v>
      </c>
      <c r="J40" s="21" t="s">
        <v>129</v>
      </c>
      <c r="K40" s="15">
        <f t="shared" si="5"/>
        <v>46286</v>
      </c>
      <c r="L40" s="18">
        <f t="shared" si="6"/>
        <v>23.64</v>
      </c>
      <c r="M40" s="11" t="str">
        <f t="shared" si="7"/>
        <v>no</v>
      </c>
    </row>
    <row r="41" spans="1:13" x14ac:dyDescent="0.3">
      <c r="A41" s="9" t="s">
        <v>126</v>
      </c>
      <c r="B41" s="10">
        <v>46294</v>
      </c>
      <c r="C41" s="16">
        <v>50.37</v>
      </c>
      <c r="D41" s="9" t="s">
        <v>145</v>
      </c>
      <c r="E41" s="9" t="s">
        <v>170</v>
      </c>
      <c r="F41" s="14">
        <f t="shared" si="4"/>
        <v>2</v>
      </c>
      <c r="G41" s="11" t="b">
        <f>AND(F41&lt;=5,COUNTIF(Entradas!$A$65:$A$178,B41)=0)</f>
        <v>1</v>
      </c>
      <c r="I41" s="20">
        <v>46287</v>
      </c>
      <c r="J41" s="21" t="s">
        <v>123</v>
      </c>
      <c r="K41" s="15">
        <f t="shared" si="5"/>
        <v>46287</v>
      </c>
      <c r="L41" s="18">
        <f t="shared" si="6"/>
        <v>92.15</v>
      </c>
      <c r="M41" s="11" t="str">
        <f t="shared" si="7"/>
        <v>no</v>
      </c>
    </row>
    <row r="42" spans="1:13" x14ac:dyDescent="0.3">
      <c r="A42" s="9" t="s">
        <v>126</v>
      </c>
      <c r="B42" s="10">
        <v>46295</v>
      </c>
      <c r="C42" s="16">
        <v>51.64</v>
      </c>
      <c r="D42" s="9" t="s">
        <v>145</v>
      </c>
      <c r="E42" s="9" t="s">
        <v>170</v>
      </c>
      <c r="F42" s="14">
        <f t="shared" si="4"/>
        <v>3</v>
      </c>
      <c r="G42" s="11" t="b">
        <f>AND(F42&lt;=5,COUNTIF(Entradas!$A$65:$A$178,B42)=0)</f>
        <v>1</v>
      </c>
      <c r="I42" s="20">
        <v>46287</v>
      </c>
      <c r="J42" s="21" t="s">
        <v>126</v>
      </c>
      <c r="K42" s="15">
        <f t="shared" si="5"/>
        <v>46287</v>
      </c>
      <c r="L42" s="18">
        <f t="shared" si="6"/>
        <v>46.87</v>
      </c>
      <c r="M42" s="11" t="str">
        <f t="shared" si="7"/>
        <v>no</v>
      </c>
    </row>
    <row r="43" spans="1:13" x14ac:dyDescent="0.3">
      <c r="A43" s="9" t="s">
        <v>126</v>
      </c>
      <c r="B43" s="10">
        <v>46296</v>
      </c>
      <c r="C43" s="16">
        <v>51.12</v>
      </c>
      <c r="D43" s="9" t="s">
        <v>145</v>
      </c>
      <c r="E43" s="9" t="s">
        <v>170</v>
      </c>
      <c r="F43" s="14">
        <f t="shared" si="4"/>
        <v>4</v>
      </c>
      <c r="G43" s="11" t="b">
        <f>AND(F43&lt;=5,COUNTIF(Entradas!$A$65:$A$178,B43)=0)</f>
        <v>1</v>
      </c>
      <c r="I43" s="20">
        <v>46287</v>
      </c>
      <c r="J43" s="21" t="s">
        <v>129</v>
      </c>
      <c r="K43" s="15">
        <f t="shared" si="5"/>
        <v>46287</v>
      </c>
      <c r="L43" s="18">
        <f t="shared" si="6"/>
        <v>23.1175</v>
      </c>
      <c r="M43" s="11" t="str">
        <f t="shared" si="7"/>
        <v>no</v>
      </c>
    </row>
    <row r="44" spans="1:13" x14ac:dyDescent="0.3">
      <c r="A44" s="9" t="s">
        <v>126</v>
      </c>
      <c r="B44" s="10">
        <v>46297</v>
      </c>
      <c r="C44" s="16">
        <v>50.58</v>
      </c>
      <c r="D44" s="9" t="s">
        <v>145</v>
      </c>
      <c r="E44" s="9" t="s">
        <v>170</v>
      </c>
      <c r="F44" s="14">
        <f t="shared" si="4"/>
        <v>5</v>
      </c>
      <c r="G44" s="11" t="b">
        <f>AND(F44&lt;=5,COUNTIF(Entradas!$A$65:$A$178,B44)=0)</f>
        <v>1</v>
      </c>
      <c r="I44" s="20">
        <v>46288</v>
      </c>
      <c r="J44" s="21" t="s">
        <v>123</v>
      </c>
      <c r="K44" s="15">
        <f t="shared" si="5"/>
        <v>46288</v>
      </c>
      <c r="L44" s="18">
        <f t="shared" si="6"/>
        <v>90.424999999999997</v>
      </c>
      <c r="M44" s="11" t="str">
        <f t="shared" si="7"/>
        <v>no</v>
      </c>
    </row>
    <row r="45" spans="1:13" x14ac:dyDescent="0.3">
      <c r="A45" s="9" t="s">
        <v>126</v>
      </c>
      <c r="B45" s="10">
        <v>46300</v>
      </c>
      <c r="C45" s="16">
        <v>49.83</v>
      </c>
      <c r="D45" s="9" t="s">
        <v>145</v>
      </c>
      <c r="E45" s="9" t="s">
        <v>170</v>
      </c>
      <c r="F45" s="14">
        <f t="shared" si="4"/>
        <v>1</v>
      </c>
      <c r="G45" s="11" t="b">
        <f>AND(F45&lt;=5,COUNTIF(Entradas!$A$65:$A$178,B45)=0)</f>
        <v>1</v>
      </c>
      <c r="I45" s="20">
        <v>46288</v>
      </c>
      <c r="J45" s="21" t="s">
        <v>126</v>
      </c>
      <c r="K45" s="15">
        <f t="shared" si="5"/>
        <v>46288</v>
      </c>
      <c r="L45" s="18">
        <f t="shared" si="6"/>
        <v>46.15</v>
      </c>
      <c r="M45" s="11" t="str">
        <f t="shared" si="7"/>
        <v>no</v>
      </c>
    </row>
    <row r="46" spans="1:13" x14ac:dyDescent="0.3">
      <c r="A46" s="9" t="s">
        <v>126</v>
      </c>
      <c r="B46" s="10">
        <v>46301</v>
      </c>
      <c r="C46" s="16">
        <v>50.24</v>
      </c>
      <c r="D46" s="9" t="s">
        <v>145</v>
      </c>
      <c r="E46" s="9" t="s">
        <v>170</v>
      </c>
      <c r="F46" s="14">
        <f t="shared" si="4"/>
        <v>2</v>
      </c>
      <c r="G46" s="11" t="b">
        <f>AND(F46&lt;=5,COUNTIF(Entradas!$A$65:$A$178,B46)=0)</f>
        <v>1</v>
      </c>
      <c r="I46" s="20">
        <v>46288</v>
      </c>
      <c r="J46" s="21" t="s">
        <v>129</v>
      </c>
      <c r="K46" s="15">
        <f t="shared" si="5"/>
        <v>46288</v>
      </c>
      <c r="L46" s="18">
        <f t="shared" si="6"/>
        <v>22.85</v>
      </c>
      <c r="M46" s="11" t="str">
        <f t="shared" si="7"/>
        <v>no</v>
      </c>
    </row>
    <row r="47" spans="1:13" x14ac:dyDescent="0.3">
      <c r="A47" s="9" t="s">
        <v>126</v>
      </c>
      <c r="B47" s="10">
        <v>46302</v>
      </c>
      <c r="C47" s="16">
        <v>50.96</v>
      </c>
      <c r="D47" s="9" t="s">
        <v>145</v>
      </c>
      <c r="E47" s="9" t="s">
        <v>170</v>
      </c>
      <c r="F47" s="14">
        <f t="shared" si="4"/>
        <v>3</v>
      </c>
      <c r="G47" s="11" t="b">
        <f>AND(F47&lt;=5,COUNTIF(Entradas!$A$65:$A$178,B47)=0)</f>
        <v>1</v>
      </c>
      <c r="I47" s="20">
        <v>46289</v>
      </c>
      <c r="J47" s="21" t="s">
        <v>123</v>
      </c>
      <c r="K47" s="15">
        <f t="shared" si="5"/>
        <v>46289</v>
      </c>
      <c r="L47" s="18">
        <f t="shared" si="6"/>
        <v>92.8</v>
      </c>
      <c r="M47" s="11" t="str">
        <f t="shared" si="7"/>
        <v>no</v>
      </c>
    </row>
    <row r="48" spans="1:13" x14ac:dyDescent="0.3">
      <c r="A48" s="9" t="s">
        <v>126</v>
      </c>
      <c r="B48" s="10">
        <v>46303</v>
      </c>
      <c r="C48" s="16">
        <v>51.77</v>
      </c>
      <c r="D48" s="9" t="s">
        <v>145</v>
      </c>
      <c r="E48" s="9" t="s">
        <v>170</v>
      </c>
      <c r="F48" s="14">
        <f t="shared" si="4"/>
        <v>4</v>
      </c>
      <c r="G48" s="11" t="b">
        <f>AND(F48&lt;=5,COUNTIF(Entradas!$A$65:$A$178,B48)=0)</f>
        <v>1</v>
      </c>
      <c r="I48" s="20">
        <v>46289</v>
      </c>
      <c r="J48" s="21" t="s">
        <v>126</v>
      </c>
      <c r="K48" s="15">
        <f t="shared" si="5"/>
        <v>46289</v>
      </c>
      <c r="L48" s="18">
        <f t="shared" si="6"/>
        <v>46.93</v>
      </c>
      <c r="M48" s="11" t="str">
        <f t="shared" si="7"/>
        <v>no</v>
      </c>
    </row>
    <row r="49" spans="1:13" x14ac:dyDescent="0.3">
      <c r="A49" s="9" t="s">
        <v>126</v>
      </c>
      <c r="B49" s="10">
        <v>46304</v>
      </c>
      <c r="C49" s="16">
        <v>52.31</v>
      </c>
      <c r="D49" s="9" t="s">
        <v>145</v>
      </c>
      <c r="E49" s="9" t="s">
        <v>170</v>
      </c>
      <c r="F49" s="14">
        <f t="shared" si="4"/>
        <v>5</v>
      </c>
      <c r="G49" s="11" t="b">
        <f>AND(F49&lt;=5,COUNTIF(Entradas!$A$65:$A$178,B49)=0)</f>
        <v>1</v>
      </c>
      <c r="I49" s="20">
        <v>46289</v>
      </c>
      <c r="J49" s="21" t="s">
        <v>129</v>
      </c>
      <c r="K49" s="15">
        <f t="shared" si="5"/>
        <v>46289</v>
      </c>
      <c r="L49" s="18">
        <f t="shared" si="6"/>
        <v>23.125</v>
      </c>
      <c r="M49" s="11" t="str">
        <f t="shared" si="7"/>
        <v>no</v>
      </c>
    </row>
    <row r="50" spans="1:13" x14ac:dyDescent="0.3">
      <c r="A50" s="9" t="s">
        <v>126</v>
      </c>
      <c r="B50" s="10">
        <v>46307</v>
      </c>
      <c r="C50" s="16">
        <v>52.68</v>
      </c>
      <c r="D50" s="9" t="s">
        <v>145</v>
      </c>
      <c r="E50" s="9" t="s">
        <v>170</v>
      </c>
      <c r="F50" s="14">
        <f t="shared" si="4"/>
        <v>1</v>
      </c>
      <c r="G50" s="11" t="b">
        <f>AND(F50&lt;=5,COUNTIF(Entradas!$A$65:$A$178,B50)=0)</f>
        <v>1</v>
      </c>
      <c r="I50" s="20">
        <v>46290</v>
      </c>
      <c r="J50" s="21" t="s">
        <v>123</v>
      </c>
      <c r="K50" s="15">
        <f t="shared" si="5"/>
        <v>46290</v>
      </c>
      <c r="L50" s="18">
        <f t="shared" si="6"/>
        <v>96.15</v>
      </c>
      <c r="M50" s="11" t="str">
        <f t="shared" si="7"/>
        <v>no</v>
      </c>
    </row>
    <row r="51" spans="1:13" x14ac:dyDescent="0.3">
      <c r="A51" s="9" t="s">
        <v>126</v>
      </c>
      <c r="B51" s="10">
        <v>46308</v>
      </c>
      <c r="C51" s="16">
        <v>52.29</v>
      </c>
      <c r="D51" s="9" t="s">
        <v>145</v>
      </c>
      <c r="E51" s="9" t="s">
        <v>170</v>
      </c>
      <c r="F51" s="14">
        <f t="shared" si="4"/>
        <v>2</v>
      </c>
      <c r="G51" s="11" t="b">
        <f>AND(F51&lt;=5,COUNTIF(Entradas!$A$65:$A$178,B51)=0)</f>
        <v>1</v>
      </c>
      <c r="I51" s="20">
        <v>46290</v>
      </c>
      <c r="J51" s="21" t="s">
        <v>126</v>
      </c>
      <c r="K51" s="15">
        <f t="shared" si="5"/>
        <v>46290</v>
      </c>
      <c r="L51" s="18">
        <f t="shared" si="6"/>
        <v>48.06</v>
      </c>
      <c r="M51" s="11" t="str">
        <f t="shared" si="7"/>
        <v>no</v>
      </c>
    </row>
    <row r="52" spans="1:13" x14ac:dyDescent="0.3">
      <c r="A52" s="9" t="s">
        <v>126</v>
      </c>
      <c r="B52" s="10">
        <v>46309</v>
      </c>
      <c r="C52" s="16">
        <v>52.95</v>
      </c>
      <c r="D52" s="9" t="s">
        <v>145</v>
      </c>
      <c r="E52" s="9" t="s">
        <v>170</v>
      </c>
      <c r="F52" s="14">
        <f t="shared" si="4"/>
        <v>3</v>
      </c>
      <c r="G52" s="11" t="b">
        <f>AND(F52&lt;=5,COUNTIF(Entradas!$A$65:$A$178,B52)=0)</f>
        <v>1</v>
      </c>
      <c r="I52" s="20">
        <v>46290</v>
      </c>
      <c r="J52" s="21" t="s">
        <v>129</v>
      </c>
      <c r="K52" s="15">
        <f t="shared" si="5"/>
        <v>46290</v>
      </c>
      <c r="L52" s="18">
        <f t="shared" si="6"/>
        <v>23.68</v>
      </c>
      <c r="M52" s="11" t="str">
        <f t="shared" si="7"/>
        <v>no</v>
      </c>
    </row>
    <row r="53" spans="1:13" x14ac:dyDescent="0.3">
      <c r="A53" s="9" t="s">
        <v>129</v>
      </c>
      <c r="B53" s="10">
        <v>46275</v>
      </c>
      <c r="C53" s="16">
        <v>24.8</v>
      </c>
      <c r="D53" s="9" t="s">
        <v>145</v>
      </c>
      <c r="E53" s="9" t="s">
        <v>170</v>
      </c>
      <c r="F53" s="14">
        <f t="shared" si="4"/>
        <v>4</v>
      </c>
      <c r="G53" s="11" t="b">
        <f>AND(F53&lt;=5,COUNTIF(Entradas!$A$65:$A$178,B53)=0)</f>
        <v>1</v>
      </c>
      <c r="I53" s="20">
        <v>46291</v>
      </c>
      <c r="J53" s="21" t="s">
        <v>123</v>
      </c>
      <c r="K53" s="15">
        <f t="shared" si="5"/>
        <v>46290</v>
      </c>
      <c r="L53" s="18">
        <f t="shared" si="6"/>
        <v>96.15</v>
      </c>
      <c r="M53" s="11" t="str">
        <f t="shared" si="7"/>
        <v>sí</v>
      </c>
    </row>
    <row r="54" spans="1:13" x14ac:dyDescent="0.3">
      <c r="A54" s="9" t="s">
        <v>129</v>
      </c>
      <c r="B54" s="10">
        <v>46276</v>
      </c>
      <c r="C54" s="16">
        <v>25.015000000000001</v>
      </c>
      <c r="D54" s="9" t="s">
        <v>145</v>
      </c>
      <c r="E54" s="9" t="s">
        <v>170</v>
      </c>
      <c r="F54" s="14">
        <f t="shared" si="4"/>
        <v>5</v>
      </c>
      <c r="G54" s="11" t="b">
        <f>AND(F54&lt;=5,COUNTIF(Entradas!$A$65:$A$178,B54)=0)</f>
        <v>1</v>
      </c>
      <c r="I54" s="20">
        <v>46291</v>
      </c>
      <c r="J54" s="21" t="s">
        <v>126</v>
      </c>
      <c r="K54" s="15">
        <f t="shared" si="5"/>
        <v>46290</v>
      </c>
      <c r="L54" s="18">
        <f t="shared" si="6"/>
        <v>48.06</v>
      </c>
      <c r="M54" s="11" t="str">
        <f t="shared" si="7"/>
        <v>sí</v>
      </c>
    </row>
    <row r="55" spans="1:13" x14ac:dyDescent="0.3">
      <c r="A55" s="9" t="s">
        <v>129</v>
      </c>
      <c r="B55" s="10">
        <v>46279</v>
      </c>
      <c r="C55" s="16">
        <v>25.237500000000001</v>
      </c>
      <c r="D55" s="9" t="s">
        <v>145</v>
      </c>
      <c r="E55" s="9" t="s">
        <v>170</v>
      </c>
      <c r="F55" s="14">
        <f t="shared" si="4"/>
        <v>1</v>
      </c>
      <c r="G55" s="11" t="b">
        <f>AND(F55&lt;=5,COUNTIF(Entradas!$A$65:$A$178,B55)=0)</f>
        <v>1</v>
      </c>
      <c r="I55" s="20">
        <v>46291</v>
      </c>
      <c r="J55" s="21" t="s">
        <v>129</v>
      </c>
      <c r="K55" s="15">
        <f t="shared" si="5"/>
        <v>46290</v>
      </c>
      <c r="L55" s="18">
        <f t="shared" si="6"/>
        <v>23.68</v>
      </c>
      <c r="M55" s="11" t="str">
        <f t="shared" si="7"/>
        <v>sí</v>
      </c>
    </row>
    <row r="56" spans="1:13" x14ac:dyDescent="0.3">
      <c r="A56" s="9" t="s">
        <v>129</v>
      </c>
      <c r="B56" s="10">
        <v>46280</v>
      </c>
      <c r="C56" s="16">
        <v>25.41</v>
      </c>
      <c r="D56" s="9" t="s">
        <v>145</v>
      </c>
      <c r="E56" s="9" t="s">
        <v>170</v>
      </c>
      <c r="F56" s="14">
        <f t="shared" si="4"/>
        <v>2</v>
      </c>
      <c r="G56" s="11" t="b">
        <f>AND(F56&lt;=5,COUNTIF(Entradas!$A$65:$A$178,B56)=0)</f>
        <v>1</v>
      </c>
      <c r="I56" s="20">
        <v>46292</v>
      </c>
      <c r="J56" s="21" t="s">
        <v>123</v>
      </c>
      <c r="K56" s="15">
        <f t="shared" si="5"/>
        <v>46290</v>
      </c>
      <c r="L56" s="18">
        <f t="shared" si="6"/>
        <v>96.15</v>
      </c>
      <c r="M56" s="11" t="str">
        <f t="shared" si="7"/>
        <v>sí</v>
      </c>
    </row>
    <row r="57" spans="1:13" x14ac:dyDescent="0.3">
      <c r="A57" s="9" t="s">
        <v>129</v>
      </c>
      <c r="B57" s="10">
        <v>46282</v>
      </c>
      <c r="C57" s="16">
        <v>24.965</v>
      </c>
      <c r="D57" s="9" t="s">
        <v>145</v>
      </c>
      <c r="E57" s="9" t="s">
        <v>170</v>
      </c>
      <c r="F57" s="14">
        <f t="shared" si="4"/>
        <v>4</v>
      </c>
      <c r="G57" s="11" t="b">
        <f>AND(F57&lt;=5,COUNTIF(Entradas!$A$65:$A$178,B57)=0)</f>
        <v>1</v>
      </c>
      <c r="I57" s="20">
        <v>46292</v>
      </c>
      <c r="J57" s="21" t="s">
        <v>126</v>
      </c>
      <c r="K57" s="15">
        <f t="shared" si="5"/>
        <v>46290</v>
      </c>
      <c r="L57" s="18">
        <f t="shared" si="6"/>
        <v>48.06</v>
      </c>
      <c r="M57" s="11" t="str">
        <f t="shared" si="7"/>
        <v>sí</v>
      </c>
    </row>
    <row r="58" spans="1:13" x14ac:dyDescent="0.3">
      <c r="A58" s="9" t="s">
        <v>129</v>
      </c>
      <c r="B58" s="10">
        <v>46283</v>
      </c>
      <c r="C58" s="16">
        <v>24.302499999999998</v>
      </c>
      <c r="D58" s="9" t="s">
        <v>145</v>
      </c>
      <c r="E58" s="9" t="s">
        <v>170</v>
      </c>
      <c r="F58" s="14">
        <f t="shared" si="4"/>
        <v>5</v>
      </c>
      <c r="G58" s="11" t="b">
        <f>AND(F58&lt;=5,COUNTIF(Entradas!$A$65:$A$178,B58)=0)</f>
        <v>1</v>
      </c>
      <c r="I58" s="20">
        <v>46292</v>
      </c>
      <c r="J58" s="21" t="s">
        <v>129</v>
      </c>
      <c r="K58" s="15">
        <f t="shared" si="5"/>
        <v>46290</v>
      </c>
      <c r="L58" s="18">
        <f t="shared" si="6"/>
        <v>23.68</v>
      </c>
      <c r="M58" s="11" t="str">
        <f t="shared" si="7"/>
        <v>sí</v>
      </c>
    </row>
    <row r="59" spans="1:13" x14ac:dyDescent="0.3">
      <c r="A59" s="9" t="s">
        <v>129</v>
      </c>
      <c r="B59" s="10">
        <v>46286</v>
      </c>
      <c r="C59" s="16">
        <v>23.64</v>
      </c>
      <c r="D59" s="9" t="s">
        <v>145</v>
      </c>
      <c r="E59" s="9" t="s">
        <v>170</v>
      </c>
      <c r="F59" s="14">
        <f t="shared" si="4"/>
        <v>1</v>
      </c>
      <c r="G59" s="11" t="b">
        <f>AND(F59&lt;=5,COUNTIF(Entradas!$A$65:$A$178,B59)=0)</f>
        <v>1</v>
      </c>
      <c r="I59" s="20">
        <v>46293</v>
      </c>
      <c r="J59" s="21" t="s">
        <v>123</v>
      </c>
      <c r="K59" s="15">
        <f t="shared" si="5"/>
        <v>46293</v>
      </c>
      <c r="L59" s="18">
        <f t="shared" si="6"/>
        <v>99.7</v>
      </c>
      <c r="M59" s="11" t="str">
        <f t="shared" si="7"/>
        <v>no</v>
      </c>
    </row>
    <row r="60" spans="1:13" x14ac:dyDescent="0.3">
      <c r="A60" s="9" t="s">
        <v>129</v>
      </c>
      <c r="B60" s="10">
        <v>46287</v>
      </c>
      <c r="C60" s="16">
        <v>23.1175</v>
      </c>
      <c r="D60" s="9" t="s">
        <v>145</v>
      </c>
      <c r="E60" s="9" t="s">
        <v>170</v>
      </c>
      <c r="F60" s="14">
        <f t="shared" si="4"/>
        <v>2</v>
      </c>
      <c r="G60" s="11" t="b">
        <f>AND(F60&lt;=5,COUNTIF(Entradas!$A$65:$A$178,B60)=0)</f>
        <v>1</v>
      </c>
      <c r="I60" s="20">
        <v>46293</v>
      </c>
      <c r="J60" s="21" t="s">
        <v>126</v>
      </c>
      <c r="K60" s="15">
        <f t="shared" si="5"/>
        <v>46293</v>
      </c>
      <c r="L60" s="18">
        <f t="shared" si="6"/>
        <v>49.21</v>
      </c>
      <c r="M60" s="11" t="str">
        <f t="shared" si="7"/>
        <v>no</v>
      </c>
    </row>
    <row r="61" spans="1:13" x14ac:dyDescent="0.3">
      <c r="A61" s="9" t="s">
        <v>129</v>
      </c>
      <c r="B61" s="10">
        <v>46288</v>
      </c>
      <c r="C61" s="16">
        <v>22.85</v>
      </c>
      <c r="D61" s="9" t="s">
        <v>145</v>
      </c>
      <c r="E61" s="9" t="s">
        <v>170</v>
      </c>
      <c r="F61" s="14">
        <f t="shared" si="4"/>
        <v>3</v>
      </c>
      <c r="G61" s="11" t="b">
        <f>AND(F61&lt;=5,COUNTIF(Entradas!$A$65:$A$178,B61)=0)</f>
        <v>1</v>
      </c>
      <c r="I61" s="20">
        <v>46293</v>
      </c>
      <c r="J61" s="21" t="s">
        <v>129</v>
      </c>
      <c r="K61" s="15">
        <f t="shared" si="5"/>
        <v>46293</v>
      </c>
      <c r="L61" s="18">
        <f t="shared" si="6"/>
        <v>24.11</v>
      </c>
      <c r="M61" s="11" t="str">
        <f t="shared" si="7"/>
        <v>no</v>
      </c>
    </row>
    <row r="62" spans="1:13" x14ac:dyDescent="0.3">
      <c r="A62" s="9" t="s">
        <v>129</v>
      </c>
      <c r="B62" s="10">
        <v>46289</v>
      </c>
      <c r="C62" s="16">
        <v>23.125</v>
      </c>
      <c r="D62" s="9" t="s">
        <v>145</v>
      </c>
      <c r="E62" s="9" t="s">
        <v>170</v>
      </c>
      <c r="F62" s="14">
        <f t="shared" si="4"/>
        <v>4</v>
      </c>
      <c r="G62" s="11" t="b">
        <f>AND(F62&lt;=5,COUNTIF(Entradas!$A$65:$A$178,B62)=0)</f>
        <v>1</v>
      </c>
      <c r="I62" s="20">
        <v>46294</v>
      </c>
      <c r="J62" s="21" t="s">
        <v>123</v>
      </c>
      <c r="K62" s="15">
        <f t="shared" si="5"/>
        <v>46294</v>
      </c>
      <c r="L62" s="18">
        <f t="shared" si="6"/>
        <v>103.25</v>
      </c>
      <c r="M62" s="11" t="str">
        <f t="shared" si="7"/>
        <v>no</v>
      </c>
    </row>
    <row r="63" spans="1:13" x14ac:dyDescent="0.3">
      <c r="A63" s="9" t="s">
        <v>129</v>
      </c>
      <c r="B63" s="10">
        <v>46290</v>
      </c>
      <c r="C63" s="16">
        <v>23.68</v>
      </c>
      <c r="D63" s="9" t="s">
        <v>145</v>
      </c>
      <c r="E63" s="9" t="s">
        <v>170</v>
      </c>
      <c r="F63" s="14">
        <f t="shared" si="4"/>
        <v>5</v>
      </c>
      <c r="G63" s="11" t="b">
        <f>AND(F63&lt;=5,COUNTIF(Entradas!$A$65:$A$178,B63)=0)</f>
        <v>1</v>
      </c>
      <c r="I63" s="20">
        <v>46294</v>
      </c>
      <c r="J63" s="21" t="s">
        <v>126</v>
      </c>
      <c r="K63" s="15">
        <f t="shared" si="5"/>
        <v>46294</v>
      </c>
      <c r="L63" s="18">
        <f t="shared" si="6"/>
        <v>50.37</v>
      </c>
      <c r="M63" s="11" t="str">
        <f t="shared" si="7"/>
        <v>no</v>
      </c>
    </row>
    <row r="64" spans="1:13" x14ac:dyDescent="0.3">
      <c r="A64" s="9" t="s">
        <v>129</v>
      </c>
      <c r="B64" s="10">
        <v>46293</v>
      </c>
      <c r="C64" s="16">
        <v>24.11</v>
      </c>
      <c r="D64" s="9" t="s">
        <v>145</v>
      </c>
      <c r="E64" s="9" t="s">
        <v>170</v>
      </c>
      <c r="F64" s="14">
        <f t="shared" si="4"/>
        <v>1</v>
      </c>
      <c r="G64" s="11" t="b">
        <f>AND(F64&lt;=5,COUNTIF(Entradas!$A$65:$A$178,B64)=0)</f>
        <v>1</v>
      </c>
      <c r="I64" s="20">
        <v>46294</v>
      </c>
      <c r="J64" s="21" t="s">
        <v>129</v>
      </c>
      <c r="K64" s="15">
        <f t="shared" si="5"/>
        <v>46294</v>
      </c>
      <c r="L64" s="18">
        <f t="shared" si="6"/>
        <v>24.552499999999998</v>
      </c>
      <c r="M64" s="11" t="str">
        <f t="shared" si="7"/>
        <v>no</v>
      </c>
    </row>
    <row r="65" spans="1:13" x14ac:dyDescent="0.3">
      <c r="A65" s="9" t="s">
        <v>129</v>
      </c>
      <c r="B65" s="10">
        <v>46294</v>
      </c>
      <c r="C65" s="16">
        <v>24.552499999999998</v>
      </c>
      <c r="D65" s="9" t="s">
        <v>145</v>
      </c>
      <c r="E65" s="9" t="s">
        <v>170</v>
      </c>
      <c r="F65" s="14">
        <f t="shared" si="4"/>
        <v>2</v>
      </c>
      <c r="G65" s="11" t="b">
        <f>AND(F65&lt;=5,COUNTIF(Entradas!$A$65:$A$178,B65)=0)</f>
        <v>1</v>
      </c>
      <c r="I65" s="20">
        <v>46295</v>
      </c>
      <c r="J65" s="21" t="s">
        <v>123</v>
      </c>
      <c r="K65" s="15">
        <f t="shared" si="5"/>
        <v>46295</v>
      </c>
      <c r="L65" s="18">
        <f t="shared" si="6"/>
        <v>107.1</v>
      </c>
      <c r="M65" s="11" t="str">
        <f t="shared" si="7"/>
        <v>no</v>
      </c>
    </row>
    <row r="66" spans="1:13" x14ac:dyDescent="0.3">
      <c r="A66" s="9" t="s">
        <v>129</v>
      </c>
      <c r="B66" s="10">
        <v>46295</v>
      </c>
      <c r="C66" s="16">
        <v>25.03</v>
      </c>
      <c r="D66" s="9" t="s">
        <v>145</v>
      </c>
      <c r="E66" s="9" t="s">
        <v>170</v>
      </c>
      <c r="F66" s="14">
        <f t="shared" si="4"/>
        <v>3</v>
      </c>
      <c r="G66" s="11" t="b">
        <f>AND(F66&lt;=5,COUNTIF(Entradas!$A$65:$A$178,B66)=0)</f>
        <v>1</v>
      </c>
      <c r="I66" s="20">
        <v>46295</v>
      </c>
      <c r="J66" s="21" t="s">
        <v>126</v>
      </c>
      <c r="K66" s="15">
        <f t="shared" si="5"/>
        <v>46295</v>
      </c>
      <c r="L66" s="18">
        <f t="shared" si="6"/>
        <v>51.64</v>
      </c>
      <c r="M66" s="11" t="str">
        <f t="shared" si="7"/>
        <v>no</v>
      </c>
    </row>
    <row r="67" spans="1:13" x14ac:dyDescent="0.3">
      <c r="A67" s="9" t="s">
        <v>129</v>
      </c>
      <c r="B67" s="10">
        <v>46296</v>
      </c>
      <c r="C67" s="16">
        <v>24.844999999999999</v>
      </c>
      <c r="D67" s="9" t="s">
        <v>145</v>
      </c>
      <c r="E67" s="9" t="s">
        <v>170</v>
      </c>
      <c r="F67" s="14">
        <f t="shared" si="4"/>
        <v>4</v>
      </c>
      <c r="G67" s="11" t="b">
        <f>AND(F67&lt;=5,COUNTIF(Entradas!$A$65:$A$178,B67)=0)</f>
        <v>1</v>
      </c>
      <c r="I67" s="20">
        <v>46295</v>
      </c>
      <c r="J67" s="21" t="s">
        <v>129</v>
      </c>
      <c r="K67" s="15">
        <f t="shared" si="5"/>
        <v>46295</v>
      </c>
      <c r="L67" s="18">
        <f t="shared" si="6"/>
        <v>25.03</v>
      </c>
      <c r="M67" s="11" t="str">
        <f t="shared" si="7"/>
        <v>no</v>
      </c>
    </row>
    <row r="68" spans="1:13" x14ac:dyDescent="0.3">
      <c r="A68" s="9" t="s">
        <v>129</v>
      </c>
      <c r="B68" s="10">
        <v>46297</v>
      </c>
      <c r="C68" s="16">
        <v>24.612500000000001</v>
      </c>
      <c r="D68" s="9" t="s">
        <v>145</v>
      </c>
      <c r="E68" s="9" t="s">
        <v>170</v>
      </c>
      <c r="F68" s="14">
        <f t="shared" si="4"/>
        <v>5</v>
      </c>
      <c r="G68" s="11" t="b">
        <f>AND(F68&lt;=5,COUNTIF(Entradas!$A$65:$A$178,B68)=0)</f>
        <v>1</v>
      </c>
      <c r="I68" s="20">
        <v>46296</v>
      </c>
      <c r="J68" s="21" t="s">
        <v>123</v>
      </c>
      <c r="K68" s="15">
        <f t="shared" si="5"/>
        <v>46296</v>
      </c>
      <c r="L68" s="18">
        <f t="shared" si="6"/>
        <v>105.35</v>
      </c>
      <c r="M68" s="11" t="str">
        <f t="shared" si="7"/>
        <v>no</v>
      </c>
    </row>
    <row r="69" spans="1:13" x14ac:dyDescent="0.3">
      <c r="A69" s="9" t="s">
        <v>129</v>
      </c>
      <c r="B69" s="10">
        <v>46300</v>
      </c>
      <c r="C69" s="16">
        <v>24.37</v>
      </c>
      <c r="D69" s="9" t="s">
        <v>145</v>
      </c>
      <c r="E69" s="9" t="s">
        <v>170</v>
      </c>
      <c r="F69" s="14">
        <f t="shared" ref="F69:F75" si="8">WEEKDAY(B69,2)</f>
        <v>1</v>
      </c>
      <c r="G69" s="11" t="b">
        <f>AND(F69&lt;=5,COUNTIF(Entradas!$A$65:$A$178,B69)=0)</f>
        <v>1</v>
      </c>
      <c r="I69" s="20">
        <v>46296</v>
      </c>
      <c r="J69" s="21" t="s">
        <v>126</v>
      </c>
      <c r="K69" s="15">
        <f t="shared" ref="K69:K100" si="9">_xlfn.MAXIFS($B$5:$B$75,$A$5:$A$75,J69,$B$5:$B$75,"&lt;="&amp;I69)</f>
        <v>46296</v>
      </c>
      <c r="L69" s="18">
        <f t="shared" ref="L69:L100" si="10">SUMIFS($C$5:$C$75,$A$5:$A$75,J69,$B$5:$B$75,K69)</f>
        <v>51.12</v>
      </c>
      <c r="M69" s="11" t="str">
        <f t="shared" ref="M69:M100" si="11">IF(K69&lt;I69,"sí","no")</f>
        <v>no</v>
      </c>
    </row>
    <row r="70" spans="1:13" x14ac:dyDescent="0.3">
      <c r="A70" s="9" t="s">
        <v>129</v>
      </c>
      <c r="B70" s="10">
        <v>46301</v>
      </c>
      <c r="C70" s="16">
        <v>24.515000000000001</v>
      </c>
      <c r="D70" s="9" t="s">
        <v>145</v>
      </c>
      <c r="E70" s="9" t="s">
        <v>170</v>
      </c>
      <c r="F70" s="14">
        <f t="shared" si="8"/>
        <v>2</v>
      </c>
      <c r="G70" s="11" t="b">
        <f>AND(F70&lt;=5,COUNTIF(Entradas!$A$65:$A$178,B70)=0)</f>
        <v>1</v>
      </c>
      <c r="I70" s="20">
        <v>46296</v>
      </c>
      <c r="J70" s="21" t="s">
        <v>129</v>
      </c>
      <c r="K70" s="15">
        <f t="shared" si="9"/>
        <v>46296</v>
      </c>
      <c r="L70" s="18">
        <f t="shared" si="10"/>
        <v>24.844999999999999</v>
      </c>
      <c r="M70" s="11" t="str">
        <f t="shared" si="11"/>
        <v>no</v>
      </c>
    </row>
    <row r="71" spans="1:13" x14ac:dyDescent="0.3">
      <c r="A71" s="9" t="s">
        <v>129</v>
      </c>
      <c r="B71" s="10">
        <v>46302</v>
      </c>
      <c r="C71" s="16">
        <v>24.887499999999999</v>
      </c>
      <c r="D71" s="9" t="s">
        <v>145</v>
      </c>
      <c r="E71" s="9" t="s">
        <v>170</v>
      </c>
      <c r="F71" s="14">
        <f t="shared" si="8"/>
        <v>3</v>
      </c>
      <c r="G71" s="11" t="b">
        <f>AND(F71&lt;=5,COUNTIF(Entradas!$A$65:$A$178,B71)=0)</f>
        <v>1</v>
      </c>
      <c r="I71" s="20">
        <v>46297</v>
      </c>
      <c r="J71" s="21" t="s">
        <v>123</v>
      </c>
      <c r="K71" s="15">
        <f t="shared" si="9"/>
        <v>46297</v>
      </c>
      <c r="L71" s="18">
        <f t="shared" si="10"/>
        <v>103.9</v>
      </c>
      <c r="M71" s="11" t="str">
        <f t="shared" si="11"/>
        <v>no</v>
      </c>
    </row>
    <row r="72" spans="1:13" x14ac:dyDescent="0.3">
      <c r="A72" s="9" t="s">
        <v>129</v>
      </c>
      <c r="B72" s="10">
        <v>46304</v>
      </c>
      <c r="C72" s="16">
        <v>25.24</v>
      </c>
      <c r="D72" s="9" t="s">
        <v>145</v>
      </c>
      <c r="E72" s="9" t="s">
        <v>170</v>
      </c>
      <c r="F72" s="14">
        <f t="shared" si="8"/>
        <v>5</v>
      </c>
      <c r="G72" s="11" t="b">
        <f>AND(F72&lt;=5,COUNTIF(Entradas!$A$65:$A$178,B72)=0)</f>
        <v>1</v>
      </c>
      <c r="I72" s="20">
        <v>46297</v>
      </c>
      <c r="J72" s="21" t="s">
        <v>126</v>
      </c>
      <c r="K72" s="15">
        <f t="shared" si="9"/>
        <v>46297</v>
      </c>
      <c r="L72" s="18">
        <f t="shared" si="10"/>
        <v>50.58</v>
      </c>
      <c r="M72" s="11" t="str">
        <f t="shared" si="11"/>
        <v>no</v>
      </c>
    </row>
    <row r="73" spans="1:13" x14ac:dyDescent="0.3">
      <c r="A73" s="9" t="s">
        <v>129</v>
      </c>
      <c r="B73" s="10">
        <v>46307</v>
      </c>
      <c r="C73" s="16">
        <v>25.465</v>
      </c>
      <c r="D73" s="9" t="s">
        <v>145</v>
      </c>
      <c r="E73" s="9" t="s">
        <v>170</v>
      </c>
      <c r="F73" s="14">
        <f t="shared" si="8"/>
        <v>1</v>
      </c>
      <c r="G73" s="11" t="b">
        <f>AND(F73&lt;=5,COUNTIF(Entradas!$A$65:$A$178,B73)=0)</f>
        <v>1</v>
      </c>
      <c r="I73" s="20">
        <v>46297</v>
      </c>
      <c r="J73" s="21" t="s">
        <v>129</v>
      </c>
      <c r="K73" s="15">
        <f t="shared" si="9"/>
        <v>46297</v>
      </c>
      <c r="L73" s="18">
        <f t="shared" si="10"/>
        <v>24.612500000000001</v>
      </c>
      <c r="M73" s="11" t="str">
        <f t="shared" si="11"/>
        <v>no</v>
      </c>
    </row>
    <row r="74" spans="1:13" x14ac:dyDescent="0.3">
      <c r="A74" s="9" t="s">
        <v>129</v>
      </c>
      <c r="B74" s="10">
        <v>46308</v>
      </c>
      <c r="C74" s="16">
        <v>25.31</v>
      </c>
      <c r="D74" s="9" t="s">
        <v>145</v>
      </c>
      <c r="E74" s="9" t="s">
        <v>170</v>
      </c>
      <c r="F74" s="14">
        <f t="shared" si="8"/>
        <v>2</v>
      </c>
      <c r="G74" s="11" t="b">
        <f>AND(F74&lt;=5,COUNTIF(Entradas!$A$65:$A$178,B74)=0)</f>
        <v>1</v>
      </c>
      <c r="I74" s="20">
        <v>46298</v>
      </c>
      <c r="J74" s="21" t="s">
        <v>123</v>
      </c>
      <c r="K74" s="15">
        <f t="shared" si="9"/>
        <v>46297</v>
      </c>
      <c r="L74" s="18">
        <f t="shared" si="10"/>
        <v>103.9</v>
      </c>
      <c r="M74" s="11" t="str">
        <f t="shared" si="11"/>
        <v>sí</v>
      </c>
    </row>
    <row r="75" spans="1:13" x14ac:dyDescent="0.3">
      <c r="A75" s="9" t="s">
        <v>129</v>
      </c>
      <c r="B75" s="10">
        <v>46309</v>
      </c>
      <c r="C75" s="16">
        <v>25.622499999999999</v>
      </c>
      <c r="D75" s="9" t="s">
        <v>145</v>
      </c>
      <c r="E75" s="9" t="s">
        <v>170</v>
      </c>
      <c r="F75" s="14">
        <f t="shared" si="8"/>
        <v>3</v>
      </c>
      <c r="G75" s="11" t="b">
        <f>AND(F75&lt;=5,COUNTIF(Entradas!$A$65:$A$178,B75)=0)</f>
        <v>1</v>
      </c>
      <c r="I75" s="20">
        <v>46298</v>
      </c>
      <c r="J75" s="21" t="s">
        <v>126</v>
      </c>
      <c r="K75" s="15">
        <f t="shared" si="9"/>
        <v>46297</v>
      </c>
      <c r="L75" s="18">
        <f t="shared" si="10"/>
        <v>50.58</v>
      </c>
      <c r="M75" s="11" t="str">
        <f t="shared" si="11"/>
        <v>sí</v>
      </c>
    </row>
    <row r="76" spans="1:13" x14ac:dyDescent="0.3">
      <c r="I76" s="20">
        <v>46298</v>
      </c>
      <c r="J76" s="21" t="s">
        <v>129</v>
      </c>
      <c r="K76" s="15">
        <f t="shared" si="9"/>
        <v>46297</v>
      </c>
      <c r="L76" s="18">
        <f t="shared" si="10"/>
        <v>24.612500000000001</v>
      </c>
      <c r="M76" s="11" t="str">
        <f t="shared" si="11"/>
        <v>sí</v>
      </c>
    </row>
    <row r="77" spans="1:13" x14ac:dyDescent="0.3">
      <c r="I77" s="20">
        <v>46299</v>
      </c>
      <c r="J77" s="21" t="s">
        <v>123</v>
      </c>
      <c r="K77" s="15">
        <f t="shared" si="9"/>
        <v>46297</v>
      </c>
      <c r="L77" s="18">
        <f t="shared" si="10"/>
        <v>103.9</v>
      </c>
      <c r="M77" s="11" t="str">
        <f t="shared" si="11"/>
        <v>sí</v>
      </c>
    </row>
    <row r="78" spans="1:13" x14ac:dyDescent="0.3">
      <c r="I78" s="20">
        <v>46299</v>
      </c>
      <c r="J78" s="21" t="s">
        <v>126</v>
      </c>
      <c r="K78" s="15">
        <f t="shared" si="9"/>
        <v>46297</v>
      </c>
      <c r="L78" s="18">
        <f t="shared" si="10"/>
        <v>50.58</v>
      </c>
      <c r="M78" s="11" t="str">
        <f t="shared" si="11"/>
        <v>sí</v>
      </c>
    </row>
    <row r="79" spans="1:13" x14ac:dyDescent="0.3">
      <c r="I79" s="20">
        <v>46299</v>
      </c>
      <c r="J79" s="21" t="s">
        <v>129</v>
      </c>
      <c r="K79" s="15">
        <f t="shared" si="9"/>
        <v>46297</v>
      </c>
      <c r="L79" s="18">
        <f t="shared" si="10"/>
        <v>24.612500000000001</v>
      </c>
      <c r="M79" s="11" t="str">
        <f t="shared" si="11"/>
        <v>sí</v>
      </c>
    </row>
    <row r="80" spans="1:13" x14ac:dyDescent="0.3">
      <c r="I80" s="20">
        <v>46300</v>
      </c>
      <c r="J80" s="21" t="s">
        <v>123</v>
      </c>
      <c r="K80" s="15">
        <f t="shared" si="9"/>
        <v>46300</v>
      </c>
      <c r="L80" s="18">
        <f t="shared" si="10"/>
        <v>101.65</v>
      </c>
      <c r="M80" s="11" t="str">
        <f t="shared" si="11"/>
        <v>no</v>
      </c>
    </row>
    <row r="81" spans="9:13" x14ac:dyDescent="0.3">
      <c r="I81" s="20">
        <v>46300</v>
      </c>
      <c r="J81" s="21" t="s">
        <v>126</v>
      </c>
      <c r="K81" s="15">
        <f t="shared" si="9"/>
        <v>46300</v>
      </c>
      <c r="L81" s="18">
        <f t="shared" si="10"/>
        <v>49.83</v>
      </c>
      <c r="M81" s="11" t="str">
        <f t="shared" si="11"/>
        <v>no</v>
      </c>
    </row>
    <row r="82" spans="9:13" x14ac:dyDescent="0.3">
      <c r="I82" s="20">
        <v>46300</v>
      </c>
      <c r="J82" s="21" t="s">
        <v>129</v>
      </c>
      <c r="K82" s="15">
        <f t="shared" si="9"/>
        <v>46300</v>
      </c>
      <c r="L82" s="18">
        <f t="shared" si="10"/>
        <v>24.37</v>
      </c>
      <c r="M82" s="11" t="str">
        <f t="shared" si="11"/>
        <v>no</v>
      </c>
    </row>
    <row r="83" spans="9:13" x14ac:dyDescent="0.3">
      <c r="I83" s="20">
        <v>46301</v>
      </c>
      <c r="J83" s="21" t="s">
        <v>123</v>
      </c>
      <c r="K83" s="15">
        <f t="shared" si="9"/>
        <v>46301</v>
      </c>
      <c r="L83" s="18">
        <f t="shared" si="10"/>
        <v>102.8</v>
      </c>
      <c r="M83" s="11" t="str">
        <f t="shared" si="11"/>
        <v>no</v>
      </c>
    </row>
    <row r="84" spans="9:13" x14ac:dyDescent="0.3">
      <c r="I84" s="20">
        <v>46301</v>
      </c>
      <c r="J84" s="21" t="s">
        <v>126</v>
      </c>
      <c r="K84" s="15">
        <f t="shared" si="9"/>
        <v>46301</v>
      </c>
      <c r="L84" s="18">
        <f t="shared" si="10"/>
        <v>50.24</v>
      </c>
      <c r="M84" s="11" t="str">
        <f t="shared" si="11"/>
        <v>no</v>
      </c>
    </row>
    <row r="85" spans="9:13" x14ac:dyDescent="0.3">
      <c r="I85" s="20">
        <v>46301</v>
      </c>
      <c r="J85" s="21" t="s">
        <v>129</v>
      </c>
      <c r="K85" s="15">
        <f t="shared" si="9"/>
        <v>46301</v>
      </c>
      <c r="L85" s="18">
        <f t="shared" si="10"/>
        <v>24.515000000000001</v>
      </c>
      <c r="M85" s="11" t="str">
        <f t="shared" si="11"/>
        <v>no</v>
      </c>
    </row>
    <row r="86" spans="9:13" x14ac:dyDescent="0.3">
      <c r="I86" s="20">
        <v>46302</v>
      </c>
      <c r="J86" s="21" t="s">
        <v>123</v>
      </c>
      <c r="K86" s="15">
        <f t="shared" si="9"/>
        <v>46302</v>
      </c>
      <c r="L86" s="18">
        <f t="shared" si="10"/>
        <v>104.95</v>
      </c>
      <c r="M86" s="11" t="str">
        <f t="shared" si="11"/>
        <v>no</v>
      </c>
    </row>
    <row r="87" spans="9:13" x14ac:dyDescent="0.3">
      <c r="I87" s="20">
        <v>46302</v>
      </c>
      <c r="J87" s="21" t="s">
        <v>126</v>
      </c>
      <c r="K87" s="15">
        <f t="shared" si="9"/>
        <v>46302</v>
      </c>
      <c r="L87" s="18">
        <f t="shared" si="10"/>
        <v>50.96</v>
      </c>
      <c r="M87" s="11" t="str">
        <f t="shared" si="11"/>
        <v>no</v>
      </c>
    </row>
    <row r="88" spans="9:13" x14ac:dyDescent="0.3">
      <c r="I88" s="20">
        <v>46302</v>
      </c>
      <c r="J88" s="21" t="s">
        <v>129</v>
      </c>
      <c r="K88" s="15">
        <f t="shared" si="9"/>
        <v>46302</v>
      </c>
      <c r="L88" s="18">
        <f t="shared" si="10"/>
        <v>24.887499999999999</v>
      </c>
      <c r="M88" s="11" t="str">
        <f t="shared" si="11"/>
        <v>no</v>
      </c>
    </row>
    <row r="89" spans="9:13" x14ac:dyDescent="0.3">
      <c r="I89" s="20">
        <v>46303</v>
      </c>
      <c r="J89" s="21" t="s">
        <v>123</v>
      </c>
      <c r="K89" s="15">
        <f t="shared" si="9"/>
        <v>46303</v>
      </c>
      <c r="L89" s="18">
        <f t="shared" si="10"/>
        <v>107.4</v>
      </c>
      <c r="M89" s="11" t="str">
        <f t="shared" si="11"/>
        <v>no</v>
      </c>
    </row>
    <row r="90" spans="9:13" x14ac:dyDescent="0.3">
      <c r="I90" s="20">
        <v>46303</v>
      </c>
      <c r="J90" s="21" t="s">
        <v>126</v>
      </c>
      <c r="K90" s="15">
        <f t="shared" si="9"/>
        <v>46303</v>
      </c>
      <c r="L90" s="18">
        <f t="shared" si="10"/>
        <v>51.77</v>
      </c>
      <c r="M90" s="11" t="str">
        <f t="shared" si="11"/>
        <v>no</v>
      </c>
    </row>
    <row r="91" spans="9:13" x14ac:dyDescent="0.3">
      <c r="I91" s="20">
        <v>46303</v>
      </c>
      <c r="J91" s="21" t="s">
        <v>129</v>
      </c>
      <c r="K91" s="15">
        <f t="shared" si="9"/>
        <v>46302</v>
      </c>
      <c r="L91" s="18">
        <f t="shared" si="10"/>
        <v>24.887499999999999</v>
      </c>
      <c r="M91" s="11" t="str">
        <f t="shared" si="11"/>
        <v>sí</v>
      </c>
    </row>
    <row r="92" spans="9:13" x14ac:dyDescent="0.3">
      <c r="I92" s="20">
        <v>46304</v>
      </c>
      <c r="J92" s="21" t="s">
        <v>123</v>
      </c>
      <c r="K92" s="15">
        <f t="shared" si="9"/>
        <v>46304</v>
      </c>
      <c r="L92" s="18">
        <f t="shared" si="10"/>
        <v>109.15</v>
      </c>
      <c r="M92" s="11" t="str">
        <f t="shared" si="11"/>
        <v>no</v>
      </c>
    </row>
    <row r="93" spans="9:13" x14ac:dyDescent="0.3">
      <c r="I93" s="20">
        <v>46304</v>
      </c>
      <c r="J93" s="21" t="s">
        <v>126</v>
      </c>
      <c r="K93" s="15">
        <f t="shared" si="9"/>
        <v>46304</v>
      </c>
      <c r="L93" s="18">
        <f t="shared" si="10"/>
        <v>52.31</v>
      </c>
      <c r="M93" s="11" t="str">
        <f t="shared" si="11"/>
        <v>no</v>
      </c>
    </row>
    <row r="94" spans="9:13" x14ac:dyDescent="0.3">
      <c r="I94" s="20">
        <v>46304</v>
      </c>
      <c r="J94" s="21" t="s">
        <v>129</v>
      </c>
      <c r="K94" s="15">
        <f t="shared" si="9"/>
        <v>46304</v>
      </c>
      <c r="L94" s="18">
        <f t="shared" si="10"/>
        <v>25.24</v>
      </c>
      <c r="M94" s="11" t="str">
        <f t="shared" si="11"/>
        <v>no</v>
      </c>
    </row>
    <row r="95" spans="9:13" x14ac:dyDescent="0.3">
      <c r="I95" s="20">
        <v>46305</v>
      </c>
      <c r="J95" s="21" t="s">
        <v>123</v>
      </c>
      <c r="K95" s="15">
        <f t="shared" si="9"/>
        <v>46304</v>
      </c>
      <c r="L95" s="18">
        <f t="shared" si="10"/>
        <v>109.15</v>
      </c>
      <c r="M95" s="11" t="str">
        <f t="shared" si="11"/>
        <v>sí</v>
      </c>
    </row>
    <row r="96" spans="9:13" x14ac:dyDescent="0.3">
      <c r="I96" s="20">
        <v>46305</v>
      </c>
      <c r="J96" s="21" t="s">
        <v>126</v>
      </c>
      <c r="K96" s="15">
        <f t="shared" si="9"/>
        <v>46304</v>
      </c>
      <c r="L96" s="18">
        <f t="shared" si="10"/>
        <v>52.31</v>
      </c>
      <c r="M96" s="11" t="str">
        <f t="shared" si="11"/>
        <v>sí</v>
      </c>
    </row>
    <row r="97" spans="9:13" x14ac:dyDescent="0.3">
      <c r="I97" s="20">
        <v>46305</v>
      </c>
      <c r="J97" s="21" t="s">
        <v>129</v>
      </c>
      <c r="K97" s="15">
        <f t="shared" si="9"/>
        <v>46304</v>
      </c>
      <c r="L97" s="18">
        <f t="shared" si="10"/>
        <v>25.24</v>
      </c>
      <c r="M97" s="11" t="str">
        <f t="shared" si="11"/>
        <v>sí</v>
      </c>
    </row>
    <row r="98" spans="9:13" x14ac:dyDescent="0.3">
      <c r="I98" s="20">
        <v>46306</v>
      </c>
      <c r="J98" s="21" t="s">
        <v>123</v>
      </c>
      <c r="K98" s="15">
        <f t="shared" si="9"/>
        <v>46304</v>
      </c>
      <c r="L98" s="18">
        <f t="shared" si="10"/>
        <v>109.15</v>
      </c>
      <c r="M98" s="11" t="str">
        <f t="shared" si="11"/>
        <v>sí</v>
      </c>
    </row>
    <row r="99" spans="9:13" x14ac:dyDescent="0.3">
      <c r="I99" s="20">
        <v>46306</v>
      </c>
      <c r="J99" s="21" t="s">
        <v>126</v>
      </c>
      <c r="K99" s="15">
        <f t="shared" si="9"/>
        <v>46304</v>
      </c>
      <c r="L99" s="18">
        <f t="shared" si="10"/>
        <v>52.31</v>
      </c>
      <c r="M99" s="11" t="str">
        <f t="shared" si="11"/>
        <v>sí</v>
      </c>
    </row>
    <row r="100" spans="9:13" x14ac:dyDescent="0.3">
      <c r="I100" s="20">
        <v>46306</v>
      </c>
      <c r="J100" s="21" t="s">
        <v>129</v>
      </c>
      <c r="K100" s="15">
        <f t="shared" si="9"/>
        <v>46304</v>
      </c>
      <c r="L100" s="18">
        <f t="shared" si="10"/>
        <v>25.24</v>
      </c>
      <c r="M100" s="11" t="str">
        <f t="shared" si="11"/>
        <v>sí</v>
      </c>
    </row>
    <row r="101" spans="9:13" x14ac:dyDescent="0.3">
      <c r="I101" s="20">
        <v>46307</v>
      </c>
      <c r="J101" s="21" t="s">
        <v>123</v>
      </c>
      <c r="K101" s="15">
        <f t="shared" ref="K101:K109" si="12">_xlfn.MAXIFS($B$5:$B$75,$A$5:$A$75,J101,$B$5:$B$75,"&lt;="&amp;I101)</f>
        <v>46307</v>
      </c>
      <c r="L101" s="18">
        <f t="shared" ref="L101:L109" si="13">SUMIFS($C$5:$C$75,$A$5:$A$75,J101,$B$5:$B$75,K101)</f>
        <v>110.3</v>
      </c>
      <c r="M101" s="11" t="str">
        <f t="shared" ref="M101:M109" si="14">IF(K101&lt;I101,"sí","no")</f>
        <v>no</v>
      </c>
    </row>
    <row r="102" spans="9:13" x14ac:dyDescent="0.3">
      <c r="I102" s="20">
        <v>46307</v>
      </c>
      <c r="J102" s="21" t="s">
        <v>126</v>
      </c>
      <c r="K102" s="15">
        <f t="shared" si="12"/>
        <v>46307</v>
      </c>
      <c r="L102" s="18">
        <f t="shared" si="13"/>
        <v>52.68</v>
      </c>
      <c r="M102" s="11" t="str">
        <f t="shared" si="14"/>
        <v>no</v>
      </c>
    </row>
    <row r="103" spans="9:13" x14ac:dyDescent="0.3">
      <c r="I103" s="20">
        <v>46307</v>
      </c>
      <c r="J103" s="21" t="s">
        <v>129</v>
      </c>
      <c r="K103" s="15">
        <f t="shared" si="12"/>
        <v>46307</v>
      </c>
      <c r="L103" s="18">
        <f t="shared" si="13"/>
        <v>25.465</v>
      </c>
      <c r="M103" s="11" t="str">
        <f t="shared" si="14"/>
        <v>no</v>
      </c>
    </row>
    <row r="104" spans="9:13" x14ac:dyDescent="0.3">
      <c r="I104" s="20">
        <v>46308</v>
      </c>
      <c r="J104" s="21" t="s">
        <v>123</v>
      </c>
      <c r="K104" s="15">
        <f t="shared" si="12"/>
        <v>46308</v>
      </c>
      <c r="L104" s="18">
        <f t="shared" si="13"/>
        <v>109.2</v>
      </c>
      <c r="M104" s="11" t="str">
        <f t="shared" si="14"/>
        <v>no</v>
      </c>
    </row>
    <row r="105" spans="9:13" x14ac:dyDescent="0.3">
      <c r="I105" s="20">
        <v>46308</v>
      </c>
      <c r="J105" s="21" t="s">
        <v>126</v>
      </c>
      <c r="K105" s="15">
        <f t="shared" si="12"/>
        <v>46308</v>
      </c>
      <c r="L105" s="18">
        <f t="shared" si="13"/>
        <v>52.29</v>
      </c>
      <c r="M105" s="11" t="str">
        <f t="shared" si="14"/>
        <v>no</v>
      </c>
    </row>
    <row r="106" spans="9:13" x14ac:dyDescent="0.3">
      <c r="I106" s="20">
        <v>46308</v>
      </c>
      <c r="J106" s="21" t="s">
        <v>129</v>
      </c>
      <c r="K106" s="15">
        <f t="shared" si="12"/>
        <v>46308</v>
      </c>
      <c r="L106" s="18">
        <f t="shared" si="13"/>
        <v>25.31</v>
      </c>
      <c r="M106" s="11" t="str">
        <f t="shared" si="14"/>
        <v>no</v>
      </c>
    </row>
    <row r="107" spans="9:13" x14ac:dyDescent="0.3">
      <c r="I107" s="20">
        <v>46309</v>
      </c>
      <c r="J107" s="21" t="s">
        <v>123</v>
      </c>
      <c r="K107" s="15">
        <f t="shared" si="12"/>
        <v>46309</v>
      </c>
      <c r="L107" s="18">
        <f t="shared" si="13"/>
        <v>111.05</v>
      </c>
      <c r="M107" s="11" t="str">
        <f t="shared" si="14"/>
        <v>no</v>
      </c>
    </row>
    <row r="108" spans="9:13" x14ac:dyDescent="0.3">
      <c r="I108" s="20">
        <v>46309</v>
      </c>
      <c r="J108" s="21" t="s">
        <v>126</v>
      </c>
      <c r="K108" s="15">
        <f t="shared" si="12"/>
        <v>46309</v>
      </c>
      <c r="L108" s="18">
        <f t="shared" si="13"/>
        <v>52.95</v>
      </c>
      <c r="M108" s="11" t="str">
        <f t="shared" si="14"/>
        <v>no</v>
      </c>
    </row>
    <row r="109" spans="9:13" x14ac:dyDescent="0.3">
      <c r="I109" s="20">
        <v>46309</v>
      </c>
      <c r="J109" s="21" t="s">
        <v>129</v>
      </c>
      <c r="K109" s="15">
        <f t="shared" si="12"/>
        <v>46309</v>
      </c>
      <c r="L109" s="18">
        <f t="shared" si="13"/>
        <v>25.622499999999999</v>
      </c>
      <c r="M109" s="11" t="str">
        <f t="shared" si="14"/>
        <v>no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9" customWidth="1"/>
    <col min="2" max="2" width="12" customWidth="1"/>
    <col min="3" max="3" width="10" customWidth="1"/>
    <col min="4" max="4" width="16" customWidth="1"/>
    <col min="5" max="5" width="9" customWidth="1"/>
    <col min="6" max="6" width="16" customWidth="1"/>
    <col min="7" max="9" width="10" customWidth="1"/>
    <col min="10" max="10" width="70" customWidth="1"/>
    <col min="11" max="11" width="14" customWidth="1"/>
  </cols>
  <sheetData>
    <row r="1" spans="1:11" ht="17.399999999999999" x14ac:dyDescent="0.3">
      <c r="A1" s="5" t="s">
        <v>270</v>
      </c>
    </row>
    <row r="2" spans="1:11" x14ac:dyDescent="0.3">
      <c r="A2" s="6" t="s">
        <v>271</v>
      </c>
    </row>
    <row r="4" spans="1:11" ht="39.6" x14ac:dyDescent="0.3">
      <c r="A4" s="8" t="s">
        <v>272</v>
      </c>
      <c r="B4" s="8" t="s">
        <v>273</v>
      </c>
      <c r="C4" s="8" t="s">
        <v>66</v>
      </c>
      <c r="D4" s="8" t="s">
        <v>274</v>
      </c>
      <c r="E4" s="8" t="s">
        <v>275</v>
      </c>
      <c r="F4" s="8" t="s">
        <v>147</v>
      </c>
      <c r="G4" s="8" t="s">
        <v>158</v>
      </c>
      <c r="H4" s="8" t="s">
        <v>276</v>
      </c>
      <c r="I4" s="8" t="s">
        <v>277</v>
      </c>
      <c r="J4" s="8" t="s">
        <v>278</v>
      </c>
      <c r="K4" s="8" t="s">
        <v>279</v>
      </c>
    </row>
    <row r="5" spans="1:11" x14ac:dyDescent="0.3">
      <c r="A5" s="13">
        <v>28</v>
      </c>
      <c r="B5" s="10">
        <v>46261</v>
      </c>
      <c r="C5" s="22">
        <v>6.13</v>
      </c>
      <c r="D5" s="9" t="s">
        <v>280</v>
      </c>
      <c r="E5" s="13">
        <v>28</v>
      </c>
      <c r="F5" s="9" t="s">
        <v>143</v>
      </c>
      <c r="G5" s="9" t="s">
        <v>174</v>
      </c>
      <c r="H5" s="9" t="s">
        <v>281</v>
      </c>
      <c r="I5" s="9" t="s">
        <v>282</v>
      </c>
      <c r="J5" s="9" t="s">
        <v>283</v>
      </c>
      <c r="K5" s="14">
        <f>COUNTIFS(CETES!$Y$5:$Y$95,B5,CETES!$W$5:$W$95,A5)+COUNTIFS(CETES!$Z$5:$Z$95,B5,CETES!$X$5:$X$95,A5,CETES!$AC$5:$AC$95,"interpolación")</f>
        <v>0</v>
      </c>
    </row>
    <row r="6" spans="1:11" x14ac:dyDescent="0.3">
      <c r="A6" s="13">
        <v>91</v>
      </c>
      <c r="B6" s="10">
        <v>46261</v>
      </c>
      <c r="C6" s="22">
        <v>6.6</v>
      </c>
      <c r="D6" s="9" t="s">
        <v>280</v>
      </c>
      <c r="E6" s="13">
        <v>91</v>
      </c>
      <c r="F6" s="9" t="s">
        <v>143</v>
      </c>
      <c r="G6" s="9" t="s">
        <v>174</v>
      </c>
      <c r="H6" s="9" t="s">
        <v>284</v>
      </c>
      <c r="I6" s="9" t="s">
        <v>285</v>
      </c>
      <c r="J6" s="9" t="s">
        <v>283</v>
      </c>
      <c r="K6" s="14">
        <f>COUNTIFS(CETES!$Y$5:$Y$95,B6,CETES!$W$5:$W$95,A6)+COUNTIFS(CETES!$Z$5:$Z$95,B6,CETES!$X$5:$X$95,A6,CETES!$AC$5:$AC$95,"interpolación")</f>
        <v>0</v>
      </c>
    </row>
    <row r="7" spans="1:11" x14ac:dyDescent="0.3">
      <c r="A7" s="13">
        <v>182</v>
      </c>
      <c r="B7" s="10">
        <v>46261</v>
      </c>
      <c r="C7" s="22">
        <v>6.72</v>
      </c>
      <c r="D7" s="9" t="s">
        <v>280</v>
      </c>
      <c r="E7" s="13">
        <v>175</v>
      </c>
      <c r="F7" s="9" t="s">
        <v>143</v>
      </c>
      <c r="G7" s="9" t="s">
        <v>174</v>
      </c>
      <c r="H7" s="9" t="s">
        <v>286</v>
      </c>
      <c r="I7" s="9" t="s">
        <v>287</v>
      </c>
      <c r="J7" s="9" t="s">
        <v>283</v>
      </c>
      <c r="K7" s="14">
        <f>COUNTIFS(CETES!$Y$5:$Y$95,B7,CETES!$W$5:$W$95,A7)+COUNTIFS(CETES!$Z$5:$Z$95,B7,CETES!$X$5:$X$95,A7,CETES!$AC$5:$AC$95,"interpolación")</f>
        <v>0</v>
      </c>
    </row>
    <row r="8" spans="1:11" x14ac:dyDescent="0.3">
      <c r="A8" s="13">
        <v>728</v>
      </c>
      <c r="B8" s="10">
        <v>46261</v>
      </c>
      <c r="C8" s="22">
        <v>7.87</v>
      </c>
      <c r="D8" s="9" t="s">
        <v>280</v>
      </c>
      <c r="E8" s="13">
        <v>707</v>
      </c>
      <c r="F8" s="9" t="s">
        <v>143</v>
      </c>
      <c r="G8" s="9" t="s">
        <v>174</v>
      </c>
      <c r="H8" s="9" t="s">
        <v>288</v>
      </c>
      <c r="I8" s="9" t="s">
        <v>289</v>
      </c>
      <c r="J8" s="9" t="s">
        <v>283</v>
      </c>
      <c r="K8" s="14">
        <f>COUNTIFS(CETES!$Y$5:$Y$95,B8,CETES!$W$5:$W$95,A8)+COUNTIFS(CETES!$Z$5:$Z$95,B8,CETES!$X$5:$X$95,A8,CETES!$AC$5:$AC$95,"interpolación")</f>
        <v>0</v>
      </c>
    </row>
    <row r="9" spans="1:11" x14ac:dyDescent="0.3">
      <c r="A9" s="13">
        <v>28</v>
      </c>
      <c r="B9" s="10">
        <v>46268</v>
      </c>
      <c r="C9" s="22">
        <v>6.49</v>
      </c>
      <c r="D9" s="9" t="s">
        <v>280</v>
      </c>
      <c r="E9" s="13">
        <v>28</v>
      </c>
      <c r="F9" s="9" t="s">
        <v>143</v>
      </c>
      <c r="G9" s="9" t="s">
        <v>174</v>
      </c>
      <c r="H9" s="9" t="s">
        <v>281</v>
      </c>
      <c r="I9" s="9" t="s">
        <v>282</v>
      </c>
      <c r="J9" s="9" t="s">
        <v>283</v>
      </c>
      <c r="K9" s="14">
        <f>COUNTIFS(CETES!$Y$5:$Y$95,B9,CETES!$W$5:$W$95,A9)+COUNTIFS(CETES!$Z$5:$Z$95,B9,CETES!$X$5:$X$95,A9,CETES!$AC$5:$AC$95,"interpolación")</f>
        <v>0</v>
      </c>
    </row>
    <row r="10" spans="1:11" x14ac:dyDescent="0.3">
      <c r="A10" s="13">
        <v>91</v>
      </c>
      <c r="B10" s="10">
        <v>46268</v>
      </c>
      <c r="C10" s="22">
        <v>6.54</v>
      </c>
      <c r="D10" s="9" t="s">
        <v>280</v>
      </c>
      <c r="E10" s="13">
        <v>91</v>
      </c>
      <c r="F10" s="9" t="s">
        <v>143</v>
      </c>
      <c r="G10" s="9" t="s">
        <v>174</v>
      </c>
      <c r="H10" s="9" t="s">
        <v>284</v>
      </c>
      <c r="I10" s="9" t="s">
        <v>285</v>
      </c>
      <c r="J10" s="9" t="s">
        <v>283</v>
      </c>
      <c r="K10" s="14">
        <f>COUNTIFS(CETES!$Y$5:$Y$95,B10,CETES!$W$5:$W$95,A10)+COUNTIFS(CETES!$Z$5:$Z$95,B10,CETES!$X$5:$X$95,A10,CETES!$AC$5:$AC$95,"interpolación")</f>
        <v>0</v>
      </c>
    </row>
    <row r="11" spans="1:11" x14ac:dyDescent="0.3">
      <c r="A11" s="13">
        <v>182</v>
      </c>
      <c r="B11" s="10">
        <v>46268</v>
      </c>
      <c r="C11" s="22">
        <v>6.69</v>
      </c>
      <c r="D11" s="9" t="s">
        <v>280</v>
      </c>
      <c r="E11" s="13">
        <v>182</v>
      </c>
      <c r="F11" s="9" t="s">
        <v>143</v>
      </c>
      <c r="G11" s="9" t="s">
        <v>174</v>
      </c>
      <c r="H11" s="9" t="s">
        <v>286</v>
      </c>
      <c r="I11" s="9" t="s">
        <v>287</v>
      </c>
      <c r="J11" s="9" t="s">
        <v>283</v>
      </c>
      <c r="K11" s="14">
        <f>COUNTIFS(CETES!$Y$5:$Y$95,B11,CETES!$W$5:$W$95,A11)+COUNTIFS(CETES!$Z$5:$Z$95,B11,CETES!$X$5:$X$95,A11,CETES!$AC$5:$AC$95,"interpolación")</f>
        <v>0</v>
      </c>
    </row>
    <row r="12" spans="1:11" x14ac:dyDescent="0.3">
      <c r="A12" s="13">
        <v>364</v>
      </c>
      <c r="B12" s="10">
        <v>46268</v>
      </c>
      <c r="C12" s="22">
        <v>7</v>
      </c>
      <c r="D12" s="9" t="s">
        <v>280</v>
      </c>
      <c r="E12" s="13">
        <v>350</v>
      </c>
      <c r="F12" s="9" t="s">
        <v>143</v>
      </c>
      <c r="G12" s="9" t="s">
        <v>174</v>
      </c>
      <c r="H12" s="9" t="s">
        <v>290</v>
      </c>
      <c r="I12" s="9" t="s">
        <v>291</v>
      </c>
      <c r="J12" s="9" t="s">
        <v>283</v>
      </c>
      <c r="K12" s="14">
        <f>COUNTIFS(CETES!$Y$5:$Y$95,B12,CETES!$W$5:$W$95,A12)+COUNTIFS(CETES!$Z$5:$Z$95,B12,CETES!$X$5:$X$95,A12,CETES!$AC$5:$AC$95,"interpolación")</f>
        <v>0</v>
      </c>
    </row>
    <row r="13" spans="1:11" x14ac:dyDescent="0.3">
      <c r="A13" s="13">
        <v>28</v>
      </c>
      <c r="B13" s="10">
        <v>46275</v>
      </c>
      <c r="C13" s="22">
        <v>6.25</v>
      </c>
      <c r="D13" s="9" t="s">
        <v>280</v>
      </c>
      <c r="E13" s="13">
        <v>28</v>
      </c>
      <c r="F13" s="9" t="s">
        <v>143</v>
      </c>
      <c r="G13" s="9" t="s">
        <v>174</v>
      </c>
      <c r="H13" s="9" t="s">
        <v>281</v>
      </c>
      <c r="I13" s="9" t="s">
        <v>282</v>
      </c>
      <c r="J13" s="9" t="s">
        <v>283</v>
      </c>
      <c r="K13" s="14">
        <f>COUNTIFS(CETES!$Y$5:$Y$95,B13,CETES!$W$5:$W$95,A13)+COUNTIFS(CETES!$Z$5:$Z$95,B13,CETES!$X$5:$X$95,A13,CETES!$AC$5:$AC$95,"interpolación")</f>
        <v>7</v>
      </c>
    </row>
    <row r="14" spans="1:11" x14ac:dyDescent="0.3">
      <c r="A14" s="13">
        <v>91</v>
      </c>
      <c r="B14" s="10">
        <v>46275</v>
      </c>
      <c r="C14" s="22">
        <v>6.56</v>
      </c>
      <c r="D14" s="9" t="s">
        <v>280</v>
      </c>
      <c r="E14" s="13">
        <v>91</v>
      </c>
      <c r="F14" s="9" t="s">
        <v>143</v>
      </c>
      <c r="G14" s="9" t="s">
        <v>174</v>
      </c>
      <c r="H14" s="9" t="s">
        <v>284</v>
      </c>
      <c r="I14" s="9" t="s">
        <v>285</v>
      </c>
      <c r="J14" s="9" t="s">
        <v>283</v>
      </c>
      <c r="K14" s="14">
        <f>COUNTIFS(CETES!$Y$5:$Y$95,B14,CETES!$W$5:$W$95,A14)+COUNTIFS(CETES!$Z$5:$Z$95,B14,CETES!$X$5:$X$95,A14,CETES!$AC$5:$AC$95,"interpolación")</f>
        <v>0</v>
      </c>
    </row>
    <row r="15" spans="1:11" x14ac:dyDescent="0.3">
      <c r="A15" s="13">
        <v>182</v>
      </c>
      <c r="B15" s="10">
        <v>46275</v>
      </c>
      <c r="C15" s="22">
        <v>6.78</v>
      </c>
      <c r="D15" s="9" t="s">
        <v>280</v>
      </c>
      <c r="E15" s="13">
        <v>175</v>
      </c>
      <c r="F15" s="9" t="s">
        <v>143</v>
      </c>
      <c r="G15" s="9" t="s">
        <v>174</v>
      </c>
      <c r="H15" s="9" t="s">
        <v>286</v>
      </c>
      <c r="I15" s="9" t="s">
        <v>287</v>
      </c>
      <c r="J15" s="9" t="s">
        <v>283</v>
      </c>
      <c r="K15" s="14">
        <f>COUNTIFS(CETES!$Y$5:$Y$95,B15,CETES!$W$5:$W$95,A15)+COUNTIFS(CETES!$Z$5:$Z$95,B15,CETES!$X$5:$X$95,A15,CETES!$AC$5:$AC$95,"interpolación")</f>
        <v>0</v>
      </c>
    </row>
    <row r="16" spans="1:11" x14ac:dyDescent="0.3">
      <c r="A16" s="13">
        <v>728</v>
      </c>
      <c r="B16" s="10">
        <v>46275</v>
      </c>
      <c r="C16" s="22">
        <v>7.94</v>
      </c>
      <c r="D16" s="9" t="s">
        <v>280</v>
      </c>
      <c r="E16" s="13">
        <v>693</v>
      </c>
      <c r="F16" s="9" t="s">
        <v>143</v>
      </c>
      <c r="G16" s="9" t="s">
        <v>174</v>
      </c>
      <c r="H16" s="9" t="s">
        <v>288</v>
      </c>
      <c r="I16" s="9" t="s">
        <v>289</v>
      </c>
      <c r="J16" s="9" t="s">
        <v>283</v>
      </c>
      <c r="K16" s="14">
        <f>COUNTIFS(CETES!$Y$5:$Y$95,B16,CETES!$W$5:$W$95,A16)+COUNTIFS(CETES!$Z$5:$Z$95,B16,CETES!$X$5:$X$95,A16,CETES!$AC$5:$AC$95,"interpolación")</f>
        <v>0</v>
      </c>
    </row>
    <row r="17" spans="1:11" x14ac:dyDescent="0.3">
      <c r="A17" s="13">
        <v>28</v>
      </c>
      <c r="B17" s="10">
        <v>46282</v>
      </c>
      <c r="C17" s="22">
        <v>6.25</v>
      </c>
      <c r="D17" s="9" t="s">
        <v>280</v>
      </c>
      <c r="E17" s="13">
        <v>28</v>
      </c>
      <c r="F17" s="9" t="s">
        <v>143</v>
      </c>
      <c r="G17" s="9" t="s">
        <v>174</v>
      </c>
      <c r="H17" s="9" t="s">
        <v>281</v>
      </c>
      <c r="I17" s="9" t="s">
        <v>282</v>
      </c>
      <c r="J17" s="9" t="s">
        <v>292</v>
      </c>
      <c r="K17" s="14">
        <f>COUNTIFS(CETES!$Y$5:$Y$95,B17,CETES!$W$5:$W$95,A17)+COUNTIFS(CETES!$Z$5:$Z$95,B17,CETES!$X$5:$X$95,A17,CETES!$AC$5:$AC$95,"interpolación")</f>
        <v>13</v>
      </c>
    </row>
    <row r="18" spans="1:11" x14ac:dyDescent="0.3">
      <c r="A18" s="13">
        <v>91</v>
      </c>
      <c r="B18" s="10">
        <v>46282</v>
      </c>
      <c r="C18" s="22">
        <v>6.66</v>
      </c>
      <c r="D18" s="9" t="s">
        <v>280</v>
      </c>
      <c r="E18" s="13">
        <v>91</v>
      </c>
      <c r="F18" s="9" t="s">
        <v>143</v>
      </c>
      <c r="G18" s="9" t="s">
        <v>174</v>
      </c>
      <c r="H18" s="9" t="s">
        <v>284</v>
      </c>
      <c r="I18" s="9" t="s">
        <v>285</v>
      </c>
      <c r="J18" s="9" t="s">
        <v>292</v>
      </c>
      <c r="K18" s="14">
        <f>COUNTIFS(CETES!$Y$5:$Y$95,B18,CETES!$W$5:$W$95,A18)+COUNTIFS(CETES!$Z$5:$Z$95,B18,CETES!$X$5:$X$95,A18,CETES!$AC$5:$AC$95,"interpolación")</f>
        <v>13</v>
      </c>
    </row>
    <row r="19" spans="1:11" x14ac:dyDescent="0.3">
      <c r="A19" s="13">
        <v>182</v>
      </c>
      <c r="B19" s="10">
        <v>46282</v>
      </c>
      <c r="C19" s="22">
        <v>6.9</v>
      </c>
      <c r="D19" s="9" t="s">
        <v>280</v>
      </c>
      <c r="E19" s="13">
        <v>182</v>
      </c>
      <c r="F19" s="9" t="s">
        <v>143</v>
      </c>
      <c r="G19" s="9" t="s">
        <v>174</v>
      </c>
      <c r="H19" s="9" t="s">
        <v>286</v>
      </c>
      <c r="I19" s="9" t="s">
        <v>287</v>
      </c>
      <c r="J19" s="9" t="s">
        <v>292</v>
      </c>
      <c r="K19" s="14">
        <f>COUNTIFS(CETES!$Y$5:$Y$95,B19,CETES!$W$5:$W$95,A19)+COUNTIFS(CETES!$Z$5:$Z$95,B19,CETES!$X$5:$X$95,A19,CETES!$AC$5:$AC$95,"interpolación")</f>
        <v>7</v>
      </c>
    </row>
    <row r="20" spans="1:11" x14ac:dyDescent="0.3">
      <c r="A20" s="13">
        <v>364</v>
      </c>
      <c r="B20" s="10">
        <v>46282</v>
      </c>
      <c r="C20" s="22">
        <v>7.24</v>
      </c>
      <c r="D20" s="9" t="s">
        <v>280</v>
      </c>
      <c r="E20" s="13">
        <v>363</v>
      </c>
      <c r="F20" s="9" t="s">
        <v>143</v>
      </c>
      <c r="G20" s="9" t="s">
        <v>174</v>
      </c>
      <c r="H20" s="9" t="s">
        <v>290</v>
      </c>
      <c r="I20" s="9" t="s">
        <v>291</v>
      </c>
      <c r="J20" s="9" t="s">
        <v>292</v>
      </c>
      <c r="K20" s="14">
        <f>COUNTIFS(CETES!$Y$5:$Y$95,B20,CETES!$W$5:$W$95,A20)+COUNTIFS(CETES!$Z$5:$Z$95,B20,CETES!$X$5:$X$95,A20,CETES!$AC$5:$AC$95,"interpolación")</f>
        <v>0</v>
      </c>
    </row>
    <row r="21" spans="1:11" x14ac:dyDescent="0.3">
      <c r="A21" s="13">
        <v>28</v>
      </c>
      <c r="B21" s="10">
        <v>46289</v>
      </c>
      <c r="C21" s="22">
        <v>6.15</v>
      </c>
      <c r="D21" s="9" t="s">
        <v>280</v>
      </c>
      <c r="E21" s="13">
        <v>28</v>
      </c>
      <c r="F21" s="9" t="s">
        <v>143</v>
      </c>
      <c r="G21" s="9" t="s">
        <v>174</v>
      </c>
      <c r="H21" s="9" t="s">
        <v>281</v>
      </c>
      <c r="I21" s="9" t="s">
        <v>282</v>
      </c>
      <c r="J21" s="9" t="s">
        <v>293</v>
      </c>
      <c r="K21" s="14">
        <f>COUNTIFS(CETES!$Y$5:$Y$95,B21,CETES!$W$5:$W$95,A21)+COUNTIFS(CETES!$Z$5:$Z$95,B21,CETES!$X$5:$X$95,A21,CETES!$AC$5:$AC$95,"interpolación")</f>
        <v>14</v>
      </c>
    </row>
    <row r="22" spans="1:11" x14ac:dyDescent="0.3">
      <c r="A22" s="13">
        <v>91</v>
      </c>
      <c r="B22" s="10">
        <v>46289</v>
      </c>
      <c r="C22" s="22">
        <v>6.59</v>
      </c>
      <c r="D22" s="9" t="s">
        <v>280</v>
      </c>
      <c r="E22" s="13">
        <v>91</v>
      </c>
      <c r="F22" s="9" t="s">
        <v>143</v>
      </c>
      <c r="G22" s="9" t="s">
        <v>174</v>
      </c>
      <c r="H22" s="9" t="s">
        <v>284</v>
      </c>
      <c r="I22" s="9" t="s">
        <v>285</v>
      </c>
      <c r="J22" s="9" t="s">
        <v>293</v>
      </c>
      <c r="K22" s="14">
        <f>COUNTIFS(CETES!$Y$5:$Y$95,B22,CETES!$W$5:$W$95,A22)+COUNTIFS(CETES!$Z$5:$Z$95,B22,CETES!$X$5:$X$95,A22,CETES!$AC$5:$AC$95,"interpolación")</f>
        <v>13</v>
      </c>
    </row>
    <row r="23" spans="1:11" x14ac:dyDescent="0.3">
      <c r="A23" s="13">
        <v>182</v>
      </c>
      <c r="B23" s="10">
        <v>46289</v>
      </c>
      <c r="C23" s="22">
        <v>6.91</v>
      </c>
      <c r="D23" s="9" t="s">
        <v>280</v>
      </c>
      <c r="E23" s="13">
        <v>175</v>
      </c>
      <c r="F23" s="9" t="s">
        <v>143</v>
      </c>
      <c r="G23" s="9" t="s">
        <v>174</v>
      </c>
      <c r="H23" s="9" t="s">
        <v>286</v>
      </c>
      <c r="I23" s="9" t="s">
        <v>287</v>
      </c>
      <c r="J23" s="9" t="s">
        <v>293</v>
      </c>
      <c r="K23" s="14">
        <f>COUNTIFS(CETES!$Y$5:$Y$95,B23,CETES!$W$5:$W$95,A23)+COUNTIFS(CETES!$Z$5:$Z$95,B23,CETES!$X$5:$X$95,A23,CETES!$AC$5:$AC$95,"interpolación")</f>
        <v>7</v>
      </c>
    </row>
    <row r="24" spans="1:11" x14ac:dyDescent="0.3">
      <c r="A24" s="13">
        <v>728</v>
      </c>
      <c r="B24" s="10">
        <v>46289</v>
      </c>
      <c r="C24" s="22">
        <v>8.01</v>
      </c>
      <c r="D24" s="9" t="s">
        <v>280</v>
      </c>
      <c r="E24" s="13">
        <v>679</v>
      </c>
      <c r="F24" s="9" t="s">
        <v>143</v>
      </c>
      <c r="G24" s="9" t="s">
        <v>174</v>
      </c>
      <c r="H24" s="9" t="s">
        <v>288</v>
      </c>
      <c r="I24" s="9" t="s">
        <v>289</v>
      </c>
      <c r="J24" s="9" t="s">
        <v>293</v>
      </c>
      <c r="K24" s="14">
        <f>COUNTIFS(CETES!$Y$5:$Y$95,B24,CETES!$W$5:$W$95,A24)+COUNTIFS(CETES!$Z$5:$Z$95,B24,CETES!$X$5:$X$95,A24,CETES!$AC$5:$AC$95,"interpolación")</f>
        <v>0</v>
      </c>
    </row>
    <row r="25" spans="1:11" x14ac:dyDescent="0.3">
      <c r="A25" s="13">
        <v>28</v>
      </c>
      <c r="B25" s="10">
        <v>46296</v>
      </c>
      <c r="C25" s="22">
        <v>6.01</v>
      </c>
      <c r="D25" s="9" t="s">
        <v>280</v>
      </c>
      <c r="E25" s="13">
        <v>28</v>
      </c>
      <c r="F25" s="9" t="s">
        <v>143</v>
      </c>
      <c r="G25" s="9" t="s">
        <v>174</v>
      </c>
      <c r="H25" s="9" t="s">
        <v>281</v>
      </c>
      <c r="I25" s="9" t="s">
        <v>282</v>
      </c>
      <c r="J25" s="9" t="s">
        <v>294</v>
      </c>
      <c r="K25" s="14">
        <f>COUNTIFS(CETES!$Y$5:$Y$95,B25,CETES!$W$5:$W$95,A25)+COUNTIFS(CETES!$Z$5:$Z$95,B25,CETES!$X$5:$X$95,A25,CETES!$AC$5:$AC$95,"interpolación")</f>
        <v>14</v>
      </c>
    </row>
    <row r="26" spans="1:11" x14ac:dyDescent="0.3">
      <c r="A26" s="13">
        <v>91</v>
      </c>
      <c r="B26" s="10">
        <v>46296</v>
      </c>
      <c r="C26" s="22">
        <v>6.73</v>
      </c>
      <c r="D26" s="9" t="s">
        <v>280</v>
      </c>
      <c r="E26" s="13">
        <v>91</v>
      </c>
      <c r="F26" s="9" t="s">
        <v>143</v>
      </c>
      <c r="G26" s="9" t="s">
        <v>174</v>
      </c>
      <c r="H26" s="9" t="s">
        <v>284</v>
      </c>
      <c r="I26" s="9" t="s">
        <v>285</v>
      </c>
      <c r="J26" s="9" t="s">
        <v>294</v>
      </c>
      <c r="K26" s="14">
        <f>COUNTIFS(CETES!$Y$5:$Y$95,B26,CETES!$W$5:$W$95,A26)+COUNTIFS(CETES!$Z$5:$Z$95,B26,CETES!$X$5:$X$95,A26,CETES!$AC$5:$AC$95,"interpolación")</f>
        <v>14</v>
      </c>
    </row>
    <row r="27" spans="1:11" x14ac:dyDescent="0.3">
      <c r="A27" s="13">
        <v>182</v>
      </c>
      <c r="B27" s="10">
        <v>46296</v>
      </c>
      <c r="C27" s="22">
        <v>7.01</v>
      </c>
      <c r="D27" s="9" t="s">
        <v>280</v>
      </c>
      <c r="E27" s="13">
        <v>182</v>
      </c>
      <c r="F27" s="9" t="s">
        <v>143</v>
      </c>
      <c r="G27" s="9" t="s">
        <v>174</v>
      </c>
      <c r="H27" s="9" t="s">
        <v>286</v>
      </c>
      <c r="I27" s="9" t="s">
        <v>287</v>
      </c>
      <c r="J27" s="9" t="s">
        <v>294</v>
      </c>
      <c r="K27" s="14">
        <f>COUNTIFS(CETES!$Y$5:$Y$95,B27,CETES!$W$5:$W$95,A27)+COUNTIFS(CETES!$Z$5:$Z$95,B27,CETES!$X$5:$X$95,A27,CETES!$AC$5:$AC$95,"interpolación")</f>
        <v>7</v>
      </c>
    </row>
    <row r="28" spans="1:11" x14ac:dyDescent="0.3">
      <c r="A28" s="13">
        <v>364</v>
      </c>
      <c r="B28" s="10">
        <v>46296</v>
      </c>
      <c r="C28" s="22">
        <v>7.44</v>
      </c>
      <c r="D28" s="9" t="s">
        <v>280</v>
      </c>
      <c r="E28" s="13">
        <v>349</v>
      </c>
      <c r="F28" s="9" t="s">
        <v>143</v>
      </c>
      <c r="G28" s="9" t="s">
        <v>174</v>
      </c>
      <c r="H28" s="9" t="s">
        <v>290</v>
      </c>
      <c r="I28" s="9" t="s">
        <v>291</v>
      </c>
      <c r="J28" s="9" t="s">
        <v>294</v>
      </c>
      <c r="K28" s="14">
        <f>COUNTIFS(CETES!$Y$5:$Y$95,B28,CETES!$W$5:$W$95,A28)+COUNTIFS(CETES!$Z$5:$Z$95,B28,CETES!$X$5:$X$95,A28,CETES!$AC$5:$AC$95,"interpolación")</f>
        <v>0</v>
      </c>
    </row>
    <row r="29" spans="1:11" x14ac:dyDescent="0.3">
      <c r="A29" s="13">
        <v>28</v>
      </c>
      <c r="B29" s="10">
        <v>46303</v>
      </c>
      <c r="C29" s="22">
        <v>6.09</v>
      </c>
      <c r="D29" s="9" t="s">
        <v>280</v>
      </c>
      <c r="E29" s="13">
        <v>28</v>
      </c>
      <c r="F29" s="9" t="s">
        <v>143</v>
      </c>
      <c r="G29" s="9" t="s">
        <v>174</v>
      </c>
      <c r="H29" s="9" t="s">
        <v>281</v>
      </c>
      <c r="I29" s="9" t="s">
        <v>282</v>
      </c>
      <c r="J29" s="9" t="s">
        <v>295</v>
      </c>
      <c r="K29" s="14">
        <f>COUNTIFS(CETES!$Y$5:$Y$95,B29,CETES!$W$5:$W$95,A29)+COUNTIFS(CETES!$Z$5:$Z$95,B29,CETES!$X$5:$X$95,A29,CETES!$AC$5:$AC$95,"interpolación")</f>
        <v>14</v>
      </c>
    </row>
    <row r="30" spans="1:11" x14ac:dyDescent="0.3">
      <c r="A30" s="13">
        <v>91</v>
      </c>
      <c r="B30" s="10">
        <v>46303</v>
      </c>
      <c r="C30" s="22">
        <v>6.78</v>
      </c>
      <c r="D30" s="9" t="s">
        <v>280</v>
      </c>
      <c r="E30" s="13">
        <v>91</v>
      </c>
      <c r="F30" s="9" t="s">
        <v>143</v>
      </c>
      <c r="G30" s="9" t="s">
        <v>174</v>
      </c>
      <c r="H30" s="9" t="s">
        <v>284</v>
      </c>
      <c r="I30" s="9" t="s">
        <v>285</v>
      </c>
      <c r="J30" s="9" t="s">
        <v>295</v>
      </c>
      <c r="K30" s="14">
        <f>COUNTIFS(CETES!$Y$5:$Y$95,B30,CETES!$W$5:$W$95,A30)+COUNTIFS(CETES!$Z$5:$Z$95,B30,CETES!$X$5:$X$95,A30,CETES!$AC$5:$AC$95,"interpolación")</f>
        <v>14</v>
      </c>
    </row>
    <row r="31" spans="1:11" x14ac:dyDescent="0.3">
      <c r="A31" s="13">
        <v>182</v>
      </c>
      <c r="B31" s="10">
        <v>46303</v>
      </c>
      <c r="C31" s="22">
        <v>6.91</v>
      </c>
      <c r="D31" s="9" t="s">
        <v>280</v>
      </c>
      <c r="E31" s="13">
        <v>175</v>
      </c>
      <c r="F31" s="9" t="s">
        <v>143</v>
      </c>
      <c r="G31" s="9" t="s">
        <v>174</v>
      </c>
      <c r="H31" s="9" t="s">
        <v>286</v>
      </c>
      <c r="I31" s="9" t="s">
        <v>287</v>
      </c>
      <c r="J31" s="9" t="s">
        <v>295</v>
      </c>
      <c r="K31" s="14">
        <f>COUNTIFS(CETES!$Y$5:$Y$95,B31,CETES!$W$5:$W$95,A31)+COUNTIFS(CETES!$Z$5:$Z$95,B31,CETES!$X$5:$X$95,A31,CETES!$AC$5:$AC$95,"interpolación")</f>
        <v>7</v>
      </c>
    </row>
    <row r="32" spans="1:11" x14ac:dyDescent="0.3">
      <c r="A32" s="13">
        <v>728</v>
      </c>
      <c r="B32" s="10">
        <v>46303</v>
      </c>
      <c r="C32" s="22">
        <v>7.98</v>
      </c>
      <c r="D32" s="9" t="s">
        <v>280</v>
      </c>
      <c r="E32" s="13">
        <v>721</v>
      </c>
      <c r="F32" s="9" t="s">
        <v>143</v>
      </c>
      <c r="G32" s="9" t="s">
        <v>174</v>
      </c>
      <c r="H32" s="9" t="s">
        <v>288</v>
      </c>
      <c r="I32" s="9" t="s">
        <v>289</v>
      </c>
      <c r="J32" s="9" t="s">
        <v>295</v>
      </c>
      <c r="K32" s="14">
        <f>COUNTIFS(CETES!$Y$5:$Y$95,B32,CETES!$W$5:$W$95,A32)+COUNTIFS(CETES!$Z$5:$Z$95,B32,CETES!$X$5:$X$95,A32,CETES!$AC$5:$AC$95,"interpolación")</f>
        <v>0</v>
      </c>
    </row>
    <row r="33" spans="1:11" x14ac:dyDescent="0.3">
      <c r="A33" s="13">
        <v>28</v>
      </c>
      <c r="B33" s="10">
        <v>46310</v>
      </c>
      <c r="C33" s="22">
        <v>6.25</v>
      </c>
      <c r="D33" s="9" t="s">
        <v>280</v>
      </c>
      <c r="E33" s="13">
        <v>28</v>
      </c>
      <c r="F33" s="9" t="s">
        <v>143</v>
      </c>
      <c r="G33" s="9" t="s">
        <v>174</v>
      </c>
      <c r="H33" s="9" t="s">
        <v>281</v>
      </c>
      <c r="I33" s="9" t="s">
        <v>282</v>
      </c>
      <c r="J33" s="9" t="s">
        <v>296</v>
      </c>
      <c r="K33" s="14">
        <f>COUNTIFS(CETES!$Y$5:$Y$95,B33,CETES!$W$5:$W$95,A33)+COUNTIFS(CETES!$Z$5:$Z$95,B33,CETES!$X$5:$X$95,A33,CETES!$AC$5:$AC$95,"interpolación")</f>
        <v>0</v>
      </c>
    </row>
    <row r="34" spans="1:11" x14ac:dyDescent="0.3">
      <c r="A34" s="13">
        <v>91</v>
      </c>
      <c r="B34" s="10">
        <v>46310</v>
      </c>
      <c r="C34" s="22">
        <v>6.55</v>
      </c>
      <c r="D34" s="9" t="s">
        <v>280</v>
      </c>
      <c r="E34" s="13">
        <v>91</v>
      </c>
      <c r="F34" s="9" t="s">
        <v>143</v>
      </c>
      <c r="G34" s="9" t="s">
        <v>174</v>
      </c>
      <c r="H34" s="9" t="s">
        <v>284</v>
      </c>
      <c r="I34" s="9" t="s">
        <v>285</v>
      </c>
      <c r="J34" s="9" t="s">
        <v>296</v>
      </c>
      <c r="K34" s="14">
        <f>COUNTIFS(CETES!$Y$5:$Y$95,B34,CETES!$W$5:$W$95,A34)+COUNTIFS(CETES!$Z$5:$Z$95,B34,CETES!$X$5:$X$95,A34,CETES!$AC$5:$AC$95,"interpolación")</f>
        <v>0</v>
      </c>
    </row>
    <row r="35" spans="1:11" x14ac:dyDescent="0.3">
      <c r="A35" s="13">
        <v>182</v>
      </c>
      <c r="B35" s="10">
        <v>46310</v>
      </c>
      <c r="C35" s="22">
        <v>6.79</v>
      </c>
      <c r="D35" s="9" t="s">
        <v>280</v>
      </c>
      <c r="E35" s="13">
        <v>182</v>
      </c>
      <c r="F35" s="9" t="s">
        <v>143</v>
      </c>
      <c r="G35" s="9" t="s">
        <v>174</v>
      </c>
      <c r="H35" s="9" t="s">
        <v>286</v>
      </c>
      <c r="I35" s="9" t="s">
        <v>287</v>
      </c>
      <c r="J35" s="9" t="s">
        <v>296</v>
      </c>
      <c r="K35" s="14">
        <f>COUNTIFS(CETES!$Y$5:$Y$95,B35,CETES!$W$5:$W$95,A35)+COUNTIFS(CETES!$Z$5:$Z$95,B35,CETES!$X$5:$X$95,A35,CETES!$AC$5:$AC$95,"interpolación")</f>
        <v>0</v>
      </c>
    </row>
    <row r="36" spans="1:11" x14ac:dyDescent="0.3">
      <c r="A36" s="13">
        <v>364</v>
      </c>
      <c r="B36" s="10">
        <v>46310</v>
      </c>
      <c r="C36" s="22">
        <v>7.11</v>
      </c>
      <c r="D36" s="9" t="s">
        <v>280</v>
      </c>
      <c r="E36" s="13">
        <v>364</v>
      </c>
      <c r="F36" s="9" t="s">
        <v>143</v>
      </c>
      <c r="G36" s="9" t="s">
        <v>174</v>
      </c>
      <c r="H36" s="9" t="s">
        <v>290</v>
      </c>
      <c r="I36" s="9" t="s">
        <v>291</v>
      </c>
      <c r="J36" s="9" t="s">
        <v>296</v>
      </c>
      <c r="K36" s="14">
        <f>COUNTIFS(CETES!$Y$5:$Y$95,B36,CETES!$W$5:$W$95,A36)+COUNTIFS(CETES!$Z$5:$Z$95,B36,CETES!$X$5:$X$95,A36,CETES!$AC$5:$AC$95,"interpolación")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9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3" width="11" customWidth="1"/>
    <col min="4" max="5" width="8" customWidth="1"/>
    <col min="6" max="10" width="11" customWidth="1"/>
    <col min="11" max="20" width="8" customWidth="1"/>
    <col min="21" max="24" width="9" customWidth="1"/>
    <col min="25" max="26" width="11" customWidth="1"/>
    <col min="27" max="28" width="9" customWidth="1"/>
    <col min="29" max="29" width="16" customWidth="1"/>
    <col min="30" max="31" width="14" customWidth="1"/>
    <col min="32" max="32" width="11" customWidth="1"/>
    <col min="33" max="33" width="16" customWidth="1"/>
  </cols>
  <sheetData>
    <row r="1" spans="1:33" ht="17.399999999999999" x14ac:dyDescent="0.3">
      <c r="A1" s="5" t="s">
        <v>297</v>
      </c>
    </row>
    <row r="2" spans="1:33" x14ac:dyDescent="0.3">
      <c r="A2" s="6" t="s">
        <v>298</v>
      </c>
    </row>
    <row r="3" spans="1:33" x14ac:dyDescent="0.3">
      <c r="F3" s="31" t="s">
        <v>299</v>
      </c>
      <c r="G3" s="32"/>
      <c r="H3" s="32"/>
      <c r="I3" s="32"/>
      <c r="J3" s="32"/>
      <c r="K3" s="31" t="s">
        <v>300</v>
      </c>
      <c r="L3" s="32"/>
      <c r="M3" s="32"/>
      <c r="N3" s="32"/>
      <c r="O3" s="32"/>
      <c r="P3" s="31" t="s">
        <v>301</v>
      </c>
      <c r="Q3" s="32"/>
      <c r="R3" s="32"/>
      <c r="S3" s="32"/>
      <c r="T3" s="32"/>
    </row>
    <row r="4" spans="1:33" ht="39.6" x14ac:dyDescent="0.3">
      <c r="A4" s="8" t="s">
        <v>177</v>
      </c>
      <c r="B4" s="8" t="s">
        <v>204</v>
      </c>
      <c r="C4" s="8" t="s">
        <v>119</v>
      </c>
      <c r="D4" s="8" t="s">
        <v>302</v>
      </c>
      <c r="E4" s="8" t="s">
        <v>303</v>
      </c>
      <c r="F4" s="24">
        <v>28</v>
      </c>
      <c r="G4" s="24">
        <v>91</v>
      </c>
      <c r="H4" s="24">
        <v>182</v>
      </c>
      <c r="I4" s="24">
        <v>364</v>
      </c>
      <c r="J4" s="24">
        <v>728</v>
      </c>
      <c r="K4" s="24">
        <v>28</v>
      </c>
      <c r="L4" s="24">
        <v>91</v>
      </c>
      <c r="M4" s="24">
        <v>182</v>
      </c>
      <c r="N4" s="24">
        <v>364</v>
      </c>
      <c r="O4" s="24">
        <v>728</v>
      </c>
      <c r="P4" s="24">
        <v>28</v>
      </c>
      <c r="Q4" s="24">
        <v>91</v>
      </c>
      <c r="R4" s="24">
        <v>182</v>
      </c>
      <c r="S4" s="24">
        <v>364</v>
      </c>
      <c r="T4" s="24">
        <v>728</v>
      </c>
      <c r="U4" s="8" t="s">
        <v>304</v>
      </c>
      <c r="V4" s="8" t="s">
        <v>305</v>
      </c>
      <c r="W4" s="8" t="s">
        <v>306</v>
      </c>
      <c r="X4" s="8" t="s">
        <v>307</v>
      </c>
      <c r="Y4" s="8" t="s">
        <v>308</v>
      </c>
      <c r="Z4" s="8" t="s">
        <v>309</v>
      </c>
      <c r="AA4" s="8" t="s">
        <v>310</v>
      </c>
      <c r="AB4" s="8" t="s">
        <v>311</v>
      </c>
      <c r="AC4" s="8" t="s">
        <v>312</v>
      </c>
      <c r="AD4" s="8" t="s">
        <v>313</v>
      </c>
      <c r="AE4" s="8" t="s">
        <v>314</v>
      </c>
      <c r="AF4" s="8" t="s">
        <v>315</v>
      </c>
      <c r="AG4" s="8" t="s">
        <v>316</v>
      </c>
    </row>
    <row r="5" spans="1:33" x14ac:dyDescent="0.3">
      <c r="A5" s="20">
        <v>46275</v>
      </c>
      <c r="B5" s="21" t="s">
        <v>132</v>
      </c>
      <c r="C5" s="15">
        <f>INDEX(Entradas!$F$40:$F$46,MATCH(B5,Entradas!$A$40:$A$46,0))</f>
        <v>46303</v>
      </c>
      <c r="D5" s="17">
        <f>INDEX(Entradas!$G$40:$G$46,MATCH(B5,Entradas!$A$40:$A$46,0))</f>
        <v>10</v>
      </c>
      <c r="E5" s="14">
        <f t="shared" ref="E5:E36" si="0">C5-A5</f>
        <v>28</v>
      </c>
      <c r="F5" s="15">
        <f>_xlfn.MAXIFS(Tasas!$B$5:$B$36,Tasas!$A$5:$A$36,F$4,Tasas!$B$5:$B$36,"&lt;="&amp;$A5)</f>
        <v>46275</v>
      </c>
      <c r="G5" s="15">
        <f>_xlfn.MAXIFS(Tasas!$B$5:$B$36,Tasas!$A$5:$A$36,G$4,Tasas!$B$5:$B$36,"&lt;="&amp;$A5)</f>
        <v>46275</v>
      </c>
      <c r="H5" s="15">
        <f>_xlfn.MAXIFS(Tasas!$B$5:$B$36,Tasas!$A$5:$A$36,H$4,Tasas!$B$5:$B$36,"&lt;="&amp;$A5)</f>
        <v>46275</v>
      </c>
      <c r="I5" s="15">
        <f>_xlfn.MAXIFS(Tasas!$B$5:$B$36,Tasas!$A$5:$A$36,I$4,Tasas!$B$5:$B$36,"&lt;="&amp;$A5)</f>
        <v>46268</v>
      </c>
      <c r="J5" s="15">
        <f>_xlfn.MAXIFS(Tasas!$B$5:$B$36,Tasas!$A$5:$A$36,J$4,Tasas!$B$5:$B$36,"&lt;="&amp;$A5)</f>
        <v>46275</v>
      </c>
      <c r="K5" s="25">
        <f>SUMIFS(Tasas!$C$5:$C$36,Tasas!$A$5:$A$36,K$4,Tasas!$B$5:$B$36,F5)</f>
        <v>6.25</v>
      </c>
      <c r="L5" s="25">
        <f>SUMIFS(Tasas!$C$5:$C$36,Tasas!$A$5:$A$36,L$4,Tasas!$B$5:$B$36,G5)</f>
        <v>6.56</v>
      </c>
      <c r="M5" s="25">
        <f>SUMIFS(Tasas!$C$5:$C$36,Tasas!$A$5:$A$36,M$4,Tasas!$B$5:$B$36,H5)</f>
        <v>6.78</v>
      </c>
      <c r="N5" s="25">
        <f>SUMIFS(Tasas!$C$5:$C$36,Tasas!$A$5:$A$36,N$4,Tasas!$B$5:$B$36,I5)</f>
        <v>7</v>
      </c>
      <c r="O5" s="25">
        <f>SUMIFS(Tasas!$C$5:$C$36,Tasas!$A$5:$A$36,O$4,Tasas!$B$5:$B$36,J5)</f>
        <v>7.94</v>
      </c>
      <c r="P5" s="14">
        <f>SUMIFS(Tasas!$E$5:$E$36,Tasas!$A$5:$A$36,P$4,Tasas!$B$5:$B$36,F5)</f>
        <v>28</v>
      </c>
      <c r="Q5" s="14">
        <f>SUMIFS(Tasas!$E$5:$E$36,Tasas!$A$5:$A$36,Q$4,Tasas!$B$5:$B$36,G5)</f>
        <v>91</v>
      </c>
      <c r="R5" s="14">
        <f>SUMIFS(Tasas!$E$5:$E$36,Tasas!$A$5:$A$36,R$4,Tasas!$B$5:$B$36,H5)</f>
        <v>175</v>
      </c>
      <c r="S5" s="14">
        <f>SUMIFS(Tasas!$E$5:$E$36,Tasas!$A$5:$A$36,S$4,Tasas!$B$5:$B$36,I5)</f>
        <v>350</v>
      </c>
      <c r="T5" s="14">
        <f>SUMIFS(Tasas!$E$5:$E$36,Tasas!$A$5:$A$36,T$4,Tasas!$B$5:$B$36,J5)</f>
        <v>693</v>
      </c>
      <c r="U5" s="14">
        <f t="shared" ref="U5:U36" si="1">IF($E5&lt;=MIN($P5:$T5),MIN($P5:$T5),_xlfn.MAXIFS($P5:$T5,$P5:$T5,"&lt;="&amp;$E5))</f>
        <v>28</v>
      </c>
      <c r="V5" s="14">
        <f t="shared" ref="V5:V36" si="2">IF($E5&gt;=MAX($P5:$T5),MAX($P5:$T5),_xlfn.MINIFS($P5:$T5,$P5:$T5,"&gt;="&amp;$E5))</f>
        <v>28</v>
      </c>
      <c r="W5" s="14">
        <f t="shared" ref="W5:W36" si="3">INDEX($P$4:$T$4,MATCH(U5,$P5:$T5,0))</f>
        <v>28</v>
      </c>
      <c r="X5" s="14">
        <f t="shared" ref="X5:X36" si="4">INDEX($P$4:$T$4,MATCH(V5,$P5:$T5,0))</f>
        <v>28</v>
      </c>
      <c r="Y5" s="15">
        <f t="shared" ref="Y5:Y36" si="5">INDEX($F5:$J5,MATCH(U5,$P5:$T5,0))</f>
        <v>46275</v>
      </c>
      <c r="Z5" s="15">
        <f t="shared" ref="Z5:Z36" si="6">INDEX($F5:$J5,MATCH(V5,$P5:$T5,0))</f>
        <v>46275</v>
      </c>
      <c r="AA5" s="25">
        <f t="shared" ref="AA5:AA36" si="7">INDEX($K5:$O5,MATCH(U5,$P5:$T5,0))</f>
        <v>6.25</v>
      </c>
      <c r="AB5" s="25">
        <f t="shared" ref="AB5:AB36" si="8">INDEX($K5:$O5,MATCH(V5,$P5:$T5,0))</f>
        <v>6.25</v>
      </c>
      <c r="AC5" s="11" t="str">
        <f t="shared" ref="AC5:AC36" si="9">IF(E5&lt;MIN($P5:$T5),"extremo inferior",IF(E5&gt;MAX($P5:$T5),"extremo superior",IF(U5=V5,"nodo","interpolación")))</f>
        <v>nodo</v>
      </c>
      <c r="AD5" s="26">
        <f t="shared" ref="AD5:AD36" si="10">IF(U5=V5,AA5,AA5+(AB5-AA5)*(E5-U5)/(V5-U5))</f>
        <v>6.25</v>
      </c>
      <c r="AE5" s="26">
        <f t="shared" ref="AE5:AE36" si="11">D5/(1+AD5/100*E5/360)</f>
        <v>9.9516240497581201</v>
      </c>
      <c r="AF5" s="19">
        <f t="shared" ref="AF5:AF36" si="12">ROUND(AE5,7)</f>
        <v>9.9516240000000007</v>
      </c>
      <c r="AG5" s="11" t="str">
        <f t="shared" ref="AG5:AG36" si="13">A5&amp;"|"&amp;B5</f>
        <v>46275|BI261008</v>
      </c>
    </row>
    <row r="6" spans="1:33" x14ac:dyDescent="0.3">
      <c r="A6" s="20">
        <v>46276</v>
      </c>
      <c r="B6" s="21" t="s">
        <v>132</v>
      </c>
      <c r="C6" s="15">
        <f>INDEX(Entradas!$F$40:$F$46,MATCH(B6,Entradas!$A$40:$A$46,0))</f>
        <v>46303</v>
      </c>
      <c r="D6" s="17">
        <f>INDEX(Entradas!$G$40:$G$46,MATCH(B6,Entradas!$A$40:$A$46,0))</f>
        <v>10</v>
      </c>
      <c r="E6" s="14">
        <f t="shared" si="0"/>
        <v>27</v>
      </c>
      <c r="F6" s="15">
        <f>_xlfn.MAXIFS(Tasas!$B$5:$B$36,Tasas!$A$5:$A$36,F$4,Tasas!$B$5:$B$36,"&lt;="&amp;$A6)</f>
        <v>46275</v>
      </c>
      <c r="G6" s="15">
        <f>_xlfn.MAXIFS(Tasas!$B$5:$B$36,Tasas!$A$5:$A$36,G$4,Tasas!$B$5:$B$36,"&lt;="&amp;$A6)</f>
        <v>46275</v>
      </c>
      <c r="H6" s="15">
        <f>_xlfn.MAXIFS(Tasas!$B$5:$B$36,Tasas!$A$5:$A$36,H$4,Tasas!$B$5:$B$36,"&lt;="&amp;$A6)</f>
        <v>46275</v>
      </c>
      <c r="I6" s="15">
        <f>_xlfn.MAXIFS(Tasas!$B$5:$B$36,Tasas!$A$5:$A$36,I$4,Tasas!$B$5:$B$36,"&lt;="&amp;$A6)</f>
        <v>46268</v>
      </c>
      <c r="J6" s="15">
        <f>_xlfn.MAXIFS(Tasas!$B$5:$B$36,Tasas!$A$5:$A$36,J$4,Tasas!$B$5:$B$36,"&lt;="&amp;$A6)</f>
        <v>46275</v>
      </c>
      <c r="K6" s="25">
        <f>SUMIFS(Tasas!$C$5:$C$36,Tasas!$A$5:$A$36,K$4,Tasas!$B$5:$B$36,F6)</f>
        <v>6.25</v>
      </c>
      <c r="L6" s="25">
        <f>SUMIFS(Tasas!$C$5:$C$36,Tasas!$A$5:$A$36,L$4,Tasas!$B$5:$B$36,G6)</f>
        <v>6.56</v>
      </c>
      <c r="M6" s="25">
        <f>SUMIFS(Tasas!$C$5:$C$36,Tasas!$A$5:$A$36,M$4,Tasas!$B$5:$B$36,H6)</f>
        <v>6.78</v>
      </c>
      <c r="N6" s="25">
        <f>SUMIFS(Tasas!$C$5:$C$36,Tasas!$A$5:$A$36,N$4,Tasas!$B$5:$B$36,I6)</f>
        <v>7</v>
      </c>
      <c r="O6" s="25">
        <f>SUMIFS(Tasas!$C$5:$C$36,Tasas!$A$5:$A$36,O$4,Tasas!$B$5:$B$36,J6)</f>
        <v>7.94</v>
      </c>
      <c r="P6" s="14">
        <f>SUMIFS(Tasas!$E$5:$E$36,Tasas!$A$5:$A$36,P$4,Tasas!$B$5:$B$36,F6)</f>
        <v>28</v>
      </c>
      <c r="Q6" s="14">
        <f>SUMIFS(Tasas!$E$5:$E$36,Tasas!$A$5:$A$36,Q$4,Tasas!$B$5:$B$36,G6)</f>
        <v>91</v>
      </c>
      <c r="R6" s="14">
        <f>SUMIFS(Tasas!$E$5:$E$36,Tasas!$A$5:$A$36,R$4,Tasas!$B$5:$B$36,H6)</f>
        <v>175</v>
      </c>
      <c r="S6" s="14">
        <f>SUMIFS(Tasas!$E$5:$E$36,Tasas!$A$5:$A$36,S$4,Tasas!$B$5:$B$36,I6)</f>
        <v>350</v>
      </c>
      <c r="T6" s="14">
        <f>SUMIFS(Tasas!$E$5:$E$36,Tasas!$A$5:$A$36,T$4,Tasas!$B$5:$B$36,J6)</f>
        <v>693</v>
      </c>
      <c r="U6" s="14">
        <f t="shared" si="1"/>
        <v>28</v>
      </c>
      <c r="V6" s="14">
        <f t="shared" si="2"/>
        <v>28</v>
      </c>
      <c r="W6" s="14">
        <f t="shared" si="3"/>
        <v>28</v>
      </c>
      <c r="X6" s="14">
        <f t="shared" si="4"/>
        <v>28</v>
      </c>
      <c r="Y6" s="15">
        <f t="shared" si="5"/>
        <v>46275</v>
      </c>
      <c r="Z6" s="15">
        <f t="shared" si="6"/>
        <v>46275</v>
      </c>
      <c r="AA6" s="25">
        <f t="shared" si="7"/>
        <v>6.25</v>
      </c>
      <c r="AB6" s="25">
        <f t="shared" si="8"/>
        <v>6.25</v>
      </c>
      <c r="AC6" s="11" t="str">
        <f t="shared" si="9"/>
        <v>extremo inferior</v>
      </c>
      <c r="AD6" s="26">
        <f t="shared" si="10"/>
        <v>6.25</v>
      </c>
      <c r="AE6" s="26">
        <f t="shared" si="11"/>
        <v>9.9533437013996888</v>
      </c>
      <c r="AF6" s="19">
        <f t="shared" si="12"/>
        <v>9.9533436999999996</v>
      </c>
      <c r="AG6" s="11" t="str">
        <f t="shared" si="13"/>
        <v>46276|BI261008</v>
      </c>
    </row>
    <row r="7" spans="1:33" x14ac:dyDescent="0.3">
      <c r="A7" s="20">
        <v>46277</v>
      </c>
      <c r="B7" s="21" t="s">
        <v>132</v>
      </c>
      <c r="C7" s="15">
        <f>INDEX(Entradas!$F$40:$F$46,MATCH(B7,Entradas!$A$40:$A$46,0))</f>
        <v>46303</v>
      </c>
      <c r="D7" s="17">
        <f>INDEX(Entradas!$G$40:$G$46,MATCH(B7,Entradas!$A$40:$A$46,0))</f>
        <v>10</v>
      </c>
      <c r="E7" s="14">
        <f t="shared" si="0"/>
        <v>26</v>
      </c>
      <c r="F7" s="15">
        <f>_xlfn.MAXIFS(Tasas!$B$5:$B$36,Tasas!$A$5:$A$36,F$4,Tasas!$B$5:$B$36,"&lt;="&amp;$A7)</f>
        <v>46275</v>
      </c>
      <c r="G7" s="15">
        <f>_xlfn.MAXIFS(Tasas!$B$5:$B$36,Tasas!$A$5:$A$36,G$4,Tasas!$B$5:$B$36,"&lt;="&amp;$A7)</f>
        <v>46275</v>
      </c>
      <c r="H7" s="15">
        <f>_xlfn.MAXIFS(Tasas!$B$5:$B$36,Tasas!$A$5:$A$36,H$4,Tasas!$B$5:$B$36,"&lt;="&amp;$A7)</f>
        <v>46275</v>
      </c>
      <c r="I7" s="15">
        <f>_xlfn.MAXIFS(Tasas!$B$5:$B$36,Tasas!$A$5:$A$36,I$4,Tasas!$B$5:$B$36,"&lt;="&amp;$A7)</f>
        <v>46268</v>
      </c>
      <c r="J7" s="15">
        <f>_xlfn.MAXIFS(Tasas!$B$5:$B$36,Tasas!$A$5:$A$36,J$4,Tasas!$B$5:$B$36,"&lt;="&amp;$A7)</f>
        <v>46275</v>
      </c>
      <c r="K7" s="25">
        <f>SUMIFS(Tasas!$C$5:$C$36,Tasas!$A$5:$A$36,K$4,Tasas!$B$5:$B$36,F7)</f>
        <v>6.25</v>
      </c>
      <c r="L7" s="25">
        <f>SUMIFS(Tasas!$C$5:$C$36,Tasas!$A$5:$A$36,L$4,Tasas!$B$5:$B$36,G7)</f>
        <v>6.56</v>
      </c>
      <c r="M7" s="25">
        <f>SUMIFS(Tasas!$C$5:$C$36,Tasas!$A$5:$A$36,M$4,Tasas!$B$5:$B$36,H7)</f>
        <v>6.78</v>
      </c>
      <c r="N7" s="25">
        <f>SUMIFS(Tasas!$C$5:$C$36,Tasas!$A$5:$A$36,N$4,Tasas!$B$5:$B$36,I7)</f>
        <v>7</v>
      </c>
      <c r="O7" s="25">
        <f>SUMIFS(Tasas!$C$5:$C$36,Tasas!$A$5:$A$36,O$4,Tasas!$B$5:$B$36,J7)</f>
        <v>7.94</v>
      </c>
      <c r="P7" s="14">
        <f>SUMIFS(Tasas!$E$5:$E$36,Tasas!$A$5:$A$36,P$4,Tasas!$B$5:$B$36,F7)</f>
        <v>28</v>
      </c>
      <c r="Q7" s="14">
        <f>SUMIFS(Tasas!$E$5:$E$36,Tasas!$A$5:$A$36,Q$4,Tasas!$B$5:$B$36,G7)</f>
        <v>91</v>
      </c>
      <c r="R7" s="14">
        <f>SUMIFS(Tasas!$E$5:$E$36,Tasas!$A$5:$A$36,R$4,Tasas!$B$5:$B$36,H7)</f>
        <v>175</v>
      </c>
      <c r="S7" s="14">
        <f>SUMIFS(Tasas!$E$5:$E$36,Tasas!$A$5:$A$36,S$4,Tasas!$B$5:$B$36,I7)</f>
        <v>350</v>
      </c>
      <c r="T7" s="14">
        <f>SUMIFS(Tasas!$E$5:$E$36,Tasas!$A$5:$A$36,T$4,Tasas!$B$5:$B$36,J7)</f>
        <v>693</v>
      </c>
      <c r="U7" s="14">
        <f t="shared" si="1"/>
        <v>28</v>
      </c>
      <c r="V7" s="14">
        <f t="shared" si="2"/>
        <v>28</v>
      </c>
      <c r="W7" s="14">
        <f t="shared" si="3"/>
        <v>28</v>
      </c>
      <c r="X7" s="14">
        <f t="shared" si="4"/>
        <v>28</v>
      </c>
      <c r="Y7" s="15">
        <f t="shared" si="5"/>
        <v>46275</v>
      </c>
      <c r="Z7" s="15">
        <f t="shared" si="6"/>
        <v>46275</v>
      </c>
      <c r="AA7" s="25">
        <f t="shared" si="7"/>
        <v>6.25</v>
      </c>
      <c r="AB7" s="25">
        <f t="shared" si="8"/>
        <v>6.25</v>
      </c>
      <c r="AC7" s="11" t="str">
        <f t="shared" si="9"/>
        <v>extremo inferior</v>
      </c>
      <c r="AD7" s="26">
        <f t="shared" si="10"/>
        <v>6.25</v>
      </c>
      <c r="AE7" s="26">
        <f t="shared" si="11"/>
        <v>9.9550639474593847</v>
      </c>
      <c r="AF7" s="19">
        <f t="shared" si="12"/>
        <v>9.9550639000000007</v>
      </c>
      <c r="AG7" s="11" t="str">
        <f t="shared" si="13"/>
        <v>46277|BI261008</v>
      </c>
    </row>
    <row r="8" spans="1:33" x14ac:dyDescent="0.3">
      <c r="A8" s="20">
        <v>46278</v>
      </c>
      <c r="B8" s="21" t="s">
        <v>132</v>
      </c>
      <c r="C8" s="15">
        <f>INDEX(Entradas!$F$40:$F$46,MATCH(B8,Entradas!$A$40:$A$46,0))</f>
        <v>46303</v>
      </c>
      <c r="D8" s="17">
        <f>INDEX(Entradas!$G$40:$G$46,MATCH(B8,Entradas!$A$40:$A$46,0))</f>
        <v>10</v>
      </c>
      <c r="E8" s="14">
        <f t="shared" si="0"/>
        <v>25</v>
      </c>
      <c r="F8" s="15">
        <f>_xlfn.MAXIFS(Tasas!$B$5:$B$36,Tasas!$A$5:$A$36,F$4,Tasas!$B$5:$B$36,"&lt;="&amp;$A8)</f>
        <v>46275</v>
      </c>
      <c r="G8" s="15">
        <f>_xlfn.MAXIFS(Tasas!$B$5:$B$36,Tasas!$A$5:$A$36,G$4,Tasas!$B$5:$B$36,"&lt;="&amp;$A8)</f>
        <v>46275</v>
      </c>
      <c r="H8" s="15">
        <f>_xlfn.MAXIFS(Tasas!$B$5:$B$36,Tasas!$A$5:$A$36,H$4,Tasas!$B$5:$B$36,"&lt;="&amp;$A8)</f>
        <v>46275</v>
      </c>
      <c r="I8" s="15">
        <f>_xlfn.MAXIFS(Tasas!$B$5:$B$36,Tasas!$A$5:$A$36,I$4,Tasas!$B$5:$B$36,"&lt;="&amp;$A8)</f>
        <v>46268</v>
      </c>
      <c r="J8" s="15">
        <f>_xlfn.MAXIFS(Tasas!$B$5:$B$36,Tasas!$A$5:$A$36,J$4,Tasas!$B$5:$B$36,"&lt;="&amp;$A8)</f>
        <v>46275</v>
      </c>
      <c r="K8" s="25">
        <f>SUMIFS(Tasas!$C$5:$C$36,Tasas!$A$5:$A$36,K$4,Tasas!$B$5:$B$36,F8)</f>
        <v>6.25</v>
      </c>
      <c r="L8" s="25">
        <f>SUMIFS(Tasas!$C$5:$C$36,Tasas!$A$5:$A$36,L$4,Tasas!$B$5:$B$36,G8)</f>
        <v>6.56</v>
      </c>
      <c r="M8" s="25">
        <f>SUMIFS(Tasas!$C$5:$C$36,Tasas!$A$5:$A$36,M$4,Tasas!$B$5:$B$36,H8)</f>
        <v>6.78</v>
      </c>
      <c r="N8" s="25">
        <f>SUMIFS(Tasas!$C$5:$C$36,Tasas!$A$5:$A$36,N$4,Tasas!$B$5:$B$36,I8)</f>
        <v>7</v>
      </c>
      <c r="O8" s="25">
        <f>SUMIFS(Tasas!$C$5:$C$36,Tasas!$A$5:$A$36,O$4,Tasas!$B$5:$B$36,J8)</f>
        <v>7.94</v>
      </c>
      <c r="P8" s="14">
        <f>SUMIFS(Tasas!$E$5:$E$36,Tasas!$A$5:$A$36,P$4,Tasas!$B$5:$B$36,F8)</f>
        <v>28</v>
      </c>
      <c r="Q8" s="14">
        <f>SUMIFS(Tasas!$E$5:$E$36,Tasas!$A$5:$A$36,Q$4,Tasas!$B$5:$B$36,G8)</f>
        <v>91</v>
      </c>
      <c r="R8" s="14">
        <f>SUMIFS(Tasas!$E$5:$E$36,Tasas!$A$5:$A$36,R$4,Tasas!$B$5:$B$36,H8)</f>
        <v>175</v>
      </c>
      <c r="S8" s="14">
        <f>SUMIFS(Tasas!$E$5:$E$36,Tasas!$A$5:$A$36,S$4,Tasas!$B$5:$B$36,I8)</f>
        <v>350</v>
      </c>
      <c r="T8" s="14">
        <f>SUMIFS(Tasas!$E$5:$E$36,Tasas!$A$5:$A$36,T$4,Tasas!$B$5:$B$36,J8)</f>
        <v>693</v>
      </c>
      <c r="U8" s="14">
        <f t="shared" si="1"/>
        <v>28</v>
      </c>
      <c r="V8" s="14">
        <f t="shared" si="2"/>
        <v>28</v>
      </c>
      <c r="W8" s="14">
        <f t="shared" si="3"/>
        <v>28</v>
      </c>
      <c r="X8" s="14">
        <f t="shared" si="4"/>
        <v>28</v>
      </c>
      <c r="Y8" s="15">
        <f t="shared" si="5"/>
        <v>46275</v>
      </c>
      <c r="Z8" s="15">
        <f t="shared" si="6"/>
        <v>46275</v>
      </c>
      <c r="AA8" s="25">
        <f t="shared" si="7"/>
        <v>6.25</v>
      </c>
      <c r="AB8" s="25">
        <f t="shared" si="8"/>
        <v>6.25</v>
      </c>
      <c r="AC8" s="11" t="str">
        <f t="shared" si="9"/>
        <v>extremo inferior</v>
      </c>
      <c r="AD8" s="26">
        <f t="shared" si="10"/>
        <v>6.25</v>
      </c>
      <c r="AE8" s="26">
        <f t="shared" si="11"/>
        <v>9.9567847882454625</v>
      </c>
      <c r="AF8" s="19">
        <f t="shared" si="12"/>
        <v>9.9567847999999994</v>
      </c>
      <c r="AG8" s="11" t="str">
        <f t="shared" si="13"/>
        <v>46278|BI261008</v>
      </c>
    </row>
    <row r="9" spans="1:33" x14ac:dyDescent="0.3">
      <c r="A9" s="20">
        <v>46279</v>
      </c>
      <c r="B9" s="21" t="s">
        <v>132</v>
      </c>
      <c r="C9" s="15">
        <f>INDEX(Entradas!$F$40:$F$46,MATCH(B9,Entradas!$A$40:$A$46,0))</f>
        <v>46303</v>
      </c>
      <c r="D9" s="17">
        <f>INDEX(Entradas!$G$40:$G$46,MATCH(B9,Entradas!$A$40:$A$46,0))</f>
        <v>10</v>
      </c>
      <c r="E9" s="14">
        <f t="shared" si="0"/>
        <v>24</v>
      </c>
      <c r="F9" s="15">
        <f>_xlfn.MAXIFS(Tasas!$B$5:$B$36,Tasas!$A$5:$A$36,F$4,Tasas!$B$5:$B$36,"&lt;="&amp;$A9)</f>
        <v>46275</v>
      </c>
      <c r="G9" s="15">
        <f>_xlfn.MAXIFS(Tasas!$B$5:$B$36,Tasas!$A$5:$A$36,G$4,Tasas!$B$5:$B$36,"&lt;="&amp;$A9)</f>
        <v>46275</v>
      </c>
      <c r="H9" s="15">
        <f>_xlfn.MAXIFS(Tasas!$B$5:$B$36,Tasas!$A$5:$A$36,H$4,Tasas!$B$5:$B$36,"&lt;="&amp;$A9)</f>
        <v>46275</v>
      </c>
      <c r="I9" s="15">
        <f>_xlfn.MAXIFS(Tasas!$B$5:$B$36,Tasas!$A$5:$A$36,I$4,Tasas!$B$5:$B$36,"&lt;="&amp;$A9)</f>
        <v>46268</v>
      </c>
      <c r="J9" s="15">
        <f>_xlfn.MAXIFS(Tasas!$B$5:$B$36,Tasas!$A$5:$A$36,J$4,Tasas!$B$5:$B$36,"&lt;="&amp;$A9)</f>
        <v>46275</v>
      </c>
      <c r="K9" s="25">
        <f>SUMIFS(Tasas!$C$5:$C$36,Tasas!$A$5:$A$36,K$4,Tasas!$B$5:$B$36,F9)</f>
        <v>6.25</v>
      </c>
      <c r="L9" s="25">
        <f>SUMIFS(Tasas!$C$5:$C$36,Tasas!$A$5:$A$36,L$4,Tasas!$B$5:$B$36,G9)</f>
        <v>6.56</v>
      </c>
      <c r="M9" s="25">
        <f>SUMIFS(Tasas!$C$5:$C$36,Tasas!$A$5:$A$36,M$4,Tasas!$B$5:$B$36,H9)</f>
        <v>6.78</v>
      </c>
      <c r="N9" s="25">
        <f>SUMIFS(Tasas!$C$5:$C$36,Tasas!$A$5:$A$36,N$4,Tasas!$B$5:$B$36,I9)</f>
        <v>7</v>
      </c>
      <c r="O9" s="25">
        <f>SUMIFS(Tasas!$C$5:$C$36,Tasas!$A$5:$A$36,O$4,Tasas!$B$5:$B$36,J9)</f>
        <v>7.94</v>
      </c>
      <c r="P9" s="14">
        <f>SUMIFS(Tasas!$E$5:$E$36,Tasas!$A$5:$A$36,P$4,Tasas!$B$5:$B$36,F9)</f>
        <v>28</v>
      </c>
      <c r="Q9" s="14">
        <f>SUMIFS(Tasas!$E$5:$E$36,Tasas!$A$5:$A$36,Q$4,Tasas!$B$5:$B$36,G9)</f>
        <v>91</v>
      </c>
      <c r="R9" s="14">
        <f>SUMIFS(Tasas!$E$5:$E$36,Tasas!$A$5:$A$36,R$4,Tasas!$B$5:$B$36,H9)</f>
        <v>175</v>
      </c>
      <c r="S9" s="14">
        <f>SUMIFS(Tasas!$E$5:$E$36,Tasas!$A$5:$A$36,S$4,Tasas!$B$5:$B$36,I9)</f>
        <v>350</v>
      </c>
      <c r="T9" s="14">
        <f>SUMIFS(Tasas!$E$5:$E$36,Tasas!$A$5:$A$36,T$4,Tasas!$B$5:$B$36,J9)</f>
        <v>693</v>
      </c>
      <c r="U9" s="14">
        <f t="shared" si="1"/>
        <v>28</v>
      </c>
      <c r="V9" s="14">
        <f t="shared" si="2"/>
        <v>28</v>
      </c>
      <c r="W9" s="14">
        <f t="shared" si="3"/>
        <v>28</v>
      </c>
      <c r="X9" s="14">
        <f t="shared" si="4"/>
        <v>28</v>
      </c>
      <c r="Y9" s="15">
        <f t="shared" si="5"/>
        <v>46275</v>
      </c>
      <c r="Z9" s="15">
        <f t="shared" si="6"/>
        <v>46275</v>
      </c>
      <c r="AA9" s="25">
        <f t="shared" si="7"/>
        <v>6.25</v>
      </c>
      <c r="AB9" s="25">
        <f t="shared" si="8"/>
        <v>6.25</v>
      </c>
      <c r="AC9" s="11" t="str">
        <f t="shared" si="9"/>
        <v>extremo inferior</v>
      </c>
      <c r="AD9" s="26">
        <f t="shared" si="10"/>
        <v>6.25</v>
      </c>
      <c r="AE9" s="26">
        <f t="shared" si="11"/>
        <v>9.9585062240663902</v>
      </c>
      <c r="AF9" s="19">
        <f t="shared" si="12"/>
        <v>9.9585062000000004</v>
      </c>
      <c r="AG9" s="11" t="str">
        <f t="shared" si="13"/>
        <v>46279|BI261008</v>
      </c>
    </row>
    <row r="10" spans="1:33" x14ac:dyDescent="0.3">
      <c r="A10" s="20">
        <v>46280</v>
      </c>
      <c r="B10" s="21" t="s">
        <v>132</v>
      </c>
      <c r="C10" s="15">
        <f>INDEX(Entradas!$F$40:$F$46,MATCH(B10,Entradas!$A$40:$A$46,0))</f>
        <v>46303</v>
      </c>
      <c r="D10" s="17">
        <f>INDEX(Entradas!$G$40:$G$46,MATCH(B10,Entradas!$A$40:$A$46,0))</f>
        <v>10</v>
      </c>
      <c r="E10" s="14">
        <f t="shared" si="0"/>
        <v>23</v>
      </c>
      <c r="F10" s="15">
        <f>_xlfn.MAXIFS(Tasas!$B$5:$B$36,Tasas!$A$5:$A$36,F$4,Tasas!$B$5:$B$36,"&lt;="&amp;$A10)</f>
        <v>46275</v>
      </c>
      <c r="G10" s="15">
        <f>_xlfn.MAXIFS(Tasas!$B$5:$B$36,Tasas!$A$5:$A$36,G$4,Tasas!$B$5:$B$36,"&lt;="&amp;$A10)</f>
        <v>46275</v>
      </c>
      <c r="H10" s="15">
        <f>_xlfn.MAXIFS(Tasas!$B$5:$B$36,Tasas!$A$5:$A$36,H$4,Tasas!$B$5:$B$36,"&lt;="&amp;$A10)</f>
        <v>46275</v>
      </c>
      <c r="I10" s="15">
        <f>_xlfn.MAXIFS(Tasas!$B$5:$B$36,Tasas!$A$5:$A$36,I$4,Tasas!$B$5:$B$36,"&lt;="&amp;$A10)</f>
        <v>46268</v>
      </c>
      <c r="J10" s="15">
        <f>_xlfn.MAXIFS(Tasas!$B$5:$B$36,Tasas!$A$5:$A$36,J$4,Tasas!$B$5:$B$36,"&lt;="&amp;$A10)</f>
        <v>46275</v>
      </c>
      <c r="K10" s="25">
        <f>SUMIFS(Tasas!$C$5:$C$36,Tasas!$A$5:$A$36,K$4,Tasas!$B$5:$B$36,F10)</f>
        <v>6.25</v>
      </c>
      <c r="L10" s="25">
        <f>SUMIFS(Tasas!$C$5:$C$36,Tasas!$A$5:$A$36,L$4,Tasas!$B$5:$B$36,G10)</f>
        <v>6.56</v>
      </c>
      <c r="M10" s="25">
        <f>SUMIFS(Tasas!$C$5:$C$36,Tasas!$A$5:$A$36,M$4,Tasas!$B$5:$B$36,H10)</f>
        <v>6.78</v>
      </c>
      <c r="N10" s="25">
        <f>SUMIFS(Tasas!$C$5:$C$36,Tasas!$A$5:$A$36,N$4,Tasas!$B$5:$B$36,I10)</f>
        <v>7</v>
      </c>
      <c r="O10" s="25">
        <f>SUMIFS(Tasas!$C$5:$C$36,Tasas!$A$5:$A$36,O$4,Tasas!$B$5:$B$36,J10)</f>
        <v>7.94</v>
      </c>
      <c r="P10" s="14">
        <f>SUMIFS(Tasas!$E$5:$E$36,Tasas!$A$5:$A$36,P$4,Tasas!$B$5:$B$36,F10)</f>
        <v>28</v>
      </c>
      <c r="Q10" s="14">
        <f>SUMIFS(Tasas!$E$5:$E$36,Tasas!$A$5:$A$36,Q$4,Tasas!$B$5:$B$36,G10)</f>
        <v>91</v>
      </c>
      <c r="R10" s="14">
        <f>SUMIFS(Tasas!$E$5:$E$36,Tasas!$A$5:$A$36,R$4,Tasas!$B$5:$B$36,H10)</f>
        <v>175</v>
      </c>
      <c r="S10" s="14">
        <f>SUMIFS(Tasas!$E$5:$E$36,Tasas!$A$5:$A$36,S$4,Tasas!$B$5:$B$36,I10)</f>
        <v>350</v>
      </c>
      <c r="T10" s="14">
        <f>SUMIFS(Tasas!$E$5:$E$36,Tasas!$A$5:$A$36,T$4,Tasas!$B$5:$B$36,J10)</f>
        <v>693</v>
      </c>
      <c r="U10" s="14">
        <f t="shared" si="1"/>
        <v>28</v>
      </c>
      <c r="V10" s="14">
        <f t="shared" si="2"/>
        <v>28</v>
      </c>
      <c r="W10" s="14">
        <f t="shared" si="3"/>
        <v>28</v>
      </c>
      <c r="X10" s="14">
        <f t="shared" si="4"/>
        <v>28</v>
      </c>
      <c r="Y10" s="15">
        <f t="shared" si="5"/>
        <v>46275</v>
      </c>
      <c r="Z10" s="15">
        <f t="shared" si="6"/>
        <v>46275</v>
      </c>
      <c r="AA10" s="25">
        <f t="shared" si="7"/>
        <v>6.25</v>
      </c>
      <c r="AB10" s="25">
        <f t="shared" si="8"/>
        <v>6.25</v>
      </c>
      <c r="AC10" s="11" t="str">
        <f t="shared" si="9"/>
        <v>extremo inferior</v>
      </c>
      <c r="AD10" s="26">
        <f t="shared" si="10"/>
        <v>6.25</v>
      </c>
      <c r="AE10" s="26">
        <f t="shared" si="11"/>
        <v>9.9602282552308488</v>
      </c>
      <c r="AF10" s="19">
        <f t="shared" si="12"/>
        <v>9.9602283000000007</v>
      </c>
      <c r="AG10" s="11" t="str">
        <f t="shared" si="13"/>
        <v>46280|BI261008</v>
      </c>
    </row>
    <row r="11" spans="1:33" x14ac:dyDescent="0.3">
      <c r="A11" s="20">
        <v>46281</v>
      </c>
      <c r="B11" s="21" t="s">
        <v>132</v>
      </c>
      <c r="C11" s="15">
        <f>INDEX(Entradas!$F$40:$F$46,MATCH(B11,Entradas!$A$40:$A$46,0))</f>
        <v>46303</v>
      </c>
      <c r="D11" s="17">
        <f>INDEX(Entradas!$G$40:$G$46,MATCH(B11,Entradas!$A$40:$A$46,0))</f>
        <v>10</v>
      </c>
      <c r="E11" s="14">
        <f t="shared" si="0"/>
        <v>22</v>
      </c>
      <c r="F11" s="15">
        <f>_xlfn.MAXIFS(Tasas!$B$5:$B$36,Tasas!$A$5:$A$36,F$4,Tasas!$B$5:$B$36,"&lt;="&amp;$A11)</f>
        <v>46275</v>
      </c>
      <c r="G11" s="15">
        <f>_xlfn.MAXIFS(Tasas!$B$5:$B$36,Tasas!$A$5:$A$36,G$4,Tasas!$B$5:$B$36,"&lt;="&amp;$A11)</f>
        <v>46275</v>
      </c>
      <c r="H11" s="15">
        <f>_xlfn.MAXIFS(Tasas!$B$5:$B$36,Tasas!$A$5:$A$36,H$4,Tasas!$B$5:$B$36,"&lt;="&amp;$A11)</f>
        <v>46275</v>
      </c>
      <c r="I11" s="15">
        <f>_xlfn.MAXIFS(Tasas!$B$5:$B$36,Tasas!$A$5:$A$36,I$4,Tasas!$B$5:$B$36,"&lt;="&amp;$A11)</f>
        <v>46268</v>
      </c>
      <c r="J11" s="15">
        <f>_xlfn.MAXIFS(Tasas!$B$5:$B$36,Tasas!$A$5:$A$36,J$4,Tasas!$B$5:$B$36,"&lt;="&amp;$A11)</f>
        <v>46275</v>
      </c>
      <c r="K11" s="25">
        <f>SUMIFS(Tasas!$C$5:$C$36,Tasas!$A$5:$A$36,K$4,Tasas!$B$5:$B$36,F11)</f>
        <v>6.25</v>
      </c>
      <c r="L11" s="25">
        <f>SUMIFS(Tasas!$C$5:$C$36,Tasas!$A$5:$A$36,L$4,Tasas!$B$5:$B$36,G11)</f>
        <v>6.56</v>
      </c>
      <c r="M11" s="25">
        <f>SUMIFS(Tasas!$C$5:$C$36,Tasas!$A$5:$A$36,M$4,Tasas!$B$5:$B$36,H11)</f>
        <v>6.78</v>
      </c>
      <c r="N11" s="25">
        <f>SUMIFS(Tasas!$C$5:$C$36,Tasas!$A$5:$A$36,N$4,Tasas!$B$5:$B$36,I11)</f>
        <v>7</v>
      </c>
      <c r="O11" s="25">
        <f>SUMIFS(Tasas!$C$5:$C$36,Tasas!$A$5:$A$36,O$4,Tasas!$B$5:$B$36,J11)</f>
        <v>7.94</v>
      </c>
      <c r="P11" s="14">
        <f>SUMIFS(Tasas!$E$5:$E$36,Tasas!$A$5:$A$36,P$4,Tasas!$B$5:$B$36,F11)</f>
        <v>28</v>
      </c>
      <c r="Q11" s="14">
        <f>SUMIFS(Tasas!$E$5:$E$36,Tasas!$A$5:$A$36,Q$4,Tasas!$B$5:$B$36,G11)</f>
        <v>91</v>
      </c>
      <c r="R11" s="14">
        <f>SUMIFS(Tasas!$E$5:$E$36,Tasas!$A$5:$A$36,R$4,Tasas!$B$5:$B$36,H11)</f>
        <v>175</v>
      </c>
      <c r="S11" s="14">
        <f>SUMIFS(Tasas!$E$5:$E$36,Tasas!$A$5:$A$36,S$4,Tasas!$B$5:$B$36,I11)</f>
        <v>350</v>
      </c>
      <c r="T11" s="14">
        <f>SUMIFS(Tasas!$E$5:$E$36,Tasas!$A$5:$A$36,T$4,Tasas!$B$5:$B$36,J11)</f>
        <v>693</v>
      </c>
      <c r="U11" s="14">
        <f t="shared" si="1"/>
        <v>28</v>
      </c>
      <c r="V11" s="14">
        <f t="shared" si="2"/>
        <v>28</v>
      </c>
      <c r="W11" s="14">
        <f t="shared" si="3"/>
        <v>28</v>
      </c>
      <c r="X11" s="14">
        <f t="shared" si="4"/>
        <v>28</v>
      </c>
      <c r="Y11" s="15">
        <f t="shared" si="5"/>
        <v>46275</v>
      </c>
      <c r="Z11" s="15">
        <f t="shared" si="6"/>
        <v>46275</v>
      </c>
      <c r="AA11" s="25">
        <f t="shared" si="7"/>
        <v>6.25</v>
      </c>
      <c r="AB11" s="25">
        <f t="shared" si="8"/>
        <v>6.25</v>
      </c>
      <c r="AC11" s="11" t="str">
        <f t="shared" si="9"/>
        <v>extremo inferior</v>
      </c>
      <c r="AD11" s="26">
        <f t="shared" si="10"/>
        <v>6.25</v>
      </c>
      <c r="AE11" s="26">
        <f t="shared" si="11"/>
        <v>9.9619508820477343</v>
      </c>
      <c r="AF11" s="19">
        <f t="shared" si="12"/>
        <v>9.9619508999999997</v>
      </c>
      <c r="AG11" s="11" t="str">
        <f t="shared" si="13"/>
        <v>46281|BI261008</v>
      </c>
    </row>
    <row r="12" spans="1:33" x14ac:dyDescent="0.3">
      <c r="A12" s="20">
        <v>46282</v>
      </c>
      <c r="B12" s="21" t="s">
        <v>132</v>
      </c>
      <c r="C12" s="15">
        <f>INDEX(Entradas!$F$40:$F$46,MATCH(B12,Entradas!$A$40:$A$46,0))</f>
        <v>46303</v>
      </c>
      <c r="D12" s="17">
        <f>INDEX(Entradas!$G$40:$G$46,MATCH(B12,Entradas!$A$40:$A$46,0))</f>
        <v>10</v>
      </c>
      <c r="E12" s="14">
        <f t="shared" si="0"/>
        <v>21</v>
      </c>
      <c r="F12" s="15">
        <f>_xlfn.MAXIFS(Tasas!$B$5:$B$36,Tasas!$A$5:$A$36,F$4,Tasas!$B$5:$B$36,"&lt;="&amp;$A12)</f>
        <v>46282</v>
      </c>
      <c r="G12" s="15">
        <f>_xlfn.MAXIFS(Tasas!$B$5:$B$36,Tasas!$A$5:$A$36,G$4,Tasas!$B$5:$B$36,"&lt;="&amp;$A12)</f>
        <v>46282</v>
      </c>
      <c r="H12" s="15">
        <f>_xlfn.MAXIFS(Tasas!$B$5:$B$36,Tasas!$A$5:$A$36,H$4,Tasas!$B$5:$B$36,"&lt;="&amp;$A12)</f>
        <v>46282</v>
      </c>
      <c r="I12" s="15">
        <f>_xlfn.MAXIFS(Tasas!$B$5:$B$36,Tasas!$A$5:$A$36,I$4,Tasas!$B$5:$B$36,"&lt;="&amp;$A12)</f>
        <v>46282</v>
      </c>
      <c r="J12" s="15">
        <f>_xlfn.MAXIFS(Tasas!$B$5:$B$36,Tasas!$A$5:$A$36,J$4,Tasas!$B$5:$B$36,"&lt;="&amp;$A12)</f>
        <v>46275</v>
      </c>
      <c r="K12" s="25">
        <f>SUMIFS(Tasas!$C$5:$C$36,Tasas!$A$5:$A$36,K$4,Tasas!$B$5:$B$36,F12)</f>
        <v>6.25</v>
      </c>
      <c r="L12" s="25">
        <f>SUMIFS(Tasas!$C$5:$C$36,Tasas!$A$5:$A$36,L$4,Tasas!$B$5:$B$36,G12)</f>
        <v>6.66</v>
      </c>
      <c r="M12" s="25">
        <f>SUMIFS(Tasas!$C$5:$C$36,Tasas!$A$5:$A$36,M$4,Tasas!$B$5:$B$36,H12)</f>
        <v>6.9</v>
      </c>
      <c r="N12" s="25">
        <f>SUMIFS(Tasas!$C$5:$C$36,Tasas!$A$5:$A$36,N$4,Tasas!$B$5:$B$36,I12)</f>
        <v>7.24</v>
      </c>
      <c r="O12" s="25">
        <f>SUMIFS(Tasas!$C$5:$C$36,Tasas!$A$5:$A$36,O$4,Tasas!$B$5:$B$36,J12)</f>
        <v>7.94</v>
      </c>
      <c r="P12" s="14">
        <f>SUMIFS(Tasas!$E$5:$E$36,Tasas!$A$5:$A$36,P$4,Tasas!$B$5:$B$36,F12)</f>
        <v>28</v>
      </c>
      <c r="Q12" s="14">
        <f>SUMIFS(Tasas!$E$5:$E$36,Tasas!$A$5:$A$36,Q$4,Tasas!$B$5:$B$36,G12)</f>
        <v>91</v>
      </c>
      <c r="R12" s="14">
        <f>SUMIFS(Tasas!$E$5:$E$36,Tasas!$A$5:$A$36,R$4,Tasas!$B$5:$B$36,H12)</f>
        <v>182</v>
      </c>
      <c r="S12" s="14">
        <f>SUMIFS(Tasas!$E$5:$E$36,Tasas!$A$5:$A$36,S$4,Tasas!$B$5:$B$36,I12)</f>
        <v>363</v>
      </c>
      <c r="T12" s="14">
        <f>SUMIFS(Tasas!$E$5:$E$36,Tasas!$A$5:$A$36,T$4,Tasas!$B$5:$B$36,J12)</f>
        <v>693</v>
      </c>
      <c r="U12" s="14">
        <f t="shared" si="1"/>
        <v>28</v>
      </c>
      <c r="V12" s="14">
        <f t="shared" si="2"/>
        <v>28</v>
      </c>
      <c r="W12" s="14">
        <f t="shared" si="3"/>
        <v>28</v>
      </c>
      <c r="X12" s="14">
        <f t="shared" si="4"/>
        <v>28</v>
      </c>
      <c r="Y12" s="15">
        <f t="shared" si="5"/>
        <v>46282</v>
      </c>
      <c r="Z12" s="15">
        <f t="shared" si="6"/>
        <v>46282</v>
      </c>
      <c r="AA12" s="25">
        <f t="shared" si="7"/>
        <v>6.25</v>
      </c>
      <c r="AB12" s="25">
        <f t="shared" si="8"/>
        <v>6.25</v>
      </c>
      <c r="AC12" s="11" t="str">
        <f t="shared" si="9"/>
        <v>extremo inferior</v>
      </c>
      <c r="AD12" s="26">
        <f t="shared" si="10"/>
        <v>6.25</v>
      </c>
      <c r="AE12" s="26">
        <f t="shared" si="11"/>
        <v>9.9636741048261541</v>
      </c>
      <c r="AF12" s="19">
        <f t="shared" si="12"/>
        <v>9.9636741000000004</v>
      </c>
      <c r="AG12" s="11" t="str">
        <f t="shared" si="13"/>
        <v>46282|BI261008</v>
      </c>
    </row>
    <row r="13" spans="1:33" x14ac:dyDescent="0.3">
      <c r="A13" s="20">
        <v>46283</v>
      </c>
      <c r="B13" s="21" t="s">
        <v>132</v>
      </c>
      <c r="C13" s="15">
        <f>INDEX(Entradas!$F$40:$F$46,MATCH(B13,Entradas!$A$40:$A$46,0))</f>
        <v>46303</v>
      </c>
      <c r="D13" s="17">
        <f>INDEX(Entradas!$G$40:$G$46,MATCH(B13,Entradas!$A$40:$A$46,0))</f>
        <v>10</v>
      </c>
      <c r="E13" s="14">
        <f t="shared" si="0"/>
        <v>20</v>
      </c>
      <c r="F13" s="15">
        <f>_xlfn.MAXIFS(Tasas!$B$5:$B$36,Tasas!$A$5:$A$36,F$4,Tasas!$B$5:$B$36,"&lt;="&amp;$A13)</f>
        <v>46282</v>
      </c>
      <c r="G13" s="15">
        <f>_xlfn.MAXIFS(Tasas!$B$5:$B$36,Tasas!$A$5:$A$36,G$4,Tasas!$B$5:$B$36,"&lt;="&amp;$A13)</f>
        <v>46282</v>
      </c>
      <c r="H13" s="15">
        <f>_xlfn.MAXIFS(Tasas!$B$5:$B$36,Tasas!$A$5:$A$36,H$4,Tasas!$B$5:$B$36,"&lt;="&amp;$A13)</f>
        <v>46282</v>
      </c>
      <c r="I13" s="15">
        <f>_xlfn.MAXIFS(Tasas!$B$5:$B$36,Tasas!$A$5:$A$36,I$4,Tasas!$B$5:$B$36,"&lt;="&amp;$A13)</f>
        <v>46282</v>
      </c>
      <c r="J13" s="15">
        <f>_xlfn.MAXIFS(Tasas!$B$5:$B$36,Tasas!$A$5:$A$36,J$4,Tasas!$B$5:$B$36,"&lt;="&amp;$A13)</f>
        <v>46275</v>
      </c>
      <c r="K13" s="25">
        <f>SUMIFS(Tasas!$C$5:$C$36,Tasas!$A$5:$A$36,K$4,Tasas!$B$5:$B$36,F13)</f>
        <v>6.25</v>
      </c>
      <c r="L13" s="25">
        <f>SUMIFS(Tasas!$C$5:$C$36,Tasas!$A$5:$A$36,L$4,Tasas!$B$5:$B$36,G13)</f>
        <v>6.66</v>
      </c>
      <c r="M13" s="25">
        <f>SUMIFS(Tasas!$C$5:$C$36,Tasas!$A$5:$A$36,M$4,Tasas!$B$5:$B$36,H13)</f>
        <v>6.9</v>
      </c>
      <c r="N13" s="25">
        <f>SUMIFS(Tasas!$C$5:$C$36,Tasas!$A$5:$A$36,N$4,Tasas!$B$5:$B$36,I13)</f>
        <v>7.24</v>
      </c>
      <c r="O13" s="25">
        <f>SUMIFS(Tasas!$C$5:$C$36,Tasas!$A$5:$A$36,O$4,Tasas!$B$5:$B$36,J13)</f>
        <v>7.94</v>
      </c>
      <c r="P13" s="14">
        <f>SUMIFS(Tasas!$E$5:$E$36,Tasas!$A$5:$A$36,P$4,Tasas!$B$5:$B$36,F13)</f>
        <v>28</v>
      </c>
      <c r="Q13" s="14">
        <f>SUMIFS(Tasas!$E$5:$E$36,Tasas!$A$5:$A$36,Q$4,Tasas!$B$5:$B$36,G13)</f>
        <v>91</v>
      </c>
      <c r="R13" s="14">
        <f>SUMIFS(Tasas!$E$5:$E$36,Tasas!$A$5:$A$36,R$4,Tasas!$B$5:$B$36,H13)</f>
        <v>182</v>
      </c>
      <c r="S13" s="14">
        <f>SUMIFS(Tasas!$E$5:$E$36,Tasas!$A$5:$A$36,S$4,Tasas!$B$5:$B$36,I13)</f>
        <v>363</v>
      </c>
      <c r="T13" s="14">
        <f>SUMIFS(Tasas!$E$5:$E$36,Tasas!$A$5:$A$36,T$4,Tasas!$B$5:$B$36,J13)</f>
        <v>693</v>
      </c>
      <c r="U13" s="14">
        <f t="shared" si="1"/>
        <v>28</v>
      </c>
      <c r="V13" s="14">
        <f t="shared" si="2"/>
        <v>28</v>
      </c>
      <c r="W13" s="14">
        <f t="shared" si="3"/>
        <v>28</v>
      </c>
      <c r="X13" s="14">
        <f t="shared" si="4"/>
        <v>28</v>
      </c>
      <c r="Y13" s="15">
        <f t="shared" si="5"/>
        <v>46282</v>
      </c>
      <c r="Z13" s="15">
        <f t="shared" si="6"/>
        <v>46282</v>
      </c>
      <c r="AA13" s="25">
        <f t="shared" si="7"/>
        <v>6.25</v>
      </c>
      <c r="AB13" s="25">
        <f t="shared" si="8"/>
        <v>6.25</v>
      </c>
      <c r="AC13" s="11" t="str">
        <f t="shared" si="9"/>
        <v>extremo inferior</v>
      </c>
      <c r="AD13" s="26">
        <f t="shared" si="10"/>
        <v>6.25</v>
      </c>
      <c r="AE13" s="26">
        <f t="shared" si="11"/>
        <v>9.9653979238754307</v>
      </c>
      <c r="AF13" s="19">
        <f t="shared" si="12"/>
        <v>9.9653978999999993</v>
      </c>
      <c r="AG13" s="11" t="str">
        <f t="shared" si="13"/>
        <v>46283|BI261008</v>
      </c>
    </row>
    <row r="14" spans="1:33" x14ac:dyDescent="0.3">
      <c r="A14" s="20">
        <v>46284</v>
      </c>
      <c r="B14" s="21" t="s">
        <v>132</v>
      </c>
      <c r="C14" s="15">
        <f>INDEX(Entradas!$F$40:$F$46,MATCH(B14,Entradas!$A$40:$A$46,0))</f>
        <v>46303</v>
      </c>
      <c r="D14" s="17">
        <f>INDEX(Entradas!$G$40:$G$46,MATCH(B14,Entradas!$A$40:$A$46,0))</f>
        <v>10</v>
      </c>
      <c r="E14" s="14">
        <f t="shared" si="0"/>
        <v>19</v>
      </c>
      <c r="F14" s="15">
        <f>_xlfn.MAXIFS(Tasas!$B$5:$B$36,Tasas!$A$5:$A$36,F$4,Tasas!$B$5:$B$36,"&lt;="&amp;$A14)</f>
        <v>46282</v>
      </c>
      <c r="G14" s="15">
        <f>_xlfn.MAXIFS(Tasas!$B$5:$B$36,Tasas!$A$5:$A$36,G$4,Tasas!$B$5:$B$36,"&lt;="&amp;$A14)</f>
        <v>46282</v>
      </c>
      <c r="H14" s="15">
        <f>_xlfn.MAXIFS(Tasas!$B$5:$B$36,Tasas!$A$5:$A$36,H$4,Tasas!$B$5:$B$36,"&lt;="&amp;$A14)</f>
        <v>46282</v>
      </c>
      <c r="I14" s="15">
        <f>_xlfn.MAXIFS(Tasas!$B$5:$B$36,Tasas!$A$5:$A$36,I$4,Tasas!$B$5:$B$36,"&lt;="&amp;$A14)</f>
        <v>46282</v>
      </c>
      <c r="J14" s="15">
        <f>_xlfn.MAXIFS(Tasas!$B$5:$B$36,Tasas!$A$5:$A$36,J$4,Tasas!$B$5:$B$36,"&lt;="&amp;$A14)</f>
        <v>46275</v>
      </c>
      <c r="K14" s="25">
        <f>SUMIFS(Tasas!$C$5:$C$36,Tasas!$A$5:$A$36,K$4,Tasas!$B$5:$B$36,F14)</f>
        <v>6.25</v>
      </c>
      <c r="L14" s="25">
        <f>SUMIFS(Tasas!$C$5:$C$36,Tasas!$A$5:$A$36,L$4,Tasas!$B$5:$B$36,G14)</f>
        <v>6.66</v>
      </c>
      <c r="M14" s="25">
        <f>SUMIFS(Tasas!$C$5:$C$36,Tasas!$A$5:$A$36,M$4,Tasas!$B$5:$B$36,H14)</f>
        <v>6.9</v>
      </c>
      <c r="N14" s="25">
        <f>SUMIFS(Tasas!$C$5:$C$36,Tasas!$A$5:$A$36,N$4,Tasas!$B$5:$B$36,I14)</f>
        <v>7.24</v>
      </c>
      <c r="O14" s="25">
        <f>SUMIFS(Tasas!$C$5:$C$36,Tasas!$A$5:$A$36,O$4,Tasas!$B$5:$B$36,J14)</f>
        <v>7.94</v>
      </c>
      <c r="P14" s="14">
        <f>SUMIFS(Tasas!$E$5:$E$36,Tasas!$A$5:$A$36,P$4,Tasas!$B$5:$B$36,F14)</f>
        <v>28</v>
      </c>
      <c r="Q14" s="14">
        <f>SUMIFS(Tasas!$E$5:$E$36,Tasas!$A$5:$A$36,Q$4,Tasas!$B$5:$B$36,G14)</f>
        <v>91</v>
      </c>
      <c r="R14" s="14">
        <f>SUMIFS(Tasas!$E$5:$E$36,Tasas!$A$5:$A$36,R$4,Tasas!$B$5:$B$36,H14)</f>
        <v>182</v>
      </c>
      <c r="S14" s="14">
        <f>SUMIFS(Tasas!$E$5:$E$36,Tasas!$A$5:$A$36,S$4,Tasas!$B$5:$B$36,I14)</f>
        <v>363</v>
      </c>
      <c r="T14" s="14">
        <f>SUMIFS(Tasas!$E$5:$E$36,Tasas!$A$5:$A$36,T$4,Tasas!$B$5:$B$36,J14)</f>
        <v>693</v>
      </c>
      <c r="U14" s="14">
        <f t="shared" si="1"/>
        <v>28</v>
      </c>
      <c r="V14" s="14">
        <f t="shared" si="2"/>
        <v>28</v>
      </c>
      <c r="W14" s="14">
        <f t="shared" si="3"/>
        <v>28</v>
      </c>
      <c r="X14" s="14">
        <f t="shared" si="4"/>
        <v>28</v>
      </c>
      <c r="Y14" s="15">
        <f t="shared" si="5"/>
        <v>46282</v>
      </c>
      <c r="Z14" s="15">
        <f t="shared" si="6"/>
        <v>46282</v>
      </c>
      <c r="AA14" s="25">
        <f t="shared" si="7"/>
        <v>6.25</v>
      </c>
      <c r="AB14" s="25">
        <f t="shared" si="8"/>
        <v>6.25</v>
      </c>
      <c r="AC14" s="11" t="str">
        <f t="shared" si="9"/>
        <v>extremo inferior</v>
      </c>
      <c r="AD14" s="26">
        <f t="shared" si="10"/>
        <v>6.25</v>
      </c>
      <c r="AE14" s="26">
        <f t="shared" si="11"/>
        <v>9.9671223395051047</v>
      </c>
      <c r="AF14" s="19">
        <f t="shared" si="12"/>
        <v>9.9671222999999998</v>
      </c>
      <c r="AG14" s="11" t="str">
        <f t="shared" si="13"/>
        <v>46284|BI261008</v>
      </c>
    </row>
    <row r="15" spans="1:33" x14ac:dyDescent="0.3">
      <c r="A15" s="20">
        <v>46285</v>
      </c>
      <c r="B15" s="21" t="s">
        <v>132</v>
      </c>
      <c r="C15" s="15">
        <f>INDEX(Entradas!$F$40:$F$46,MATCH(B15,Entradas!$A$40:$A$46,0))</f>
        <v>46303</v>
      </c>
      <c r="D15" s="17">
        <f>INDEX(Entradas!$G$40:$G$46,MATCH(B15,Entradas!$A$40:$A$46,0))</f>
        <v>10</v>
      </c>
      <c r="E15" s="14">
        <f t="shared" si="0"/>
        <v>18</v>
      </c>
      <c r="F15" s="15">
        <f>_xlfn.MAXIFS(Tasas!$B$5:$B$36,Tasas!$A$5:$A$36,F$4,Tasas!$B$5:$B$36,"&lt;="&amp;$A15)</f>
        <v>46282</v>
      </c>
      <c r="G15" s="15">
        <f>_xlfn.MAXIFS(Tasas!$B$5:$B$36,Tasas!$A$5:$A$36,G$4,Tasas!$B$5:$B$36,"&lt;="&amp;$A15)</f>
        <v>46282</v>
      </c>
      <c r="H15" s="15">
        <f>_xlfn.MAXIFS(Tasas!$B$5:$B$36,Tasas!$A$5:$A$36,H$4,Tasas!$B$5:$B$36,"&lt;="&amp;$A15)</f>
        <v>46282</v>
      </c>
      <c r="I15" s="15">
        <f>_xlfn.MAXIFS(Tasas!$B$5:$B$36,Tasas!$A$5:$A$36,I$4,Tasas!$B$5:$B$36,"&lt;="&amp;$A15)</f>
        <v>46282</v>
      </c>
      <c r="J15" s="15">
        <f>_xlfn.MAXIFS(Tasas!$B$5:$B$36,Tasas!$A$5:$A$36,J$4,Tasas!$B$5:$B$36,"&lt;="&amp;$A15)</f>
        <v>46275</v>
      </c>
      <c r="K15" s="25">
        <f>SUMIFS(Tasas!$C$5:$C$36,Tasas!$A$5:$A$36,K$4,Tasas!$B$5:$B$36,F15)</f>
        <v>6.25</v>
      </c>
      <c r="L15" s="25">
        <f>SUMIFS(Tasas!$C$5:$C$36,Tasas!$A$5:$A$36,L$4,Tasas!$B$5:$B$36,G15)</f>
        <v>6.66</v>
      </c>
      <c r="M15" s="25">
        <f>SUMIFS(Tasas!$C$5:$C$36,Tasas!$A$5:$A$36,M$4,Tasas!$B$5:$B$36,H15)</f>
        <v>6.9</v>
      </c>
      <c r="N15" s="25">
        <f>SUMIFS(Tasas!$C$5:$C$36,Tasas!$A$5:$A$36,N$4,Tasas!$B$5:$B$36,I15)</f>
        <v>7.24</v>
      </c>
      <c r="O15" s="25">
        <f>SUMIFS(Tasas!$C$5:$C$36,Tasas!$A$5:$A$36,O$4,Tasas!$B$5:$B$36,J15)</f>
        <v>7.94</v>
      </c>
      <c r="P15" s="14">
        <f>SUMIFS(Tasas!$E$5:$E$36,Tasas!$A$5:$A$36,P$4,Tasas!$B$5:$B$36,F15)</f>
        <v>28</v>
      </c>
      <c r="Q15" s="14">
        <f>SUMIFS(Tasas!$E$5:$E$36,Tasas!$A$5:$A$36,Q$4,Tasas!$B$5:$B$36,G15)</f>
        <v>91</v>
      </c>
      <c r="R15" s="14">
        <f>SUMIFS(Tasas!$E$5:$E$36,Tasas!$A$5:$A$36,R$4,Tasas!$B$5:$B$36,H15)</f>
        <v>182</v>
      </c>
      <c r="S15" s="14">
        <f>SUMIFS(Tasas!$E$5:$E$36,Tasas!$A$5:$A$36,S$4,Tasas!$B$5:$B$36,I15)</f>
        <v>363</v>
      </c>
      <c r="T15" s="14">
        <f>SUMIFS(Tasas!$E$5:$E$36,Tasas!$A$5:$A$36,T$4,Tasas!$B$5:$B$36,J15)</f>
        <v>693</v>
      </c>
      <c r="U15" s="14">
        <f t="shared" si="1"/>
        <v>28</v>
      </c>
      <c r="V15" s="14">
        <f t="shared" si="2"/>
        <v>28</v>
      </c>
      <c r="W15" s="14">
        <f t="shared" si="3"/>
        <v>28</v>
      </c>
      <c r="X15" s="14">
        <f t="shared" si="4"/>
        <v>28</v>
      </c>
      <c r="Y15" s="15">
        <f t="shared" si="5"/>
        <v>46282</v>
      </c>
      <c r="Z15" s="15">
        <f t="shared" si="6"/>
        <v>46282</v>
      </c>
      <c r="AA15" s="25">
        <f t="shared" si="7"/>
        <v>6.25</v>
      </c>
      <c r="AB15" s="25">
        <f t="shared" si="8"/>
        <v>6.25</v>
      </c>
      <c r="AC15" s="11" t="str">
        <f t="shared" si="9"/>
        <v>extremo inferior</v>
      </c>
      <c r="AD15" s="26">
        <f t="shared" si="10"/>
        <v>6.25</v>
      </c>
      <c r="AE15" s="26">
        <f t="shared" si="11"/>
        <v>9.9688473520249214</v>
      </c>
      <c r="AF15" s="19">
        <f t="shared" si="12"/>
        <v>9.9688473999999996</v>
      </c>
      <c r="AG15" s="11" t="str">
        <f t="shared" si="13"/>
        <v>46285|BI261008</v>
      </c>
    </row>
    <row r="16" spans="1:33" x14ac:dyDescent="0.3">
      <c r="A16" s="20">
        <v>46286</v>
      </c>
      <c r="B16" s="21" t="s">
        <v>132</v>
      </c>
      <c r="C16" s="15">
        <f>INDEX(Entradas!$F$40:$F$46,MATCH(B16,Entradas!$A$40:$A$46,0))</f>
        <v>46303</v>
      </c>
      <c r="D16" s="17">
        <f>INDEX(Entradas!$G$40:$G$46,MATCH(B16,Entradas!$A$40:$A$46,0))</f>
        <v>10</v>
      </c>
      <c r="E16" s="14">
        <f t="shared" si="0"/>
        <v>17</v>
      </c>
      <c r="F16" s="15">
        <f>_xlfn.MAXIFS(Tasas!$B$5:$B$36,Tasas!$A$5:$A$36,F$4,Tasas!$B$5:$B$36,"&lt;="&amp;$A16)</f>
        <v>46282</v>
      </c>
      <c r="G16" s="15">
        <f>_xlfn.MAXIFS(Tasas!$B$5:$B$36,Tasas!$A$5:$A$36,G$4,Tasas!$B$5:$B$36,"&lt;="&amp;$A16)</f>
        <v>46282</v>
      </c>
      <c r="H16" s="15">
        <f>_xlfn.MAXIFS(Tasas!$B$5:$B$36,Tasas!$A$5:$A$36,H$4,Tasas!$B$5:$B$36,"&lt;="&amp;$A16)</f>
        <v>46282</v>
      </c>
      <c r="I16" s="15">
        <f>_xlfn.MAXIFS(Tasas!$B$5:$B$36,Tasas!$A$5:$A$36,I$4,Tasas!$B$5:$B$36,"&lt;="&amp;$A16)</f>
        <v>46282</v>
      </c>
      <c r="J16" s="15">
        <f>_xlfn.MAXIFS(Tasas!$B$5:$B$36,Tasas!$A$5:$A$36,J$4,Tasas!$B$5:$B$36,"&lt;="&amp;$A16)</f>
        <v>46275</v>
      </c>
      <c r="K16" s="25">
        <f>SUMIFS(Tasas!$C$5:$C$36,Tasas!$A$5:$A$36,K$4,Tasas!$B$5:$B$36,F16)</f>
        <v>6.25</v>
      </c>
      <c r="L16" s="25">
        <f>SUMIFS(Tasas!$C$5:$C$36,Tasas!$A$5:$A$36,L$4,Tasas!$B$5:$B$36,G16)</f>
        <v>6.66</v>
      </c>
      <c r="M16" s="25">
        <f>SUMIFS(Tasas!$C$5:$C$36,Tasas!$A$5:$A$36,M$4,Tasas!$B$5:$B$36,H16)</f>
        <v>6.9</v>
      </c>
      <c r="N16" s="25">
        <f>SUMIFS(Tasas!$C$5:$C$36,Tasas!$A$5:$A$36,N$4,Tasas!$B$5:$B$36,I16)</f>
        <v>7.24</v>
      </c>
      <c r="O16" s="25">
        <f>SUMIFS(Tasas!$C$5:$C$36,Tasas!$A$5:$A$36,O$4,Tasas!$B$5:$B$36,J16)</f>
        <v>7.94</v>
      </c>
      <c r="P16" s="14">
        <f>SUMIFS(Tasas!$E$5:$E$36,Tasas!$A$5:$A$36,P$4,Tasas!$B$5:$B$36,F16)</f>
        <v>28</v>
      </c>
      <c r="Q16" s="14">
        <f>SUMIFS(Tasas!$E$5:$E$36,Tasas!$A$5:$A$36,Q$4,Tasas!$B$5:$B$36,G16)</f>
        <v>91</v>
      </c>
      <c r="R16" s="14">
        <f>SUMIFS(Tasas!$E$5:$E$36,Tasas!$A$5:$A$36,R$4,Tasas!$B$5:$B$36,H16)</f>
        <v>182</v>
      </c>
      <c r="S16" s="14">
        <f>SUMIFS(Tasas!$E$5:$E$36,Tasas!$A$5:$A$36,S$4,Tasas!$B$5:$B$36,I16)</f>
        <v>363</v>
      </c>
      <c r="T16" s="14">
        <f>SUMIFS(Tasas!$E$5:$E$36,Tasas!$A$5:$A$36,T$4,Tasas!$B$5:$B$36,J16)</f>
        <v>693</v>
      </c>
      <c r="U16" s="14">
        <f t="shared" si="1"/>
        <v>28</v>
      </c>
      <c r="V16" s="14">
        <f t="shared" si="2"/>
        <v>28</v>
      </c>
      <c r="W16" s="14">
        <f t="shared" si="3"/>
        <v>28</v>
      </c>
      <c r="X16" s="14">
        <f t="shared" si="4"/>
        <v>28</v>
      </c>
      <c r="Y16" s="15">
        <f t="shared" si="5"/>
        <v>46282</v>
      </c>
      <c r="Z16" s="15">
        <f t="shared" si="6"/>
        <v>46282</v>
      </c>
      <c r="AA16" s="25">
        <f t="shared" si="7"/>
        <v>6.25</v>
      </c>
      <c r="AB16" s="25">
        <f t="shared" si="8"/>
        <v>6.25</v>
      </c>
      <c r="AC16" s="11" t="str">
        <f t="shared" si="9"/>
        <v>extremo inferior</v>
      </c>
      <c r="AD16" s="26">
        <f t="shared" si="10"/>
        <v>6.25</v>
      </c>
      <c r="AE16" s="26">
        <f t="shared" si="11"/>
        <v>9.9705729617448515</v>
      </c>
      <c r="AF16" s="19">
        <f t="shared" si="12"/>
        <v>9.9705729999999999</v>
      </c>
      <c r="AG16" s="11" t="str">
        <f t="shared" si="13"/>
        <v>46286|BI261008</v>
      </c>
    </row>
    <row r="17" spans="1:33" x14ac:dyDescent="0.3">
      <c r="A17" s="20">
        <v>46287</v>
      </c>
      <c r="B17" s="21" t="s">
        <v>132</v>
      </c>
      <c r="C17" s="15">
        <f>INDEX(Entradas!$F$40:$F$46,MATCH(B17,Entradas!$A$40:$A$46,0))</f>
        <v>46303</v>
      </c>
      <c r="D17" s="17">
        <f>INDEX(Entradas!$G$40:$G$46,MATCH(B17,Entradas!$A$40:$A$46,0))</f>
        <v>10</v>
      </c>
      <c r="E17" s="14">
        <f t="shared" si="0"/>
        <v>16</v>
      </c>
      <c r="F17" s="15">
        <f>_xlfn.MAXIFS(Tasas!$B$5:$B$36,Tasas!$A$5:$A$36,F$4,Tasas!$B$5:$B$36,"&lt;="&amp;$A17)</f>
        <v>46282</v>
      </c>
      <c r="G17" s="15">
        <f>_xlfn.MAXIFS(Tasas!$B$5:$B$36,Tasas!$A$5:$A$36,G$4,Tasas!$B$5:$B$36,"&lt;="&amp;$A17)</f>
        <v>46282</v>
      </c>
      <c r="H17" s="15">
        <f>_xlfn.MAXIFS(Tasas!$B$5:$B$36,Tasas!$A$5:$A$36,H$4,Tasas!$B$5:$B$36,"&lt;="&amp;$A17)</f>
        <v>46282</v>
      </c>
      <c r="I17" s="15">
        <f>_xlfn.MAXIFS(Tasas!$B$5:$B$36,Tasas!$A$5:$A$36,I$4,Tasas!$B$5:$B$36,"&lt;="&amp;$A17)</f>
        <v>46282</v>
      </c>
      <c r="J17" s="15">
        <f>_xlfn.MAXIFS(Tasas!$B$5:$B$36,Tasas!$A$5:$A$36,J$4,Tasas!$B$5:$B$36,"&lt;="&amp;$A17)</f>
        <v>46275</v>
      </c>
      <c r="K17" s="25">
        <f>SUMIFS(Tasas!$C$5:$C$36,Tasas!$A$5:$A$36,K$4,Tasas!$B$5:$B$36,F17)</f>
        <v>6.25</v>
      </c>
      <c r="L17" s="25">
        <f>SUMIFS(Tasas!$C$5:$C$36,Tasas!$A$5:$A$36,L$4,Tasas!$B$5:$B$36,G17)</f>
        <v>6.66</v>
      </c>
      <c r="M17" s="25">
        <f>SUMIFS(Tasas!$C$5:$C$36,Tasas!$A$5:$A$36,M$4,Tasas!$B$5:$B$36,H17)</f>
        <v>6.9</v>
      </c>
      <c r="N17" s="25">
        <f>SUMIFS(Tasas!$C$5:$C$36,Tasas!$A$5:$A$36,N$4,Tasas!$B$5:$B$36,I17)</f>
        <v>7.24</v>
      </c>
      <c r="O17" s="25">
        <f>SUMIFS(Tasas!$C$5:$C$36,Tasas!$A$5:$A$36,O$4,Tasas!$B$5:$B$36,J17)</f>
        <v>7.94</v>
      </c>
      <c r="P17" s="14">
        <f>SUMIFS(Tasas!$E$5:$E$36,Tasas!$A$5:$A$36,P$4,Tasas!$B$5:$B$36,F17)</f>
        <v>28</v>
      </c>
      <c r="Q17" s="14">
        <f>SUMIFS(Tasas!$E$5:$E$36,Tasas!$A$5:$A$36,Q$4,Tasas!$B$5:$B$36,G17)</f>
        <v>91</v>
      </c>
      <c r="R17" s="14">
        <f>SUMIFS(Tasas!$E$5:$E$36,Tasas!$A$5:$A$36,R$4,Tasas!$B$5:$B$36,H17)</f>
        <v>182</v>
      </c>
      <c r="S17" s="14">
        <f>SUMIFS(Tasas!$E$5:$E$36,Tasas!$A$5:$A$36,S$4,Tasas!$B$5:$B$36,I17)</f>
        <v>363</v>
      </c>
      <c r="T17" s="14">
        <f>SUMIFS(Tasas!$E$5:$E$36,Tasas!$A$5:$A$36,T$4,Tasas!$B$5:$B$36,J17)</f>
        <v>693</v>
      </c>
      <c r="U17" s="14">
        <f t="shared" si="1"/>
        <v>28</v>
      </c>
      <c r="V17" s="14">
        <f t="shared" si="2"/>
        <v>28</v>
      </c>
      <c r="W17" s="14">
        <f t="shared" si="3"/>
        <v>28</v>
      </c>
      <c r="X17" s="14">
        <f t="shared" si="4"/>
        <v>28</v>
      </c>
      <c r="Y17" s="15">
        <f t="shared" si="5"/>
        <v>46282</v>
      </c>
      <c r="Z17" s="15">
        <f t="shared" si="6"/>
        <v>46282</v>
      </c>
      <c r="AA17" s="25">
        <f t="shared" si="7"/>
        <v>6.25</v>
      </c>
      <c r="AB17" s="25">
        <f t="shared" si="8"/>
        <v>6.25</v>
      </c>
      <c r="AC17" s="11" t="str">
        <f t="shared" si="9"/>
        <v>extremo inferior</v>
      </c>
      <c r="AD17" s="26">
        <f t="shared" si="10"/>
        <v>6.25</v>
      </c>
      <c r="AE17" s="26">
        <f t="shared" si="11"/>
        <v>9.97229916897507</v>
      </c>
      <c r="AF17" s="19">
        <f t="shared" si="12"/>
        <v>9.9722992000000001</v>
      </c>
      <c r="AG17" s="11" t="str">
        <f t="shared" si="13"/>
        <v>46287|BI261008</v>
      </c>
    </row>
    <row r="18" spans="1:33" x14ac:dyDescent="0.3">
      <c r="A18" s="20">
        <v>46288</v>
      </c>
      <c r="B18" s="21" t="s">
        <v>132</v>
      </c>
      <c r="C18" s="15">
        <f>INDEX(Entradas!$F$40:$F$46,MATCH(B18,Entradas!$A$40:$A$46,0))</f>
        <v>46303</v>
      </c>
      <c r="D18" s="17">
        <f>INDEX(Entradas!$G$40:$G$46,MATCH(B18,Entradas!$A$40:$A$46,0))</f>
        <v>10</v>
      </c>
      <c r="E18" s="14">
        <f t="shared" si="0"/>
        <v>15</v>
      </c>
      <c r="F18" s="15">
        <f>_xlfn.MAXIFS(Tasas!$B$5:$B$36,Tasas!$A$5:$A$36,F$4,Tasas!$B$5:$B$36,"&lt;="&amp;$A18)</f>
        <v>46282</v>
      </c>
      <c r="G18" s="15">
        <f>_xlfn.MAXIFS(Tasas!$B$5:$B$36,Tasas!$A$5:$A$36,G$4,Tasas!$B$5:$B$36,"&lt;="&amp;$A18)</f>
        <v>46282</v>
      </c>
      <c r="H18" s="15">
        <f>_xlfn.MAXIFS(Tasas!$B$5:$B$36,Tasas!$A$5:$A$36,H$4,Tasas!$B$5:$B$36,"&lt;="&amp;$A18)</f>
        <v>46282</v>
      </c>
      <c r="I18" s="15">
        <f>_xlfn.MAXIFS(Tasas!$B$5:$B$36,Tasas!$A$5:$A$36,I$4,Tasas!$B$5:$B$36,"&lt;="&amp;$A18)</f>
        <v>46282</v>
      </c>
      <c r="J18" s="15">
        <f>_xlfn.MAXIFS(Tasas!$B$5:$B$36,Tasas!$A$5:$A$36,J$4,Tasas!$B$5:$B$36,"&lt;="&amp;$A18)</f>
        <v>46275</v>
      </c>
      <c r="K18" s="25">
        <f>SUMIFS(Tasas!$C$5:$C$36,Tasas!$A$5:$A$36,K$4,Tasas!$B$5:$B$36,F18)</f>
        <v>6.25</v>
      </c>
      <c r="L18" s="25">
        <f>SUMIFS(Tasas!$C$5:$C$36,Tasas!$A$5:$A$36,L$4,Tasas!$B$5:$B$36,G18)</f>
        <v>6.66</v>
      </c>
      <c r="M18" s="25">
        <f>SUMIFS(Tasas!$C$5:$C$36,Tasas!$A$5:$A$36,M$4,Tasas!$B$5:$B$36,H18)</f>
        <v>6.9</v>
      </c>
      <c r="N18" s="25">
        <f>SUMIFS(Tasas!$C$5:$C$36,Tasas!$A$5:$A$36,N$4,Tasas!$B$5:$B$36,I18)</f>
        <v>7.24</v>
      </c>
      <c r="O18" s="25">
        <f>SUMIFS(Tasas!$C$5:$C$36,Tasas!$A$5:$A$36,O$4,Tasas!$B$5:$B$36,J18)</f>
        <v>7.94</v>
      </c>
      <c r="P18" s="14">
        <f>SUMIFS(Tasas!$E$5:$E$36,Tasas!$A$5:$A$36,P$4,Tasas!$B$5:$B$36,F18)</f>
        <v>28</v>
      </c>
      <c r="Q18" s="14">
        <f>SUMIFS(Tasas!$E$5:$E$36,Tasas!$A$5:$A$36,Q$4,Tasas!$B$5:$B$36,G18)</f>
        <v>91</v>
      </c>
      <c r="R18" s="14">
        <f>SUMIFS(Tasas!$E$5:$E$36,Tasas!$A$5:$A$36,R$4,Tasas!$B$5:$B$36,H18)</f>
        <v>182</v>
      </c>
      <c r="S18" s="14">
        <f>SUMIFS(Tasas!$E$5:$E$36,Tasas!$A$5:$A$36,S$4,Tasas!$B$5:$B$36,I18)</f>
        <v>363</v>
      </c>
      <c r="T18" s="14">
        <f>SUMIFS(Tasas!$E$5:$E$36,Tasas!$A$5:$A$36,T$4,Tasas!$B$5:$B$36,J18)</f>
        <v>693</v>
      </c>
      <c r="U18" s="14">
        <f t="shared" si="1"/>
        <v>28</v>
      </c>
      <c r="V18" s="14">
        <f t="shared" si="2"/>
        <v>28</v>
      </c>
      <c r="W18" s="14">
        <f t="shared" si="3"/>
        <v>28</v>
      </c>
      <c r="X18" s="14">
        <f t="shared" si="4"/>
        <v>28</v>
      </c>
      <c r="Y18" s="15">
        <f t="shared" si="5"/>
        <v>46282</v>
      </c>
      <c r="Z18" s="15">
        <f t="shared" si="6"/>
        <v>46282</v>
      </c>
      <c r="AA18" s="25">
        <f t="shared" si="7"/>
        <v>6.25</v>
      </c>
      <c r="AB18" s="25">
        <f t="shared" si="8"/>
        <v>6.25</v>
      </c>
      <c r="AC18" s="11" t="str">
        <f t="shared" si="9"/>
        <v>extremo inferior</v>
      </c>
      <c r="AD18" s="26">
        <f t="shared" si="10"/>
        <v>6.25</v>
      </c>
      <c r="AE18" s="26">
        <f t="shared" si="11"/>
        <v>9.9740259740259738</v>
      </c>
      <c r="AF18" s="19">
        <f t="shared" si="12"/>
        <v>9.9740260000000003</v>
      </c>
      <c r="AG18" s="11" t="str">
        <f t="shared" si="13"/>
        <v>46288|BI261008</v>
      </c>
    </row>
    <row r="19" spans="1:33" x14ac:dyDescent="0.3">
      <c r="A19" s="20">
        <v>46289</v>
      </c>
      <c r="B19" s="21" t="s">
        <v>132</v>
      </c>
      <c r="C19" s="15">
        <f>INDEX(Entradas!$F$40:$F$46,MATCH(B19,Entradas!$A$40:$A$46,0))</f>
        <v>46303</v>
      </c>
      <c r="D19" s="17">
        <f>INDEX(Entradas!$G$40:$G$46,MATCH(B19,Entradas!$A$40:$A$46,0))</f>
        <v>10</v>
      </c>
      <c r="E19" s="14">
        <f t="shared" si="0"/>
        <v>14</v>
      </c>
      <c r="F19" s="15">
        <f>_xlfn.MAXIFS(Tasas!$B$5:$B$36,Tasas!$A$5:$A$36,F$4,Tasas!$B$5:$B$36,"&lt;="&amp;$A19)</f>
        <v>46289</v>
      </c>
      <c r="G19" s="15">
        <f>_xlfn.MAXIFS(Tasas!$B$5:$B$36,Tasas!$A$5:$A$36,G$4,Tasas!$B$5:$B$36,"&lt;="&amp;$A19)</f>
        <v>46289</v>
      </c>
      <c r="H19" s="15">
        <f>_xlfn.MAXIFS(Tasas!$B$5:$B$36,Tasas!$A$5:$A$36,H$4,Tasas!$B$5:$B$36,"&lt;="&amp;$A19)</f>
        <v>46289</v>
      </c>
      <c r="I19" s="15">
        <f>_xlfn.MAXIFS(Tasas!$B$5:$B$36,Tasas!$A$5:$A$36,I$4,Tasas!$B$5:$B$36,"&lt;="&amp;$A19)</f>
        <v>46282</v>
      </c>
      <c r="J19" s="15">
        <f>_xlfn.MAXIFS(Tasas!$B$5:$B$36,Tasas!$A$5:$A$36,J$4,Tasas!$B$5:$B$36,"&lt;="&amp;$A19)</f>
        <v>46289</v>
      </c>
      <c r="K19" s="25">
        <f>SUMIFS(Tasas!$C$5:$C$36,Tasas!$A$5:$A$36,K$4,Tasas!$B$5:$B$36,F19)</f>
        <v>6.15</v>
      </c>
      <c r="L19" s="25">
        <f>SUMIFS(Tasas!$C$5:$C$36,Tasas!$A$5:$A$36,L$4,Tasas!$B$5:$B$36,G19)</f>
        <v>6.59</v>
      </c>
      <c r="M19" s="25">
        <f>SUMIFS(Tasas!$C$5:$C$36,Tasas!$A$5:$A$36,M$4,Tasas!$B$5:$B$36,H19)</f>
        <v>6.91</v>
      </c>
      <c r="N19" s="25">
        <f>SUMIFS(Tasas!$C$5:$C$36,Tasas!$A$5:$A$36,N$4,Tasas!$B$5:$B$36,I19)</f>
        <v>7.24</v>
      </c>
      <c r="O19" s="25">
        <f>SUMIFS(Tasas!$C$5:$C$36,Tasas!$A$5:$A$36,O$4,Tasas!$B$5:$B$36,J19)</f>
        <v>8.01</v>
      </c>
      <c r="P19" s="14">
        <f>SUMIFS(Tasas!$E$5:$E$36,Tasas!$A$5:$A$36,P$4,Tasas!$B$5:$B$36,F19)</f>
        <v>28</v>
      </c>
      <c r="Q19" s="14">
        <f>SUMIFS(Tasas!$E$5:$E$36,Tasas!$A$5:$A$36,Q$4,Tasas!$B$5:$B$36,G19)</f>
        <v>91</v>
      </c>
      <c r="R19" s="14">
        <f>SUMIFS(Tasas!$E$5:$E$36,Tasas!$A$5:$A$36,R$4,Tasas!$B$5:$B$36,H19)</f>
        <v>175</v>
      </c>
      <c r="S19" s="14">
        <f>SUMIFS(Tasas!$E$5:$E$36,Tasas!$A$5:$A$36,S$4,Tasas!$B$5:$B$36,I19)</f>
        <v>363</v>
      </c>
      <c r="T19" s="14">
        <f>SUMIFS(Tasas!$E$5:$E$36,Tasas!$A$5:$A$36,T$4,Tasas!$B$5:$B$36,J19)</f>
        <v>679</v>
      </c>
      <c r="U19" s="14">
        <f t="shared" si="1"/>
        <v>28</v>
      </c>
      <c r="V19" s="14">
        <f t="shared" si="2"/>
        <v>28</v>
      </c>
      <c r="W19" s="14">
        <f t="shared" si="3"/>
        <v>28</v>
      </c>
      <c r="X19" s="14">
        <f t="shared" si="4"/>
        <v>28</v>
      </c>
      <c r="Y19" s="15">
        <f t="shared" si="5"/>
        <v>46289</v>
      </c>
      <c r="Z19" s="15">
        <f t="shared" si="6"/>
        <v>46289</v>
      </c>
      <c r="AA19" s="25">
        <f t="shared" si="7"/>
        <v>6.15</v>
      </c>
      <c r="AB19" s="25">
        <f t="shared" si="8"/>
        <v>6.15</v>
      </c>
      <c r="AC19" s="11" t="str">
        <f t="shared" si="9"/>
        <v>extremo inferior</v>
      </c>
      <c r="AD19" s="26">
        <f t="shared" si="10"/>
        <v>6.15</v>
      </c>
      <c r="AE19" s="26">
        <f t="shared" si="11"/>
        <v>9.9761403975491962</v>
      </c>
      <c r="AF19" s="19">
        <f t="shared" si="12"/>
        <v>9.9761404000000002</v>
      </c>
      <c r="AG19" s="11" t="str">
        <f t="shared" si="13"/>
        <v>46289|BI261008</v>
      </c>
    </row>
    <row r="20" spans="1:33" x14ac:dyDescent="0.3">
      <c r="A20" s="20">
        <v>46290</v>
      </c>
      <c r="B20" s="21" t="s">
        <v>132</v>
      </c>
      <c r="C20" s="15">
        <f>INDEX(Entradas!$F$40:$F$46,MATCH(B20,Entradas!$A$40:$A$46,0))</f>
        <v>46303</v>
      </c>
      <c r="D20" s="17">
        <f>INDEX(Entradas!$G$40:$G$46,MATCH(B20,Entradas!$A$40:$A$46,0))</f>
        <v>10</v>
      </c>
      <c r="E20" s="14">
        <f t="shared" si="0"/>
        <v>13</v>
      </c>
      <c r="F20" s="15">
        <f>_xlfn.MAXIFS(Tasas!$B$5:$B$36,Tasas!$A$5:$A$36,F$4,Tasas!$B$5:$B$36,"&lt;="&amp;$A20)</f>
        <v>46289</v>
      </c>
      <c r="G20" s="15">
        <f>_xlfn.MAXIFS(Tasas!$B$5:$B$36,Tasas!$A$5:$A$36,G$4,Tasas!$B$5:$B$36,"&lt;="&amp;$A20)</f>
        <v>46289</v>
      </c>
      <c r="H20" s="15">
        <f>_xlfn.MAXIFS(Tasas!$B$5:$B$36,Tasas!$A$5:$A$36,H$4,Tasas!$B$5:$B$36,"&lt;="&amp;$A20)</f>
        <v>46289</v>
      </c>
      <c r="I20" s="15">
        <f>_xlfn.MAXIFS(Tasas!$B$5:$B$36,Tasas!$A$5:$A$36,I$4,Tasas!$B$5:$B$36,"&lt;="&amp;$A20)</f>
        <v>46282</v>
      </c>
      <c r="J20" s="15">
        <f>_xlfn.MAXIFS(Tasas!$B$5:$B$36,Tasas!$A$5:$A$36,J$4,Tasas!$B$5:$B$36,"&lt;="&amp;$A20)</f>
        <v>46289</v>
      </c>
      <c r="K20" s="25">
        <f>SUMIFS(Tasas!$C$5:$C$36,Tasas!$A$5:$A$36,K$4,Tasas!$B$5:$B$36,F20)</f>
        <v>6.15</v>
      </c>
      <c r="L20" s="25">
        <f>SUMIFS(Tasas!$C$5:$C$36,Tasas!$A$5:$A$36,L$4,Tasas!$B$5:$B$36,G20)</f>
        <v>6.59</v>
      </c>
      <c r="M20" s="25">
        <f>SUMIFS(Tasas!$C$5:$C$36,Tasas!$A$5:$A$36,M$4,Tasas!$B$5:$B$36,H20)</f>
        <v>6.91</v>
      </c>
      <c r="N20" s="25">
        <f>SUMIFS(Tasas!$C$5:$C$36,Tasas!$A$5:$A$36,N$4,Tasas!$B$5:$B$36,I20)</f>
        <v>7.24</v>
      </c>
      <c r="O20" s="25">
        <f>SUMIFS(Tasas!$C$5:$C$36,Tasas!$A$5:$A$36,O$4,Tasas!$B$5:$B$36,J20)</f>
        <v>8.01</v>
      </c>
      <c r="P20" s="14">
        <f>SUMIFS(Tasas!$E$5:$E$36,Tasas!$A$5:$A$36,P$4,Tasas!$B$5:$B$36,F20)</f>
        <v>28</v>
      </c>
      <c r="Q20" s="14">
        <f>SUMIFS(Tasas!$E$5:$E$36,Tasas!$A$5:$A$36,Q$4,Tasas!$B$5:$B$36,G20)</f>
        <v>91</v>
      </c>
      <c r="R20" s="14">
        <f>SUMIFS(Tasas!$E$5:$E$36,Tasas!$A$5:$A$36,R$4,Tasas!$B$5:$B$36,H20)</f>
        <v>175</v>
      </c>
      <c r="S20" s="14">
        <f>SUMIFS(Tasas!$E$5:$E$36,Tasas!$A$5:$A$36,S$4,Tasas!$B$5:$B$36,I20)</f>
        <v>363</v>
      </c>
      <c r="T20" s="14">
        <f>SUMIFS(Tasas!$E$5:$E$36,Tasas!$A$5:$A$36,T$4,Tasas!$B$5:$B$36,J20)</f>
        <v>679</v>
      </c>
      <c r="U20" s="14">
        <f t="shared" si="1"/>
        <v>28</v>
      </c>
      <c r="V20" s="14">
        <f t="shared" si="2"/>
        <v>28</v>
      </c>
      <c r="W20" s="14">
        <f t="shared" si="3"/>
        <v>28</v>
      </c>
      <c r="X20" s="14">
        <f t="shared" si="4"/>
        <v>28</v>
      </c>
      <c r="Y20" s="15">
        <f t="shared" si="5"/>
        <v>46289</v>
      </c>
      <c r="Z20" s="15">
        <f t="shared" si="6"/>
        <v>46289</v>
      </c>
      <c r="AA20" s="25">
        <f t="shared" si="7"/>
        <v>6.15</v>
      </c>
      <c r="AB20" s="25">
        <f t="shared" si="8"/>
        <v>6.15</v>
      </c>
      <c r="AC20" s="11" t="str">
        <f t="shared" si="9"/>
        <v>extremo inferior</v>
      </c>
      <c r="AD20" s="26">
        <f t="shared" si="10"/>
        <v>6.15</v>
      </c>
      <c r="AE20" s="26">
        <f t="shared" si="11"/>
        <v>9.977840878382592</v>
      </c>
      <c r="AF20" s="19">
        <f t="shared" si="12"/>
        <v>9.9778409000000003</v>
      </c>
      <c r="AG20" s="11" t="str">
        <f t="shared" si="13"/>
        <v>46290|BI261008</v>
      </c>
    </row>
    <row r="21" spans="1:33" x14ac:dyDescent="0.3">
      <c r="A21" s="20">
        <v>46291</v>
      </c>
      <c r="B21" s="21" t="s">
        <v>132</v>
      </c>
      <c r="C21" s="15">
        <f>INDEX(Entradas!$F$40:$F$46,MATCH(B21,Entradas!$A$40:$A$46,0))</f>
        <v>46303</v>
      </c>
      <c r="D21" s="17">
        <f>INDEX(Entradas!$G$40:$G$46,MATCH(B21,Entradas!$A$40:$A$46,0))</f>
        <v>10</v>
      </c>
      <c r="E21" s="14">
        <f t="shared" si="0"/>
        <v>12</v>
      </c>
      <c r="F21" s="15">
        <f>_xlfn.MAXIFS(Tasas!$B$5:$B$36,Tasas!$A$5:$A$36,F$4,Tasas!$B$5:$B$36,"&lt;="&amp;$A21)</f>
        <v>46289</v>
      </c>
      <c r="G21" s="15">
        <f>_xlfn.MAXIFS(Tasas!$B$5:$B$36,Tasas!$A$5:$A$36,G$4,Tasas!$B$5:$B$36,"&lt;="&amp;$A21)</f>
        <v>46289</v>
      </c>
      <c r="H21" s="15">
        <f>_xlfn.MAXIFS(Tasas!$B$5:$B$36,Tasas!$A$5:$A$36,H$4,Tasas!$B$5:$B$36,"&lt;="&amp;$A21)</f>
        <v>46289</v>
      </c>
      <c r="I21" s="15">
        <f>_xlfn.MAXIFS(Tasas!$B$5:$B$36,Tasas!$A$5:$A$36,I$4,Tasas!$B$5:$B$36,"&lt;="&amp;$A21)</f>
        <v>46282</v>
      </c>
      <c r="J21" s="15">
        <f>_xlfn.MAXIFS(Tasas!$B$5:$B$36,Tasas!$A$5:$A$36,J$4,Tasas!$B$5:$B$36,"&lt;="&amp;$A21)</f>
        <v>46289</v>
      </c>
      <c r="K21" s="25">
        <f>SUMIFS(Tasas!$C$5:$C$36,Tasas!$A$5:$A$36,K$4,Tasas!$B$5:$B$36,F21)</f>
        <v>6.15</v>
      </c>
      <c r="L21" s="25">
        <f>SUMIFS(Tasas!$C$5:$C$36,Tasas!$A$5:$A$36,L$4,Tasas!$B$5:$B$36,G21)</f>
        <v>6.59</v>
      </c>
      <c r="M21" s="25">
        <f>SUMIFS(Tasas!$C$5:$C$36,Tasas!$A$5:$A$36,M$4,Tasas!$B$5:$B$36,H21)</f>
        <v>6.91</v>
      </c>
      <c r="N21" s="25">
        <f>SUMIFS(Tasas!$C$5:$C$36,Tasas!$A$5:$A$36,N$4,Tasas!$B$5:$B$36,I21)</f>
        <v>7.24</v>
      </c>
      <c r="O21" s="25">
        <f>SUMIFS(Tasas!$C$5:$C$36,Tasas!$A$5:$A$36,O$4,Tasas!$B$5:$B$36,J21)</f>
        <v>8.01</v>
      </c>
      <c r="P21" s="14">
        <f>SUMIFS(Tasas!$E$5:$E$36,Tasas!$A$5:$A$36,P$4,Tasas!$B$5:$B$36,F21)</f>
        <v>28</v>
      </c>
      <c r="Q21" s="14">
        <f>SUMIFS(Tasas!$E$5:$E$36,Tasas!$A$5:$A$36,Q$4,Tasas!$B$5:$B$36,G21)</f>
        <v>91</v>
      </c>
      <c r="R21" s="14">
        <f>SUMIFS(Tasas!$E$5:$E$36,Tasas!$A$5:$A$36,R$4,Tasas!$B$5:$B$36,H21)</f>
        <v>175</v>
      </c>
      <c r="S21" s="14">
        <f>SUMIFS(Tasas!$E$5:$E$36,Tasas!$A$5:$A$36,S$4,Tasas!$B$5:$B$36,I21)</f>
        <v>363</v>
      </c>
      <c r="T21" s="14">
        <f>SUMIFS(Tasas!$E$5:$E$36,Tasas!$A$5:$A$36,T$4,Tasas!$B$5:$B$36,J21)</f>
        <v>679</v>
      </c>
      <c r="U21" s="14">
        <f t="shared" si="1"/>
        <v>28</v>
      </c>
      <c r="V21" s="14">
        <f t="shared" si="2"/>
        <v>28</v>
      </c>
      <c r="W21" s="14">
        <f t="shared" si="3"/>
        <v>28</v>
      </c>
      <c r="X21" s="14">
        <f t="shared" si="4"/>
        <v>28</v>
      </c>
      <c r="Y21" s="15">
        <f t="shared" si="5"/>
        <v>46289</v>
      </c>
      <c r="Z21" s="15">
        <f t="shared" si="6"/>
        <v>46289</v>
      </c>
      <c r="AA21" s="25">
        <f t="shared" si="7"/>
        <v>6.15</v>
      </c>
      <c r="AB21" s="25">
        <f t="shared" si="8"/>
        <v>6.15</v>
      </c>
      <c r="AC21" s="11" t="str">
        <f t="shared" si="9"/>
        <v>extremo inferior</v>
      </c>
      <c r="AD21" s="26">
        <f t="shared" si="10"/>
        <v>6.15</v>
      </c>
      <c r="AE21" s="26">
        <f t="shared" si="11"/>
        <v>9.9795419390249975</v>
      </c>
      <c r="AF21" s="19">
        <f t="shared" si="12"/>
        <v>9.9795418999999992</v>
      </c>
      <c r="AG21" s="11" t="str">
        <f t="shared" si="13"/>
        <v>46291|BI261008</v>
      </c>
    </row>
    <row r="22" spans="1:33" x14ac:dyDescent="0.3">
      <c r="A22" s="20">
        <v>46292</v>
      </c>
      <c r="B22" s="21" t="s">
        <v>132</v>
      </c>
      <c r="C22" s="15">
        <f>INDEX(Entradas!$F$40:$F$46,MATCH(B22,Entradas!$A$40:$A$46,0))</f>
        <v>46303</v>
      </c>
      <c r="D22" s="17">
        <f>INDEX(Entradas!$G$40:$G$46,MATCH(B22,Entradas!$A$40:$A$46,0))</f>
        <v>10</v>
      </c>
      <c r="E22" s="14">
        <f t="shared" si="0"/>
        <v>11</v>
      </c>
      <c r="F22" s="15">
        <f>_xlfn.MAXIFS(Tasas!$B$5:$B$36,Tasas!$A$5:$A$36,F$4,Tasas!$B$5:$B$36,"&lt;="&amp;$A22)</f>
        <v>46289</v>
      </c>
      <c r="G22" s="15">
        <f>_xlfn.MAXIFS(Tasas!$B$5:$B$36,Tasas!$A$5:$A$36,G$4,Tasas!$B$5:$B$36,"&lt;="&amp;$A22)</f>
        <v>46289</v>
      </c>
      <c r="H22" s="15">
        <f>_xlfn.MAXIFS(Tasas!$B$5:$B$36,Tasas!$A$5:$A$36,H$4,Tasas!$B$5:$B$36,"&lt;="&amp;$A22)</f>
        <v>46289</v>
      </c>
      <c r="I22" s="15">
        <f>_xlfn.MAXIFS(Tasas!$B$5:$B$36,Tasas!$A$5:$A$36,I$4,Tasas!$B$5:$B$36,"&lt;="&amp;$A22)</f>
        <v>46282</v>
      </c>
      <c r="J22" s="15">
        <f>_xlfn.MAXIFS(Tasas!$B$5:$B$36,Tasas!$A$5:$A$36,J$4,Tasas!$B$5:$B$36,"&lt;="&amp;$A22)</f>
        <v>46289</v>
      </c>
      <c r="K22" s="25">
        <f>SUMIFS(Tasas!$C$5:$C$36,Tasas!$A$5:$A$36,K$4,Tasas!$B$5:$B$36,F22)</f>
        <v>6.15</v>
      </c>
      <c r="L22" s="25">
        <f>SUMIFS(Tasas!$C$5:$C$36,Tasas!$A$5:$A$36,L$4,Tasas!$B$5:$B$36,G22)</f>
        <v>6.59</v>
      </c>
      <c r="M22" s="25">
        <f>SUMIFS(Tasas!$C$5:$C$36,Tasas!$A$5:$A$36,M$4,Tasas!$B$5:$B$36,H22)</f>
        <v>6.91</v>
      </c>
      <c r="N22" s="25">
        <f>SUMIFS(Tasas!$C$5:$C$36,Tasas!$A$5:$A$36,N$4,Tasas!$B$5:$B$36,I22)</f>
        <v>7.24</v>
      </c>
      <c r="O22" s="25">
        <f>SUMIFS(Tasas!$C$5:$C$36,Tasas!$A$5:$A$36,O$4,Tasas!$B$5:$B$36,J22)</f>
        <v>8.01</v>
      </c>
      <c r="P22" s="14">
        <f>SUMIFS(Tasas!$E$5:$E$36,Tasas!$A$5:$A$36,P$4,Tasas!$B$5:$B$36,F22)</f>
        <v>28</v>
      </c>
      <c r="Q22" s="14">
        <f>SUMIFS(Tasas!$E$5:$E$36,Tasas!$A$5:$A$36,Q$4,Tasas!$B$5:$B$36,G22)</f>
        <v>91</v>
      </c>
      <c r="R22" s="14">
        <f>SUMIFS(Tasas!$E$5:$E$36,Tasas!$A$5:$A$36,R$4,Tasas!$B$5:$B$36,H22)</f>
        <v>175</v>
      </c>
      <c r="S22" s="14">
        <f>SUMIFS(Tasas!$E$5:$E$36,Tasas!$A$5:$A$36,S$4,Tasas!$B$5:$B$36,I22)</f>
        <v>363</v>
      </c>
      <c r="T22" s="14">
        <f>SUMIFS(Tasas!$E$5:$E$36,Tasas!$A$5:$A$36,T$4,Tasas!$B$5:$B$36,J22)</f>
        <v>679</v>
      </c>
      <c r="U22" s="14">
        <f t="shared" si="1"/>
        <v>28</v>
      </c>
      <c r="V22" s="14">
        <f t="shared" si="2"/>
        <v>28</v>
      </c>
      <c r="W22" s="14">
        <f t="shared" si="3"/>
        <v>28</v>
      </c>
      <c r="X22" s="14">
        <f t="shared" si="4"/>
        <v>28</v>
      </c>
      <c r="Y22" s="15">
        <f t="shared" si="5"/>
        <v>46289</v>
      </c>
      <c r="Z22" s="15">
        <f t="shared" si="6"/>
        <v>46289</v>
      </c>
      <c r="AA22" s="25">
        <f t="shared" si="7"/>
        <v>6.15</v>
      </c>
      <c r="AB22" s="25">
        <f t="shared" si="8"/>
        <v>6.15</v>
      </c>
      <c r="AC22" s="11" t="str">
        <f t="shared" si="9"/>
        <v>extremo inferior</v>
      </c>
      <c r="AD22" s="26">
        <f t="shared" si="10"/>
        <v>6.15</v>
      </c>
      <c r="AE22" s="26">
        <f t="shared" si="11"/>
        <v>9.9812435797730092</v>
      </c>
      <c r="AF22" s="19">
        <f t="shared" si="12"/>
        <v>9.9812436000000009</v>
      </c>
      <c r="AG22" s="11" t="str">
        <f t="shared" si="13"/>
        <v>46292|BI261008</v>
      </c>
    </row>
    <row r="23" spans="1:33" x14ac:dyDescent="0.3">
      <c r="A23" s="20">
        <v>46293</v>
      </c>
      <c r="B23" s="21" t="s">
        <v>132</v>
      </c>
      <c r="C23" s="15">
        <f>INDEX(Entradas!$F$40:$F$46,MATCH(B23,Entradas!$A$40:$A$46,0))</f>
        <v>46303</v>
      </c>
      <c r="D23" s="17">
        <f>INDEX(Entradas!$G$40:$G$46,MATCH(B23,Entradas!$A$40:$A$46,0))</f>
        <v>10</v>
      </c>
      <c r="E23" s="14">
        <f t="shared" si="0"/>
        <v>10</v>
      </c>
      <c r="F23" s="15">
        <f>_xlfn.MAXIFS(Tasas!$B$5:$B$36,Tasas!$A$5:$A$36,F$4,Tasas!$B$5:$B$36,"&lt;="&amp;$A23)</f>
        <v>46289</v>
      </c>
      <c r="G23" s="15">
        <f>_xlfn.MAXIFS(Tasas!$B$5:$B$36,Tasas!$A$5:$A$36,G$4,Tasas!$B$5:$B$36,"&lt;="&amp;$A23)</f>
        <v>46289</v>
      </c>
      <c r="H23" s="15">
        <f>_xlfn.MAXIFS(Tasas!$B$5:$B$36,Tasas!$A$5:$A$36,H$4,Tasas!$B$5:$B$36,"&lt;="&amp;$A23)</f>
        <v>46289</v>
      </c>
      <c r="I23" s="15">
        <f>_xlfn.MAXIFS(Tasas!$B$5:$B$36,Tasas!$A$5:$A$36,I$4,Tasas!$B$5:$B$36,"&lt;="&amp;$A23)</f>
        <v>46282</v>
      </c>
      <c r="J23" s="15">
        <f>_xlfn.MAXIFS(Tasas!$B$5:$B$36,Tasas!$A$5:$A$36,J$4,Tasas!$B$5:$B$36,"&lt;="&amp;$A23)</f>
        <v>46289</v>
      </c>
      <c r="K23" s="25">
        <f>SUMIFS(Tasas!$C$5:$C$36,Tasas!$A$5:$A$36,K$4,Tasas!$B$5:$B$36,F23)</f>
        <v>6.15</v>
      </c>
      <c r="L23" s="25">
        <f>SUMIFS(Tasas!$C$5:$C$36,Tasas!$A$5:$A$36,L$4,Tasas!$B$5:$B$36,G23)</f>
        <v>6.59</v>
      </c>
      <c r="M23" s="25">
        <f>SUMIFS(Tasas!$C$5:$C$36,Tasas!$A$5:$A$36,M$4,Tasas!$B$5:$B$36,H23)</f>
        <v>6.91</v>
      </c>
      <c r="N23" s="25">
        <f>SUMIFS(Tasas!$C$5:$C$36,Tasas!$A$5:$A$36,N$4,Tasas!$B$5:$B$36,I23)</f>
        <v>7.24</v>
      </c>
      <c r="O23" s="25">
        <f>SUMIFS(Tasas!$C$5:$C$36,Tasas!$A$5:$A$36,O$4,Tasas!$B$5:$B$36,J23)</f>
        <v>8.01</v>
      </c>
      <c r="P23" s="14">
        <f>SUMIFS(Tasas!$E$5:$E$36,Tasas!$A$5:$A$36,P$4,Tasas!$B$5:$B$36,F23)</f>
        <v>28</v>
      </c>
      <c r="Q23" s="14">
        <f>SUMIFS(Tasas!$E$5:$E$36,Tasas!$A$5:$A$36,Q$4,Tasas!$B$5:$B$36,G23)</f>
        <v>91</v>
      </c>
      <c r="R23" s="14">
        <f>SUMIFS(Tasas!$E$5:$E$36,Tasas!$A$5:$A$36,R$4,Tasas!$B$5:$B$36,H23)</f>
        <v>175</v>
      </c>
      <c r="S23" s="14">
        <f>SUMIFS(Tasas!$E$5:$E$36,Tasas!$A$5:$A$36,S$4,Tasas!$B$5:$B$36,I23)</f>
        <v>363</v>
      </c>
      <c r="T23" s="14">
        <f>SUMIFS(Tasas!$E$5:$E$36,Tasas!$A$5:$A$36,T$4,Tasas!$B$5:$B$36,J23)</f>
        <v>679</v>
      </c>
      <c r="U23" s="14">
        <f t="shared" si="1"/>
        <v>28</v>
      </c>
      <c r="V23" s="14">
        <f t="shared" si="2"/>
        <v>28</v>
      </c>
      <c r="W23" s="14">
        <f t="shared" si="3"/>
        <v>28</v>
      </c>
      <c r="X23" s="14">
        <f t="shared" si="4"/>
        <v>28</v>
      </c>
      <c r="Y23" s="15">
        <f t="shared" si="5"/>
        <v>46289</v>
      </c>
      <c r="Z23" s="15">
        <f t="shared" si="6"/>
        <v>46289</v>
      </c>
      <c r="AA23" s="25">
        <f t="shared" si="7"/>
        <v>6.15</v>
      </c>
      <c r="AB23" s="25">
        <f t="shared" si="8"/>
        <v>6.15</v>
      </c>
      <c r="AC23" s="11" t="str">
        <f t="shared" si="9"/>
        <v>extremo inferior</v>
      </c>
      <c r="AD23" s="26">
        <f t="shared" si="10"/>
        <v>6.15</v>
      </c>
      <c r="AE23" s="26">
        <f t="shared" si="11"/>
        <v>9.9829458009234209</v>
      </c>
      <c r="AF23" s="19">
        <f t="shared" si="12"/>
        <v>9.9829457999999995</v>
      </c>
      <c r="AG23" s="11" t="str">
        <f t="shared" si="13"/>
        <v>46293|BI261008</v>
      </c>
    </row>
    <row r="24" spans="1:33" x14ac:dyDescent="0.3">
      <c r="A24" s="20">
        <v>46294</v>
      </c>
      <c r="B24" s="21" t="s">
        <v>132</v>
      </c>
      <c r="C24" s="15">
        <f>INDEX(Entradas!$F$40:$F$46,MATCH(B24,Entradas!$A$40:$A$46,0))</f>
        <v>46303</v>
      </c>
      <c r="D24" s="17">
        <f>INDEX(Entradas!$G$40:$G$46,MATCH(B24,Entradas!$A$40:$A$46,0))</f>
        <v>10</v>
      </c>
      <c r="E24" s="14">
        <f t="shared" si="0"/>
        <v>9</v>
      </c>
      <c r="F24" s="15">
        <f>_xlfn.MAXIFS(Tasas!$B$5:$B$36,Tasas!$A$5:$A$36,F$4,Tasas!$B$5:$B$36,"&lt;="&amp;$A24)</f>
        <v>46289</v>
      </c>
      <c r="G24" s="15">
        <f>_xlfn.MAXIFS(Tasas!$B$5:$B$36,Tasas!$A$5:$A$36,G$4,Tasas!$B$5:$B$36,"&lt;="&amp;$A24)</f>
        <v>46289</v>
      </c>
      <c r="H24" s="15">
        <f>_xlfn.MAXIFS(Tasas!$B$5:$B$36,Tasas!$A$5:$A$36,H$4,Tasas!$B$5:$B$36,"&lt;="&amp;$A24)</f>
        <v>46289</v>
      </c>
      <c r="I24" s="15">
        <f>_xlfn.MAXIFS(Tasas!$B$5:$B$36,Tasas!$A$5:$A$36,I$4,Tasas!$B$5:$B$36,"&lt;="&amp;$A24)</f>
        <v>46282</v>
      </c>
      <c r="J24" s="15">
        <f>_xlfn.MAXIFS(Tasas!$B$5:$B$36,Tasas!$A$5:$A$36,J$4,Tasas!$B$5:$B$36,"&lt;="&amp;$A24)</f>
        <v>46289</v>
      </c>
      <c r="K24" s="25">
        <f>SUMIFS(Tasas!$C$5:$C$36,Tasas!$A$5:$A$36,K$4,Tasas!$B$5:$B$36,F24)</f>
        <v>6.15</v>
      </c>
      <c r="L24" s="25">
        <f>SUMIFS(Tasas!$C$5:$C$36,Tasas!$A$5:$A$36,L$4,Tasas!$B$5:$B$36,G24)</f>
        <v>6.59</v>
      </c>
      <c r="M24" s="25">
        <f>SUMIFS(Tasas!$C$5:$C$36,Tasas!$A$5:$A$36,M$4,Tasas!$B$5:$B$36,H24)</f>
        <v>6.91</v>
      </c>
      <c r="N24" s="25">
        <f>SUMIFS(Tasas!$C$5:$C$36,Tasas!$A$5:$A$36,N$4,Tasas!$B$5:$B$36,I24)</f>
        <v>7.24</v>
      </c>
      <c r="O24" s="25">
        <f>SUMIFS(Tasas!$C$5:$C$36,Tasas!$A$5:$A$36,O$4,Tasas!$B$5:$B$36,J24)</f>
        <v>8.01</v>
      </c>
      <c r="P24" s="14">
        <f>SUMIFS(Tasas!$E$5:$E$36,Tasas!$A$5:$A$36,P$4,Tasas!$B$5:$B$36,F24)</f>
        <v>28</v>
      </c>
      <c r="Q24" s="14">
        <f>SUMIFS(Tasas!$E$5:$E$36,Tasas!$A$5:$A$36,Q$4,Tasas!$B$5:$B$36,G24)</f>
        <v>91</v>
      </c>
      <c r="R24" s="14">
        <f>SUMIFS(Tasas!$E$5:$E$36,Tasas!$A$5:$A$36,R$4,Tasas!$B$5:$B$36,H24)</f>
        <v>175</v>
      </c>
      <c r="S24" s="14">
        <f>SUMIFS(Tasas!$E$5:$E$36,Tasas!$A$5:$A$36,S$4,Tasas!$B$5:$B$36,I24)</f>
        <v>363</v>
      </c>
      <c r="T24" s="14">
        <f>SUMIFS(Tasas!$E$5:$E$36,Tasas!$A$5:$A$36,T$4,Tasas!$B$5:$B$36,J24)</f>
        <v>679</v>
      </c>
      <c r="U24" s="14">
        <f t="shared" si="1"/>
        <v>28</v>
      </c>
      <c r="V24" s="14">
        <f t="shared" si="2"/>
        <v>28</v>
      </c>
      <c r="W24" s="14">
        <f t="shared" si="3"/>
        <v>28</v>
      </c>
      <c r="X24" s="14">
        <f t="shared" si="4"/>
        <v>28</v>
      </c>
      <c r="Y24" s="15">
        <f t="shared" si="5"/>
        <v>46289</v>
      </c>
      <c r="Z24" s="15">
        <f t="shared" si="6"/>
        <v>46289</v>
      </c>
      <c r="AA24" s="25">
        <f t="shared" si="7"/>
        <v>6.15</v>
      </c>
      <c r="AB24" s="25">
        <f t="shared" si="8"/>
        <v>6.15</v>
      </c>
      <c r="AC24" s="11" t="str">
        <f t="shared" si="9"/>
        <v>extremo inferior</v>
      </c>
      <c r="AD24" s="26">
        <f t="shared" si="10"/>
        <v>6.15</v>
      </c>
      <c r="AE24" s="26">
        <f t="shared" si="11"/>
        <v>9.9846486027732357</v>
      </c>
      <c r="AF24" s="19">
        <f t="shared" si="12"/>
        <v>9.9846485999999999</v>
      </c>
      <c r="AG24" s="11" t="str">
        <f t="shared" si="13"/>
        <v>46294|BI261008</v>
      </c>
    </row>
    <row r="25" spans="1:33" x14ac:dyDescent="0.3">
      <c r="A25" s="20">
        <v>46295</v>
      </c>
      <c r="B25" s="21" t="s">
        <v>132</v>
      </c>
      <c r="C25" s="15">
        <f>INDEX(Entradas!$F$40:$F$46,MATCH(B25,Entradas!$A$40:$A$46,0))</f>
        <v>46303</v>
      </c>
      <c r="D25" s="17">
        <f>INDEX(Entradas!$G$40:$G$46,MATCH(B25,Entradas!$A$40:$A$46,0))</f>
        <v>10</v>
      </c>
      <c r="E25" s="14">
        <f t="shared" si="0"/>
        <v>8</v>
      </c>
      <c r="F25" s="15">
        <f>_xlfn.MAXIFS(Tasas!$B$5:$B$36,Tasas!$A$5:$A$36,F$4,Tasas!$B$5:$B$36,"&lt;="&amp;$A25)</f>
        <v>46289</v>
      </c>
      <c r="G25" s="15">
        <f>_xlfn.MAXIFS(Tasas!$B$5:$B$36,Tasas!$A$5:$A$36,G$4,Tasas!$B$5:$B$36,"&lt;="&amp;$A25)</f>
        <v>46289</v>
      </c>
      <c r="H25" s="15">
        <f>_xlfn.MAXIFS(Tasas!$B$5:$B$36,Tasas!$A$5:$A$36,H$4,Tasas!$B$5:$B$36,"&lt;="&amp;$A25)</f>
        <v>46289</v>
      </c>
      <c r="I25" s="15">
        <f>_xlfn.MAXIFS(Tasas!$B$5:$B$36,Tasas!$A$5:$A$36,I$4,Tasas!$B$5:$B$36,"&lt;="&amp;$A25)</f>
        <v>46282</v>
      </c>
      <c r="J25" s="15">
        <f>_xlfn.MAXIFS(Tasas!$B$5:$B$36,Tasas!$A$5:$A$36,J$4,Tasas!$B$5:$B$36,"&lt;="&amp;$A25)</f>
        <v>46289</v>
      </c>
      <c r="K25" s="25">
        <f>SUMIFS(Tasas!$C$5:$C$36,Tasas!$A$5:$A$36,K$4,Tasas!$B$5:$B$36,F25)</f>
        <v>6.15</v>
      </c>
      <c r="L25" s="25">
        <f>SUMIFS(Tasas!$C$5:$C$36,Tasas!$A$5:$A$36,L$4,Tasas!$B$5:$B$36,G25)</f>
        <v>6.59</v>
      </c>
      <c r="M25" s="25">
        <f>SUMIFS(Tasas!$C$5:$C$36,Tasas!$A$5:$A$36,M$4,Tasas!$B$5:$B$36,H25)</f>
        <v>6.91</v>
      </c>
      <c r="N25" s="25">
        <f>SUMIFS(Tasas!$C$5:$C$36,Tasas!$A$5:$A$36,N$4,Tasas!$B$5:$B$36,I25)</f>
        <v>7.24</v>
      </c>
      <c r="O25" s="25">
        <f>SUMIFS(Tasas!$C$5:$C$36,Tasas!$A$5:$A$36,O$4,Tasas!$B$5:$B$36,J25)</f>
        <v>8.01</v>
      </c>
      <c r="P25" s="14">
        <f>SUMIFS(Tasas!$E$5:$E$36,Tasas!$A$5:$A$36,P$4,Tasas!$B$5:$B$36,F25)</f>
        <v>28</v>
      </c>
      <c r="Q25" s="14">
        <f>SUMIFS(Tasas!$E$5:$E$36,Tasas!$A$5:$A$36,Q$4,Tasas!$B$5:$B$36,G25)</f>
        <v>91</v>
      </c>
      <c r="R25" s="14">
        <f>SUMIFS(Tasas!$E$5:$E$36,Tasas!$A$5:$A$36,R$4,Tasas!$B$5:$B$36,H25)</f>
        <v>175</v>
      </c>
      <c r="S25" s="14">
        <f>SUMIFS(Tasas!$E$5:$E$36,Tasas!$A$5:$A$36,S$4,Tasas!$B$5:$B$36,I25)</f>
        <v>363</v>
      </c>
      <c r="T25" s="14">
        <f>SUMIFS(Tasas!$E$5:$E$36,Tasas!$A$5:$A$36,T$4,Tasas!$B$5:$B$36,J25)</f>
        <v>679</v>
      </c>
      <c r="U25" s="14">
        <f t="shared" si="1"/>
        <v>28</v>
      </c>
      <c r="V25" s="14">
        <f t="shared" si="2"/>
        <v>28</v>
      </c>
      <c r="W25" s="14">
        <f t="shared" si="3"/>
        <v>28</v>
      </c>
      <c r="X25" s="14">
        <f t="shared" si="4"/>
        <v>28</v>
      </c>
      <c r="Y25" s="15">
        <f t="shared" si="5"/>
        <v>46289</v>
      </c>
      <c r="Z25" s="15">
        <f t="shared" si="6"/>
        <v>46289</v>
      </c>
      <c r="AA25" s="25">
        <f t="shared" si="7"/>
        <v>6.15</v>
      </c>
      <c r="AB25" s="25">
        <f t="shared" si="8"/>
        <v>6.15</v>
      </c>
      <c r="AC25" s="11" t="str">
        <f t="shared" si="9"/>
        <v>extremo inferior</v>
      </c>
      <c r="AD25" s="26">
        <f t="shared" si="10"/>
        <v>6.15</v>
      </c>
      <c r="AE25" s="26">
        <f t="shared" si="11"/>
        <v>9.9863519856196525</v>
      </c>
      <c r="AF25" s="19">
        <f t="shared" si="12"/>
        <v>9.9863520000000001</v>
      </c>
      <c r="AG25" s="11" t="str">
        <f t="shared" si="13"/>
        <v>46295|BI261008</v>
      </c>
    </row>
    <row r="26" spans="1:33" x14ac:dyDescent="0.3">
      <c r="A26" s="20">
        <v>46296</v>
      </c>
      <c r="B26" s="21" t="s">
        <v>132</v>
      </c>
      <c r="C26" s="15">
        <f>INDEX(Entradas!$F$40:$F$46,MATCH(B26,Entradas!$A$40:$A$46,0))</f>
        <v>46303</v>
      </c>
      <c r="D26" s="17">
        <f>INDEX(Entradas!$G$40:$G$46,MATCH(B26,Entradas!$A$40:$A$46,0))</f>
        <v>10</v>
      </c>
      <c r="E26" s="14">
        <f t="shared" si="0"/>
        <v>7</v>
      </c>
      <c r="F26" s="15">
        <f>_xlfn.MAXIFS(Tasas!$B$5:$B$36,Tasas!$A$5:$A$36,F$4,Tasas!$B$5:$B$36,"&lt;="&amp;$A26)</f>
        <v>46296</v>
      </c>
      <c r="G26" s="15">
        <f>_xlfn.MAXIFS(Tasas!$B$5:$B$36,Tasas!$A$5:$A$36,G$4,Tasas!$B$5:$B$36,"&lt;="&amp;$A26)</f>
        <v>46296</v>
      </c>
      <c r="H26" s="15">
        <f>_xlfn.MAXIFS(Tasas!$B$5:$B$36,Tasas!$A$5:$A$36,H$4,Tasas!$B$5:$B$36,"&lt;="&amp;$A26)</f>
        <v>46296</v>
      </c>
      <c r="I26" s="15">
        <f>_xlfn.MAXIFS(Tasas!$B$5:$B$36,Tasas!$A$5:$A$36,I$4,Tasas!$B$5:$B$36,"&lt;="&amp;$A26)</f>
        <v>46296</v>
      </c>
      <c r="J26" s="15">
        <f>_xlfn.MAXIFS(Tasas!$B$5:$B$36,Tasas!$A$5:$A$36,J$4,Tasas!$B$5:$B$36,"&lt;="&amp;$A26)</f>
        <v>46289</v>
      </c>
      <c r="K26" s="25">
        <f>SUMIFS(Tasas!$C$5:$C$36,Tasas!$A$5:$A$36,K$4,Tasas!$B$5:$B$36,F26)</f>
        <v>6.01</v>
      </c>
      <c r="L26" s="25">
        <f>SUMIFS(Tasas!$C$5:$C$36,Tasas!$A$5:$A$36,L$4,Tasas!$B$5:$B$36,G26)</f>
        <v>6.73</v>
      </c>
      <c r="M26" s="25">
        <f>SUMIFS(Tasas!$C$5:$C$36,Tasas!$A$5:$A$36,M$4,Tasas!$B$5:$B$36,H26)</f>
        <v>7.01</v>
      </c>
      <c r="N26" s="25">
        <f>SUMIFS(Tasas!$C$5:$C$36,Tasas!$A$5:$A$36,N$4,Tasas!$B$5:$B$36,I26)</f>
        <v>7.44</v>
      </c>
      <c r="O26" s="25">
        <f>SUMIFS(Tasas!$C$5:$C$36,Tasas!$A$5:$A$36,O$4,Tasas!$B$5:$B$36,J26)</f>
        <v>8.01</v>
      </c>
      <c r="P26" s="14">
        <f>SUMIFS(Tasas!$E$5:$E$36,Tasas!$A$5:$A$36,P$4,Tasas!$B$5:$B$36,F26)</f>
        <v>28</v>
      </c>
      <c r="Q26" s="14">
        <f>SUMIFS(Tasas!$E$5:$E$36,Tasas!$A$5:$A$36,Q$4,Tasas!$B$5:$B$36,G26)</f>
        <v>91</v>
      </c>
      <c r="R26" s="14">
        <f>SUMIFS(Tasas!$E$5:$E$36,Tasas!$A$5:$A$36,R$4,Tasas!$B$5:$B$36,H26)</f>
        <v>182</v>
      </c>
      <c r="S26" s="14">
        <f>SUMIFS(Tasas!$E$5:$E$36,Tasas!$A$5:$A$36,S$4,Tasas!$B$5:$B$36,I26)</f>
        <v>349</v>
      </c>
      <c r="T26" s="14">
        <f>SUMIFS(Tasas!$E$5:$E$36,Tasas!$A$5:$A$36,T$4,Tasas!$B$5:$B$36,J26)</f>
        <v>679</v>
      </c>
      <c r="U26" s="14">
        <f t="shared" si="1"/>
        <v>28</v>
      </c>
      <c r="V26" s="14">
        <f t="shared" si="2"/>
        <v>28</v>
      </c>
      <c r="W26" s="14">
        <f t="shared" si="3"/>
        <v>28</v>
      </c>
      <c r="X26" s="14">
        <f t="shared" si="4"/>
        <v>28</v>
      </c>
      <c r="Y26" s="15">
        <f t="shared" si="5"/>
        <v>46296</v>
      </c>
      <c r="Z26" s="15">
        <f t="shared" si="6"/>
        <v>46296</v>
      </c>
      <c r="AA26" s="25">
        <f t="shared" si="7"/>
        <v>6.01</v>
      </c>
      <c r="AB26" s="25">
        <f t="shared" si="8"/>
        <v>6.01</v>
      </c>
      <c r="AC26" s="11" t="str">
        <f t="shared" si="9"/>
        <v>extremo inferior</v>
      </c>
      <c r="AD26" s="26">
        <f t="shared" si="10"/>
        <v>6.01</v>
      </c>
      <c r="AE26" s="26">
        <f t="shared" si="11"/>
        <v>9.9883275294676466</v>
      </c>
      <c r="AF26" s="19">
        <f t="shared" si="12"/>
        <v>9.9883275000000005</v>
      </c>
      <c r="AG26" s="11" t="str">
        <f t="shared" si="13"/>
        <v>46296|BI261008</v>
      </c>
    </row>
    <row r="27" spans="1:33" x14ac:dyDescent="0.3">
      <c r="A27" s="20">
        <v>46297</v>
      </c>
      <c r="B27" s="21" t="s">
        <v>132</v>
      </c>
      <c r="C27" s="15">
        <f>INDEX(Entradas!$F$40:$F$46,MATCH(B27,Entradas!$A$40:$A$46,0))</f>
        <v>46303</v>
      </c>
      <c r="D27" s="17">
        <f>INDEX(Entradas!$G$40:$G$46,MATCH(B27,Entradas!$A$40:$A$46,0))</f>
        <v>10</v>
      </c>
      <c r="E27" s="14">
        <f t="shared" si="0"/>
        <v>6</v>
      </c>
      <c r="F27" s="15">
        <f>_xlfn.MAXIFS(Tasas!$B$5:$B$36,Tasas!$A$5:$A$36,F$4,Tasas!$B$5:$B$36,"&lt;="&amp;$A27)</f>
        <v>46296</v>
      </c>
      <c r="G27" s="15">
        <f>_xlfn.MAXIFS(Tasas!$B$5:$B$36,Tasas!$A$5:$A$36,G$4,Tasas!$B$5:$B$36,"&lt;="&amp;$A27)</f>
        <v>46296</v>
      </c>
      <c r="H27" s="15">
        <f>_xlfn.MAXIFS(Tasas!$B$5:$B$36,Tasas!$A$5:$A$36,H$4,Tasas!$B$5:$B$36,"&lt;="&amp;$A27)</f>
        <v>46296</v>
      </c>
      <c r="I27" s="15">
        <f>_xlfn.MAXIFS(Tasas!$B$5:$B$36,Tasas!$A$5:$A$36,I$4,Tasas!$B$5:$B$36,"&lt;="&amp;$A27)</f>
        <v>46296</v>
      </c>
      <c r="J27" s="15">
        <f>_xlfn.MAXIFS(Tasas!$B$5:$B$36,Tasas!$A$5:$A$36,J$4,Tasas!$B$5:$B$36,"&lt;="&amp;$A27)</f>
        <v>46289</v>
      </c>
      <c r="K27" s="25">
        <f>SUMIFS(Tasas!$C$5:$C$36,Tasas!$A$5:$A$36,K$4,Tasas!$B$5:$B$36,F27)</f>
        <v>6.01</v>
      </c>
      <c r="L27" s="25">
        <f>SUMIFS(Tasas!$C$5:$C$36,Tasas!$A$5:$A$36,L$4,Tasas!$B$5:$B$36,G27)</f>
        <v>6.73</v>
      </c>
      <c r="M27" s="25">
        <f>SUMIFS(Tasas!$C$5:$C$36,Tasas!$A$5:$A$36,M$4,Tasas!$B$5:$B$36,H27)</f>
        <v>7.01</v>
      </c>
      <c r="N27" s="25">
        <f>SUMIFS(Tasas!$C$5:$C$36,Tasas!$A$5:$A$36,N$4,Tasas!$B$5:$B$36,I27)</f>
        <v>7.44</v>
      </c>
      <c r="O27" s="25">
        <f>SUMIFS(Tasas!$C$5:$C$36,Tasas!$A$5:$A$36,O$4,Tasas!$B$5:$B$36,J27)</f>
        <v>8.01</v>
      </c>
      <c r="P27" s="14">
        <f>SUMIFS(Tasas!$E$5:$E$36,Tasas!$A$5:$A$36,P$4,Tasas!$B$5:$B$36,F27)</f>
        <v>28</v>
      </c>
      <c r="Q27" s="14">
        <f>SUMIFS(Tasas!$E$5:$E$36,Tasas!$A$5:$A$36,Q$4,Tasas!$B$5:$B$36,G27)</f>
        <v>91</v>
      </c>
      <c r="R27" s="14">
        <f>SUMIFS(Tasas!$E$5:$E$36,Tasas!$A$5:$A$36,R$4,Tasas!$B$5:$B$36,H27)</f>
        <v>182</v>
      </c>
      <c r="S27" s="14">
        <f>SUMIFS(Tasas!$E$5:$E$36,Tasas!$A$5:$A$36,S$4,Tasas!$B$5:$B$36,I27)</f>
        <v>349</v>
      </c>
      <c r="T27" s="14">
        <f>SUMIFS(Tasas!$E$5:$E$36,Tasas!$A$5:$A$36,T$4,Tasas!$B$5:$B$36,J27)</f>
        <v>679</v>
      </c>
      <c r="U27" s="14">
        <f t="shared" si="1"/>
        <v>28</v>
      </c>
      <c r="V27" s="14">
        <f t="shared" si="2"/>
        <v>28</v>
      </c>
      <c r="W27" s="14">
        <f t="shared" si="3"/>
        <v>28</v>
      </c>
      <c r="X27" s="14">
        <f t="shared" si="4"/>
        <v>28</v>
      </c>
      <c r="Y27" s="15">
        <f t="shared" si="5"/>
        <v>46296</v>
      </c>
      <c r="Z27" s="15">
        <f t="shared" si="6"/>
        <v>46296</v>
      </c>
      <c r="AA27" s="25">
        <f t="shared" si="7"/>
        <v>6.01</v>
      </c>
      <c r="AB27" s="25">
        <f t="shared" si="8"/>
        <v>6.01</v>
      </c>
      <c r="AC27" s="11" t="str">
        <f t="shared" si="9"/>
        <v>extremo inferior</v>
      </c>
      <c r="AD27" s="26">
        <f t="shared" si="10"/>
        <v>6.01</v>
      </c>
      <c r="AE27" s="26">
        <f t="shared" si="11"/>
        <v>9.9899933566544181</v>
      </c>
      <c r="AF27" s="19">
        <f t="shared" si="12"/>
        <v>9.9899933999999995</v>
      </c>
      <c r="AG27" s="11" t="str">
        <f t="shared" si="13"/>
        <v>46297|BI261008</v>
      </c>
    </row>
    <row r="28" spans="1:33" x14ac:dyDescent="0.3">
      <c r="A28" s="20">
        <v>46298</v>
      </c>
      <c r="B28" s="21" t="s">
        <v>132</v>
      </c>
      <c r="C28" s="15">
        <f>INDEX(Entradas!$F$40:$F$46,MATCH(B28,Entradas!$A$40:$A$46,0))</f>
        <v>46303</v>
      </c>
      <c r="D28" s="17">
        <f>INDEX(Entradas!$G$40:$G$46,MATCH(B28,Entradas!$A$40:$A$46,0))</f>
        <v>10</v>
      </c>
      <c r="E28" s="14">
        <f t="shared" si="0"/>
        <v>5</v>
      </c>
      <c r="F28" s="15">
        <f>_xlfn.MAXIFS(Tasas!$B$5:$B$36,Tasas!$A$5:$A$36,F$4,Tasas!$B$5:$B$36,"&lt;="&amp;$A28)</f>
        <v>46296</v>
      </c>
      <c r="G28" s="15">
        <f>_xlfn.MAXIFS(Tasas!$B$5:$B$36,Tasas!$A$5:$A$36,G$4,Tasas!$B$5:$B$36,"&lt;="&amp;$A28)</f>
        <v>46296</v>
      </c>
      <c r="H28" s="15">
        <f>_xlfn.MAXIFS(Tasas!$B$5:$B$36,Tasas!$A$5:$A$36,H$4,Tasas!$B$5:$B$36,"&lt;="&amp;$A28)</f>
        <v>46296</v>
      </c>
      <c r="I28" s="15">
        <f>_xlfn.MAXIFS(Tasas!$B$5:$B$36,Tasas!$A$5:$A$36,I$4,Tasas!$B$5:$B$36,"&lt;="&amp;$A28)</f>
        <v>46296</v>
      </c>
      <c r="J28" s="15">
        <f>_xlfn.MAXIFS(Tasas!$B$5:$B$36,Tasas!$A$5:$A$36,J$4,Tasas!$B$5:$B$36,"&lt;="&amp;$A28)</f>
        <v>46289</v>
      </c>
      <c r="K28" s="25">
        <f>SUMIFS(Tasas!$C$5:$C$36,Tasas!$A$5:$A$36,K$4,Tasas!$B$5:$B$36,F28)</f>
        <v>6.01</v>
      </c>
      <c r="L28" s="25">
        <f>SUMIFS(Tasas!$C$5:$C$36,Tasas!$A$5:$A$36,L$4,Tasas!$B$5:$B$36,G28)</f>
        <v>6.73</v>
      </c>
      <c r="M28" s="25">
        <f>SUMIFS(Tasas!$C$5:$C$36,Tasas!$A$5:$A$36,M$4,Tasas!$B$5:$B$36,H28)</f>
        <v>7.01</v>
      </c>
      <c r="N28" s="25">
        <f>SUMIFS(Tasas!$C$5:$C$36,Tasas!$A$5:$A$36,N$4,Tasas!$B$5:$B$36,I28)</f>
        <v>7.44</v>
      </c>
      <c r="O28" s="25">
        <f>SUMIFS(Tasas!$C$5:$C$36,Tasas!$A$5:$A$36,O$4,Tasas!$B$5:$B$36,J28)</f>
        <v>8.01</v>
      </c>
      <c r="P28" s="14">
        <f>SUMIFS(Tasas!$E$5:$E$36,Tasas!$A$5:$A$36,P$4,Tasas!$B$5:$B$36,F28)</f>
        <v>28</v>
      </c>
      <c r="Q28" s="14">
        <f>SUMIFS(Tasas!$E$5:$E$36,Tasas!$A$5:$A$36,Q$4,Tasas!$B$5:$B$36,G28)</f>
        <v>91</v>
      </c>
      <c r="R28" s="14">
        <f>SUMIFS(Tasas!$E$5:$E$36,Tasas!$A$5:$A$36,R$4,Tasas!$B$5:$B$36,H28)</f>
        <v>182</v>
      </c>
      <c r="S28" s="14">
        <f>SUMIFS(Tasas!$E$5:$E$36,Tasas!$A$5:$A$36,S$4,Tasas!$B$5:$B$36,I28)</f>
        <v>349</v>
      </c>
      <c r="T28" s="14">
        <f>SUMIFS(Tasas!$E$5:$E$36,Tasas!$A$5:$A$36,T$4,Tasas!$B$5:$B$36,J28)</f>
        <v>679</v>
      </c>
      <c r="U28" s="14">
        <f t="shared" si="1"/>
        <v>28</v>
      </c>
      <c r="V28" s="14">
        <f t="shared" si="2"/>
        <v>28</v>
      </c>
      <c r="W28" s="14">
        <f t="shared" si="3"/>
        <v>28</v>
      </c>
      <c r="X28" s="14">
        <f t="shared" si="4"/>
        <v>28</v>
      </c>
      <c r="Y28" s="15">
        <f t="shared" si="5"/>
        <v>46296</v>
      </c>
      <c r="Z28" s="15">
        <f t="shared" si="6"/>
        <v>46296</v>
      </c>
      <c r="AA28" s="25">
        <f t="shared" si="7"/>
        <v>6.01</v>
      </c>
      <c r="AB28" s="25">
        <f t="shared" si="8"/>
        <v>6.01</v>
      </c>
      <c r="AC28" s="11" t="str">
        <f t="shared" si="9"/>
        <v>extremo inferior</v>
      </c>
      <c r="AD28" s="26">
        <f t="shared" si="10"/>
        <v>6.01</v>
      </c>
      <c r="AE28" s="26">
        <f t="shared" si="11"/>
        <v>9.9916597395784912</v>
      </c>
      <c r="AF28" s="19">
        <f t="shared" si="12"/>
        <v>9.9916596999999996</v>
      </c>
      <c r="AG28" s="11" t="str">
        <f t="shared" si="13"/>
        <v>46298|BI261008</v>
      </c>
    </row>
    <row r="29" spans="1:33" x14ac:dyDescent="0.3">
      <c r="A29" s="20">
        <v>46299</v>
      </c>
      <c r="B29" s="21" t="s">
        <v>132</v>
      </c>
      <c r="C29" s="15">
        <f>INDEX(Entradas!$F$40:$F$46,MATCH(B29,Entradas!$A$40:$A$46,0))</f>
        <v>46303</v>
      </c>
      <c r="D29" s="17">
        <f>INDEX(Entradas!$G$40:$G$46,MATCH(B29,Entradas!$A$40:$A$46,0))</f>
        <v>10</v>
      </c>
      <c r="E29" s="14">
        <f t="shared" si="0"/>
        <v>4</v>
      </c>
      <c r="F29" s="15">
        <f>_xlfn.MAXIFS(Tasas!$B$5:$B$36,Tasas!$A$5:$A$36,F$4,Tasas!$B$5:$B$36,"&lt;="&amp;$A29)</f>
        <v>46296</v>
      </c>
      <c r="G29" s="15">
        <f>_xlfn.MAXIFS(Tasas!$B$5:$B$36,Tasas!$A$5:$A$36,G$4,Tasas!$B$5:$B$36,"&lt;="&amp;$A29)</f>
        <v>46296</v>
      </c>
      <c r="H29" s="15">
        <f>_xlfn.MAXIFS(Tasas!$B$5:$B$36,Tasas!$A$5:$A$36,H$4,Tasas!$B$5:$B$36,"&lt;="&amp;$A29)</f>
        <v>46296</v>
      </c>
      <c r="I29" s="15">
        <f>_xlfn.MAXIFS(Tasas!$B$5:$B$36,Tasas!$A$5:$A$36,I$4,Tasas!$B$5:$B$36,"&lt;="&amp;$A29)</f>
        <v>46296</v>
      </c>
      <c r="J29" s="15">
        <f>_xlfn.MAXIFS(Tasas!$B$5:$B$36,Tasas!$A$5:$A$36,J$4,Tasas!$B$5:$B$36,"&lt;="&amp;$A29)</f>
        <v>46289</v>
      </c>
      <c r="K29" s="25">
        <f>SUMIFS(Tasas!$C$5:$C$36,Tasas!$A$5:$A$36,K$4,Tasas!$B$5:$B$36,F29)</f>
        <v>6.01</v>
      </c>
      <c r="L29" s="25">
        <f>SUMIFS(Tasas!$C$5:$C$36,Tasas!$A$5:$A$36,L$4,Tasas!$B$5:$B$36,G29)</f>
        <v>6.73</v>
      </c>
      <c r="M29" s="25">
        <f>SUMIFS(Tasas!$C$5:$C$36,Tasas!$A$5:$A$36,M$4,Tasas!$B$5:$B$36,H29)</f>
        <v>7.01</v>
      </c>
      <c r="N29" s="25">
        <f>SUMIFS(Tasas!$C$5:$C$36,Tasas!$A$5:$A$36,N$4,Tasas!$B$5:$B$36,I29)</f>
        <v>7.44</v>
      </c>
      <c r="O29" s="25">
        <f>SUMIFS(Tasas!$C$5:$C$36,Tasas!$A$5:$A$36,O$4,Tasas!$B$5:$B$36,J29)</f>
        <v>8.01</v>
      </c>
      <c r="P29" s="14">
        <f>SUMIFS(Tasas!$E$5:$E$36,Tasas!$A$5:$A$36,P$4,Tasas!$B$5:$B$36,F29)</f>
        <v>28</v>
      </c>
      <c r="Q29" s="14">
        <f>SUMIFS(Tasas!$E$5:$E$36,Tasas!$A$5:$A$36,Q$4,Tasas!$B$5:$B$36,G29)</f>
        <v>91</v>
      </c>
      <c r="R29" s="14">
        <f>SUMIFS(Tasas!$E$5:$E$36,Tasas!$A$5:$A$36,R$4,Tasas!$B$5:$B$36,H29)</f>
        <v>182</v>
      </c>
      <c r="S29" s="14">
        <f>SUMIFS(Tasas!$E$5:$E$36,Tasas!$A$5:$A$36,S$4,Tasas!$B$5:$B$36,I29)</f>
        <v>349</v>
      </c>
      <c r="T29" s="14">
        <f>SUMIFS(Tasas!$E$5:$E$36,Tasas!$A$5:$A$36,T$4,Tasas!$B$5:$B$36,J29)</f>
        <v>679</v>
      </c>
      <c r="U29" s="14">
        <f t="shared" si="1"/>
        <v>28</v>
      </c>
      <c r="V29" s="14">
        <f t="shared" si="2"/>
        <v>28</v>
      </c>
      <c r="W29" s="14">
        <f t="shared" si="3"/>
        <v>28</v>
      </c>
      <c r="X29" s="14">
        <f t="shared" si="4"/>
        <v>28</v>
      </c>
      <c r="Y29" s="15">
        <f t="shared" si="5"/>
        <v>46296</v>
      </c>
      <c r="Z29" s="15">
        <f t="shared" si="6"/>
        <v>46296</v>
      </c>
      <c r="AA29" s="25">
        <f t="shared" si="7"/>
        <v>6.01</v>
      </c>
      <c r="AB29" s="25">
        <f t="shared" si="8"/>
        <v>6.01</v>
      </c>
      <c r="AC29" s="11" t="str">
        <f t="shared" si="9"/>
        <v>extremo inferior</v>
      </c>
      <c r="AD29" s="26">
        <f t="shared" si="10"/>
        <v>6.01</v>
      </c>
      <c r="AE29" s="26">
        <f t="shared" si="11"/>
        <v>9.993326678518013</v>
      </c>
      <c r="AF29" s="19">
        <f t="shared" si="12"/>
        <v>9.9933267000000008</v>
      </c>
      <c r="AG29" s="11" t="str">
        <f t="shared" si="13"/>
        <v>46299|BI261008</v>
      </c>
    </row>
    <row r="30" spans="1:33" x14ac:dyDescent="0.3">
      <c r="A30" s="20">
        <v>46300</v>
      </c>
      <c r="B30" s="21" t="s">
        <v>132</v>
      </c>
      <c r="C30" s="15">
        <f>INDEX(Entradas!$F$40:$F$46,MATCH(B30,Entradas!$A$40:$A$46,0))</f>
        <v>46303</v>
      </c>
      <c r="D30" s="17">
        <f>INDEX(Entradas!$G$40:$G$46,MATCH(B30,Entradas!$A$40:$A$46,0))</f>
        <v>10</v>
      </c>
      <c r="E30" s="14">
        <f t="shared" si="0"/>
        <v>3</v>
      </c>
      <c r="F30" s="15">
        <f>_xlfn.MAXIFS(Tasas!$B$5:$B$36,Tasas!$A$5:$A$36,F$4,Tasas!$B$5:$B$36,"&lt;="&amp;$A30)</f>
        <v>46296</v>
      </c>
      <c r="G30" s="15">
        <f>_xlfn.MAXIFS(Tasas!$B$5:$B$36,Tasas!$A$5:$A$36,G$4,Tasas!$B$5:$B$36,"&lt;="&amp;$A30)</f>
        <v>46296</v>
      </c>
      <c r="H30" s="15">
        <f>_xlfn.MAXIFS(Tasas!$B$5:$B$36,Tasas!$A$5:$A$36,H$4,Tasas!$B$5:$B$36,"&lt;="&amp;$A30)</f>
        <v>46296</v>
      </c>
      <c r="I30" s="15">
        <f>_xlfn.MAXIFS(Tasas!$B$5:$B$36,Tasas!$A$5:$A$36,I$4,Tasas!$B$5:$B$36,"&lt;="&amp;$A30)</f>
        <v>46296</v>
      </c>
      <c r="J30" s="15">
        <f>_xlfn.MAXIFS(Tasas!$B$5:$B$36,Tasas!$A$5:$A$36,J$4,Tasas!$B$5:$B$36,"&lt;="&amp;$A30)</f>
        <v>46289</v>
      </c>
      <c r="K30" s="25">
        <f>SUMIFS(Tasas!$C$5:$C$36,Tasas!$A$5:$A$36,K$4,Tasas!$B$5:$B$36,F30)</f>
        <v>6.01</v>
      </c>
      <c r="L30" s="25">
        <f>SUMIFS(Tasas!$C$5:$C$36,Tasas!$A$5:$A$36,L$4,Tasas!$B$5:$B$36,G30)</f>
        <v>6.73</v>
      </c>
      <c r="M30" s="25">
        <f>SUMIFS(Tasas!$C$5:$C$36,Tasas!$A$5:$A$36,M$4,Tasas!$B$5:$B$36,H30)</f>
        <v>7.01</v>
      </c>
      <c r="N30" s="25">
        <f>SUMIFS(Tasas!$C$5:$C$36,Tasas!$A$5:$A$36,N$4,Tasas!$B$5:$B$36,I30)</f>
        <v>7.44</v>
      </c>
      <c r="O30" s="25">
        <f>SUMIFS(Tasas!$C$5:$C$36,Tasas!$A$5:$A$36,O$4,Tasas!$B$5:$B$36,J30)</f>
        <v>8.01</v>
      </c>
      <c r="P30" s="14">
        <f>SUMIFS(Tasas!$E$5:$E$36,Tasas!$A$5:$A$36,P$4,Tasas!$B$5:$B$36,F30)</f>
        <v>28</v>
      </c>
      <c r="Q30" s="14">
        <f>SUMIFS(Tasas!$E$5:$E$36,Tasas!$A$5:$A$36,Q$4,Tasas!$B$5:$B$36,G30)</f>
        <v>91</v>
      </c>
      <c r="R30" s="14">
        <f>SUMIFS(Tasas!$E$5:$E$36,Tasas!$A$5:$A$36,R$4,Tasas!$B$5:$B$36,H30)</f>
        <v>182</v>
      </c>
      <c r="S30" s="14">
        <f>SUMIFS(Tasas!$E$5:$E$36,Tasas!$A$5:$A$36,S$4,Tasas!$B$5:$B$36,I30)</f>
        <v>349</v>
      </c>
      <c r="T30" s="14">
        <f>SUMIFS(Tasas!$E$5:$E$36,Tasas!$A$5:$A$36,T$4,Tasas!$B$5:$B$36,J30)</f>
        <v>679</v>
      </c>
      <c r="U30" s="14">
        <f t="shared" si="1"/>
        <v>28</v>
      </c>
      <c r="V30" s="14">
        <f t="shared" si="2"/>
        <v>28</v>
      </c>
      <c r="W30" s="14">
        <f t="shared" si="3"/>
        <v>28</v>
      </c>
      <c r="X30" s="14">
        <f t="shared" si="4"/>
        <v>28</v>
      </c>
      <c r="Y30" s="15">
        <f t="shared" si="5"/>
        <v>46296</v>
      </c>
      <c r="Z30" s="15">
        <f t="shared" si="6"/>
        <v>46296</v>
      </c>
      <c r="AA30" s="25">
        <f t="shared" si="7"/>
        <v>6.01</v>
      </c>
      <c r="AB30" s="25">
        <f t="shared" si="8"/>
        <v>6.01</v>
      </c>
      <c r="AC30" s="11" t="str">
        <f t="shared" si="9"/>
        <v>extremo inferior</v>
      </c>
      <c r="AD30" s="26">
        <f t="shared" si="10"/>
        <v>6.01</v>
      </c>
      <c r="AE30" s="26">
        <f t="shared" si="11"/>
        <v>9.9949941737513122</v>
      </c>
      <c r="AF30" s="19">
        <f t="shared" si="12"/>
        <v>9.9949942000000007</v>
      </c>
      <c r="AG30" s="11" t="str">
        <f t="shared" si="13"/>
        <v>46300|BI261008</v>
      </c>
    </row>
    <row r="31" spans="1:33" x14ac:dyDescent="0.3">
      <c r="A31" s="20">
        <v>46301</v>
      </c>
      <c r="B31" s="21" t="s">
        <v>132</v>
      </c>
      <c r="C31" s="15">
        <f>INDEX(Entradas!$F$40:$F$46,MATCH(B31,Entradas!$A$40:$A$46,0))</f>
        <v>46303</v>
      </c>
      <c r="D31" s="17">
        <f>INDEX(Entradas!$G$40:$G$46,MATCH(B31,Entradas!$A$40:$A$46,0))</f>
        <v>10</v>
      </c>
      <c r="E31" s="14">
        <f t="shared" si="0"/>
        <v>2</v>
      </c>
      <c r="F31" s="15">
        <f>_xlfn.MAXIFS(Tasas!$B$5:$B$36,Tasas!$A$5:$A$36,F$4,Tasas!$B$5:$B$36,"&lt;="&amp;$A31)</f>
        <v>46296</v>
      </c>
      <c r="G31" s="15">
        <f>_xlfn.MAXIFS(Tasas!$B$5:$B$36,Tasas!$A$5:$A$36,G$4,Tasas!$B$5:$B$36,"&lt;="&amp;$A31)</f>
        <v>46296</v>
      </c>
      <c r="H31" s="15">
        <f>_xlfn.MAXIFS(Tasas!$B$5:$B$36,Tasas!$A$5:$A$36,H$4,Tasas!$B$5:$B$36,"&lt;="&amp;$A31)</f>
        <v>46296</v>
      </c>
      <c r="I31" s="15">
        <f>_xlfn.MAXIFS(Tasas!$B$5:$B$36,Tasas!$A$5:$A$36,I$4,Tasas!$B$5:$B$36,"&lt;="&amp;$A31)</f>
        <v>46296</v>
      </c>
      <c r="J31" s="15">
        <f>_xlfn.MAXIFS(Tasas!$B$5:$B$36,Tasas!$A$5:$A$36,J$4,Tasas!$B$5:$B$36,"&lt;="&amp;$A31)</f>
        <v>46289</v>
      </c>
      <c r="K31" s="25">
        <f>SUMIFS(Tasas!$C$5:$C$36,Tasas!$A$5:$A$36,K$4,Tasas!$B$5:$B$36,F31)</f>
        <v>6.01</v>
      </c>
      <c r="L31" s="25">
        <f>SUMIFS(Tasas!$C$5:$C$36,Tasas!$A$5:$A$36,L$4,Tasas!$B$5:$B$36,G31)</f>
        <v>6.73</v>
      </c>
      <c r="M31" s="25">
        <f>SUMIFS(Tasas!$C$5:$C$36,Tasas!$A$5:$A$36,M$4,Tasas!$B$5:$B$36,H31)</f>
        <v>7.01</v>
      </c>
      <c r="N31" s="25">
        <f>SUMIFS(Tasas!$C$5:$C$36,Tasas!$A$5:$A$36,N$4,Tasas!$B$5:$B$36,I31)</f>
        <v>7.44</v>
      </c>
      <c r="O31" s="25">
        <f>SUMIFS(Tasas!$C$5:$C$36,Tasas!$A$5:$A$36,O$4,Tasas!$B$5:$B$36,J31)</f>
        <v>8.01</v>
      </c>
      <c r="P31" s="14">
        <f>SUMIFS(Tasas!$E$5:$E$36,Tasas!$A$5:$A$36,P$4,Tasas!$B$5:$B$36,F31)</f>
        <v>28</v>
      </c>
      <c r="Q31" s="14">
        <f>SUMIFS(Tasas!$E$5:$E$36,Tasas!$A$5:$A$36,Q$4,Tasas!$B$5:$B$36,G31)</f>
        <v>91</v>
      </c>
      <c r="R31" s="14">
        <f>SUMIFS(Tasas!$E$5:$E$36,Tasas!$A$5:$A$36,R$4,Tasas!$B$5:$B$36,H31)</f>
        <v>182</v>
      </c>
      <c r="S31" s="14">
        <f>SUMIFS(Tasas!$E$5:$E$36,Tasas!$A$5:$A$36,S$4,Tasas!$B$5:$B$36,I31)</f>
        <v>349</v>
      </c>
      <c r="T31" s="14">
        <f>SUMIFS(Tasas!$E$5:$E$36,Tasas!$A$5:$A$36,T$4,Tasas!$B$5:$B$36,J31)</f>
        <v>679</v>
      </c>
      <c r="U31" s="14">
        <f t="shared" si="1"/>
        <v>28</v>
      </c>
      <c r="V31" s="14">
        <f t="shared" si="2"/>
        <v>28</v>
      </c>
      <c r="W31" s="14">
        <f t="shared" si="3"/>
        <v>28</v>
      </c>
      <c r="X31" s="14">
        <f t="shared" si="4"/>
        <v>28</v>
      </c>
      <c r="Y31" s="15">
        <f t="shared" si="5"/>
        <v>46296</v>
      </c>
      <c r="Z31" s="15">
        <f t="shared" si="6"/>
        <v>46296</v>
      </c>
      <c r="AA31" s="25">
        <f t="shared" si="7"/>
        <v>6.01</v>
      </c>
      <c r="AB31" s="25">
        <f t="shared" si="8"/>
        <v>6.01</v>
      </c>
      <c r="AC31" s="11" t="str">
        <f t="shared" si="9"/>
        <v>extremo inferior</v>
      </c>
      <c r="AD31" s="26">
        <f t="shared" si="10"/>
        <v>6.01</v>
      </c>
      <c r="AE31" s="26">
        <f t="shared" si="11"/>
        <v>9.9966622255569124</v>
      </c>
      <c r="AF31" s="19">
        <f t="shared" si="12"/>
        <v>9.9966621999999994</v>
      </c>
      <c r="AG31" s="11" t="str">
        <f t="shared" si="13"/>
        <v>46301|BI261008</v>
      </c>
    </row>
    <row r="32" spans="1:33" x14ac:dyDescent="0.3">
      <c r="A32" s="20">
        <v>46302</v>
      </c>
      <c r="B32" s="21" t="s">
        <v>132</v>
      </c>
      <c r="C32" s="15">
        <f>INDEX(Entradas!$F$40:$F$46,MATCH(B32,Entradas!$A$40:$A$46,0))</f>
        <v>46303</v>
      </c>
      <c r="D32" s="17">
        <f>INDEX(Entradas!$G$40:$G$46,MATCH(B32,Entradas!$A$40:$A$46,0))</f>
        <v>10</v>
      </c>
      <c r="E32" s="14">
        <f t="shared" si="0"/>
        <v>1</v>
      </c>
      <c r="F32" s="15">
        <f>_xlfn.MAXIFS(Tasas!$B$5:$B$36,Tasas!$A$5:$A$36,F$4,Tasas!$B$5:$B$36,"&lt;="&amp;$A32)</f>
        <v>46296</v>
      </c>
      <c r="G32" s="15">
        <f>_xlfn.MAXIFS(Tasas!$B$5:$B$36,Tasas!$A$5:$A$36,G$4,Tasas!$B$5:$B$36,"&lt;="&amp;$A32)</f>
        <v>46296</v>
      </c>
      <c r="H32" s="15">
        <f>_xlfn.MAXIFS(Tasas!$B$5:$B$36,Tasas!$A$5:$A$36,H$4,Tasas!$B$5:$B$36,"&lt;="&amp;$A32)</f>
        <v>46296</v>
      </c>
      <c r="I32" s="15">
        <f>_xlfn.MAXIFS(Tasas!$B$5:$B$36,Tasas!$A$5:$A$36,I$4,Tasas!$B$5:$B$36,"&lt;="&amp;$A32)</f>
        <v>46296</v>
      </c>
      <c r="J32" s="15">
        <f>_xlfn.MAXIFS(Tasas!$B$5:$B$36,Tasas!$A$5:$A$36,J$4,Tasas!$B$5:$B$36,"&lt;="&amp;$A32)</f>
        <v>46289</v>
      </c>
      <c r="K32" s="25">
        <f>SUMIFS(Tasas!$C$5:$C$36,Tasas!$A$5:$A$36,K$4,Tasas!$B$5:$B$36,F32)</f>
        <v>6.01</v>
      </c>
      <c r="L32" s="25">
        <f>SUMIFS(Tasas!$C$5:$C$36,Tasas!$A$5:$A$36,L$4,Tasas!$B$5:$B$36,G32)</f>
        <v>6.73</v>
      </c>
      <c r="M32" s="25">
        <f>SUMIFS(Tasas!$C$5:$C$36,Tasas!$A$5:$A$36,M$4,Tasas!$B$5:$B$36,H32)</f>
        <v>7.01</v>
      </c>
      <c r="N32" s="25">
        <f>SUMIFS(Tasas!$C$5:$C$36,Tasas!$A$5:$A$36,N$4,Tasas!$B$5:$B$36,I32)</f>
        <v>7.44</v>
      </c>
      <c r="O32" s="25">
        <f>SUMIFS(Tasas!$C$5:$C$36,Tasas!$A$5:$A$36,O$4,Tasas!$B$5:$B$36,J32)</f>
        <v>8.01</v>
      </c>
      <c r="P32" s="14">
        <f>SUMIFS(Tasas!$E$5:$E$36,Tasas!$A$5:$A$36,P$4,Tasas!$B$5:$B$36,F32)</f>
        <v>28</v>
      </c>
      <c r="Q32" s="14">
        <f>SUMIFS(Tasas!$E$5:$E$36,Tasas!$A$5:$A$36,Q$4,Tasas!$B$5:$B$36,G32)</f>
        <v>91</v>
      </c>
      <c r="R32" s="14">
        <f>SUMIFS(Tasas!$E$5:$E$36,Tasas!$A$5:$A$36,R$4,Tasas!$B$5:$B$36,H32)</f>
        <v>182</v>
      </c>
      <c r="S32" s="14">
        <f>SUMIFS(Tasas!$E$5:$E$36,Tasas!$A$5:$A$36,S$4,Tasas!$B$5:$B$36,I32)</f>
        <v>349</v>
      </c>
      <c r="T32" s="14">
        <f>SUMIFS(Tasas!$E$5:$E$36,Tasas!$A$5:$A$36,T$4,Tasas!$B$5:$B$36,J32)</f>
        <v>679</v>
      </c>
      <c r="U32" s="14">
        <f t="shared" si="1"/>
        <v>28</v>
      </c>
      <c r="V32" s="14">
        <f t="shared" si="2"/>
        <v>28</v>
      </c>
      <c r="W32" s="14">
        <f t="shared" si="3"/>
        <v>28</v>
      </c>
      <c r="X32" s="14">
        <f t="shared" si="4"/>
        <v>28</v>
      </c>
      <c r="Y32" s="15">
        <f t="shared" si="5"/>
        <v>46296</v>
      </c>
      <c r="Z32" s="15">
        <f t="shared" si="6"/>
        <v>46296</v>
      </c>
      <c r="AA32" s="25">
        <f t="shared" si="7"/>
        <v>6.01</v>
      </c>
      <c r="AB32" s="25">
        <f t="shared" si="8"/>
        <v>6.01</v>
      </c>
      <c r="AC32" s="11" t="str">
        <f t="shared" si="9"/>
        <v>extremo inferior</v>
      </c>
      <c r="AD32" s="26">
        <f t="shared" si="10"/>
        <v>6.01</v>
      </c>
      <c r="AE32" s="26">
        <f t="shared" si="11"/>
        <v>9.99833083421351</v>
      </c>
      <c r="AF32" s="19">
        <f t="shared" si="12"/>
        <v>9.9983307999999997</v>
      </c>
      <c r="AG32" s="11" t="str">
        <f t="shared" si="13"/>
        <v>46302|BI261008</v>
      </c>
    </row>
    <row r="33" spans="1:33" x14ac:dyDescent="0.3">
      <c r="A33" s="20">
        <v>46303</v>
      </c>
      <c r="B33" s="21" t="s">
        <v>135</v>
      </c>
      <c r="C33" s="15">
        <f>INDEX(Entradas!$F$40:$F$46,MATCH(B33,Entradas!$A$40:$A$46,0))</f>
        <v>46331</v>
      </c>
      <c r="D33" s="17">
        <f>INDEX(Entradas!$G$40:$G$46,MATCH(B33,Entradas!$A$40:$A$46,0))</f>
        <v>10</v>
      </c>
      <c r="E33" s="14">
        <f t="shared" si="0"/>
        <v>28</v>
      </c>
      <c r="F33" s="15">
        <f>_xlfn.MAXIFS(Tasas!$B$5:$B$36,Tasas!$A$5:$A$36,F$4,Tasas!$B$5:$B$36,"&lt;="&amp;$A33)</f>
        <v>46303</v>
      </c>
      <c r="G33" s="15">
        <f>_xlfn.MAXIFS(Tasas!$B$5:$B$36,Tasas!$A$5:$A$36,G$4,Tasas!$B$5:$B$36,"&lt;="&amp;$A33)</f>
        <v>46303</v>
      </c>
      <c r="H33" s="15">
        <f>_xlfn.MAXIFS(Tasas!$B$5:$B$36,Tasas!$A$5:$A$36,H$4,Tasas!$B$5:$B$36,"&lt;="&amp;$A33)</f>
        <v>46303</v>
      </c>
      <c r="I33" s="15">
        <f>_xlfn.MAXIFS(Tasas!$B$5:$B$36,Tasas!$A$5:$A$36,I$4,Tasas!$B$5:$B$36,"&lt;="&amp;$A33)</f>
        <v>46296</v>
      </c>
      <c r="J33" s="15">
        <f>_xlfn.MAXIFS(Tasas!$B$5:$B$36,Tasas!$A$5:$A$36,J$4,Tasas!$B$5:$B$36,"&lt;="&amp;$A33)</f>
        <v>46303</v>
      </c>
      <c r="K33" s="25">
        <f>SUMIFS(Tasas!$C$5:$C$36,Tasas!$A$5:$A$36,K$4,Tasas!$B$5:$B$36,F33)</f>
        <v>6.09</v>
      </c>
      <c r="L33" s="25">
        <f>SUMIFS(Tasas!$C$5:$C$36,Tasas!$A$5:$A$36,L$4,Tasas!$B$5:$B$36,G33)</f>
        <v>6.78</v>
      </c>
      <c r="M33" s="25">
        <f>SUMIFS(Tasas!$C$5:$C$36,Tasas!$A$5:$A$36,M$4,Tasas!$B$5:$B$36,H33)</f>
        <v>6.91</v>
      </c>
      <c r="N33" s="25">
        <f>SUMIFS(Tasas!$C$5:$C$36,Tasas!$A$5:$A$36,N$4,Tasas!$B$5:$B$36,I33)</f>
        <v>7.44</v>
      </c>
      <c r="O33" s="25">
        <f>SUMIFS(Tasas!$C$5:$C$36,Tasas!$A$5:$A$36,O$4,Tasas!$B$5:$B$36,J33)</f>
        <v>7.98</v>
      </c>
      <c r="P33" s="14">
        <f>SUMIFS(Tasas!$E$5:$E$36,Tasas!$A$5:$A$36,P$4,Tasas!$B$5:$B$36,F33)</f>
        <v>28</v>
      </c>
      <c r="Q33" s="14">
        <f>SUMIFS(Tasas!$E$5:$E$36,Tasas!$A$5:$A$36,Q$4,Tasas!$B$5:$B$36,G33)</f>
        <v>91</v>
      </c>
      <c r="R33" s="14">
        <f>SUMIFS(Tasas!$E$5:$E$36,Tasas!$A$5:$A$36,R$4,Tasas!$B$5:$B$36,H33)</f>
        <v>175</v>
      </c>
      <c r="S33" s="14">
        <f>SUMIFS(Tasas!$E$5:$E$36,Tasas!$A$5:$A$36,S$4,Tasas!$B$5:$B$36,I33)</f>
        <v>349</v>
      </c>
      <c r="T33" s="14">
        <f>SUMIFS(Tasas!$E$5:$E$36,Tasas!$A$5:$A$36,T$4,Tasas!$B$5:$B$36,J33)</f>
        <v>721</v>
      </c>
      <c r="U33" s="14">
        <f t="shared" si="1"/>
        <v>28</v>
      </c>
      <c r="V33" s="14">
        <f t="shared" si="2"/>
        <v>28</v>
      </c>
      <c r="W33" s="14">
        <f t="shared" si="3"/>
        <v>28</v>
      </c>
      <c r="X33" s="14">
        <f t="shared" si="4"/>
        <v>28</v>
      </c>
      <c r="Y33" s="15">
        <f t="shared" si="5"/>
        <v>46303</v>
      </c>
      <c r="Z33" s="15">
        <f t="shared" si="6"/>
        <v>46303</v>
      </c>
      <c r="AA33" s="25">
        <f t="shared" si="7"/>
        <v>6.09</v>
      </c>
      <c r="AB33" s="25">
        <f t="shared" si="8"/>
        <v>6.09</v>
      </c>
      <c r="AC33" s="11" t="str">
        <f t="shared" si="9"/>
        <v>nodo</v>
      </c>
      <c r="AD33" s="26">
        <f t="shared" si="10"/>
        <v>6.09</v>
      </c>
      <c r="AE33" s="26">
        <f t="shared" si="11"/>
        <v>9.9528566357354009</v>
      </c>
      <c r="AF33" s="19">
        <f t="shared" si="12"/>
        <v>9.9528566000000005</v>
      </c>
      <c r="AG33" s="11" t="str">
        <f t="shared" si="13"/>
        <v>46303|BI261105</v>
      </c>
    </row>
    <row r="34" spans="1:33" x14ac:dyDescent="0.3">
      <c r="A34" s="20">
        <v>46304</v>
      </c>
      <c r="B34" s="21" t="s">
        <v>135</v>
      </c>
      <c r="C34" s="15">
        <f>INDEX(Entradas!$F$40:$F$46,MATCH(B34,Entradas!$A$40:$A$46,0))</f>
        <v>46331</v>
      </c>
      <c r="D34" s="17">
        <f>INDEX(Entradas!$G$40:$G$46,MATCH(B34,Entradas!$A$40:$A$46,0))</f>
        <v>10</v>
      </c>
      <c r="E34" s="14">
        <f t="shared" si="0"/>
        <v>27</v>
      </c>
      <c r="F34" s="15">
        <f>_xlfn.MAXIFS(Tasas!$B$5:$B$36,Tasas!$A$5:$A$36,F$4,Tasas!$B$5:$B$36,"&lt;="&amp;$A34)</f>
        <v>46303</v>
      </c>
      <c r="G34" s="15">
        <f>_xlfn.MAXIFS(Tasas!$B$5:$B$36,Tasas!$A$5:$A$36,G$4,Tasas!$B$5:$B$36,"&lt;="&amp;$A34)</f>
        <v>46303</v>
      </c>
      <c r="H34" s="15">
        <f>_xlfn.MAXIFS(Tasas!$B$5:$B$36,Tasas!$A$5:$A$36,H$4,Tasas!$B$5:$B$36,"&lt;="&amp;$A34)</f>
        <v>46303</v>
      </c>
      <c r="I34" s="15">
        <f>_xlfn.MAXIFS(Tasas!$B$5:$B$36,Tasas!$A$5:$A$36,I$4,Tasas!$B$5:$B$36,"&lt;="&amp;$A34)</f>
        <v>46296</v>
      </c>
      <c r="J34" s="15">
        <f>_xlfn.MAXIFS(Tasas!$B$5:$B$36,Tasas!$A$5:$A$36,J$4,Tasas!$B$5:$B$36,"&lt;="&amp;$A34)</f>
        <v>46303</v>
      </c>
      <c r="K34" s="25">
        <f>SUMIFS(Tasas!$C$5:$C$36,Tasas!$A$5:$A$36,K$4,Tasas!$B$5:$B$36,F34)</f>
        <v>6.09</v>
      </c>
      <c r="L34" s="25">
        <f>SUMIFS(Tasas!$C$5:$C$36,Tasas!$A$5:$A$36,L$4,Tasas!$B$5:$B$36,G34)</f>
        <v>6.78</v>
      </c>
      <c r="M34" s="25">
        <f>SUMIFS(Tasas!$C$5:$C$36,Tasas!$A$5:$A$36,M$4,Tasas!$B$5:$B$36,H34)</f>
        <v>6.91</v>
      </c>
      <c r="N34" s="25">
        <f>SUMIFS(Tasas!$C$5:$C$36,Tasas!$A$5:$A$36,N$4,Tasas!$B$5:$B$36,I34)</f>
        <v>7.44</v>
      </c>
      <c r="O34" s="25">
        <f>SUMIFS(Tasas!$C$5:$C$36,Tasas!$A$5:$A$36,O$4,Tasas!$B$5:$B$36,J34)</f>
        <v>7.98</v>
      </c>
      <c r="P34" s="14">
        <f>SUMIFS(Tasas!$E$5:$E$36,Tasas!$A$5:$A$36,P$4,Tasas!$B$5:$B$36,F34)</f>
        <v>28</v>
      </c>
      <c r="Q34" s="14">
        <f>SUMIFS(Tasas!$E$5:$E$36,Tasas!$A$5:$A$36,Q$4,Tasas!$B$5:$B$36,G34)</f>
        <v>91</v>
      </c>
      <c r="R34" s="14">
        <f>SUMIFS(Tasas!$E$5:$E$36,Tasas!$A$5:$A$36,R$4,Tasas!$B$5:$B$36,H34)</f>
        <v>175</v>
      </c>
      <c r="S34" s="14">
        <f>SUMIFS(Tasas!$E$5:$E$36,Tasas!$A$5:$A$36,S$4,Tasas!$B$5:$B$36,I34)</f>
        <v>349</v>
      </c>
      <c r="T34" s="14">
        <f>SUMIFS(Tasas!$E$5:$E$36,Tasas!$A$5:$A$36,T$4,Tasas!$B$5:$B$36,J34)</f>
        <v>721</v>
      </c>
      <c r="U34" s="14">
        <f t="shared" si="1"/>
        <v>28</v>
      </c>
      <c r="V34" s="14">
        <f t="shared" si="2"/>
        <v>28</v>
      </c>
      <c r="W34" s="14">
        <f t="shared" si="3"/>
        <v>28</v>
      </c>
      <c r="X34" s="14">
        <f t="shared" si="4"/>
        <v>28</v>
      </c>
      <c r="Y34" s="15">
        <f t="shared" si="5"/>
        <v>46303</v>
      </c>
      <c r="Z34" s="15">
        <f t="shared" si="6"/>
        <v>46303</v>
      </c>
      <c r="AA34" s="25">
        <f t="shared" si="7"/>
        <v>6.09</v>
      </c>
      <c r="AB34" s="25">
        <f t="shared" si="8"/>
        <v>6.09</v>
      </c>
      <c r="AC34" s="11" t="str">
        <f t="shared" si="9"/>
        <v>extremo inferior</v>
      </c>
      <c r="AD34" s="26">
        <f t="shared" si="10"/>
        <v>6.09</v>
      </c>
      <c r="AE34" s="26">
        <f t="shared" si="11"/>
        <v>9.9545326720205463</v>
      </c>
      <c r="AF34" s="19">
        <f t="shared" si="12"/>
        <v>9.9545326999999997</v>
      </c>
      <c r="AG34" s="11" t="str">
        <f t="shared" si="13"/>
        <v>46304|BI261105</v>
      </c>
    </row>
    <row r="35" spans="1:33" x14ac:dyDescent="0.3">
      <c r="A35" s="20">
        <v>46305</v>
      </c>
      <c r="B35" s="21" t="s">
        <v>135</v>
      </c>
      <c r="C35" s="15">
        <f>INDEX(Entradas!$F$40:$F$46,MATCH(B35,Entradas!$A$40:$A$46,0))</f>
        <v>46331</v>
      </c>
      <c r="D35" s="17">
        <f>INDEX(Entradas!$G$40:$G$46,MATCH(B35,Entradas!$A$40:$A$46,0))</f>
        <v>10</v>
      </c>
      <c r="E35" s="14">
        <f t="shared" si="0"/>
        <v>26</v>
      </c>
      <c r="F35" s="15">
        <f>_xlfn.MAXIFS(Tasas!$B$5:$B$36,Tasas!$A$5:$A$36,F$4,Tasas!$B$5:$B$36,"&lt;="&amp;$A35)</f>
        <v>46303</v>
      </c>
      <c r="G35" s="15">
        <f>_xlfn.MAXIFS(Tasas!$B$5:$B$36,Tasas!$A$5:$A$36,G$4,Tasas!$B$5:$B$36,"&lt;="&amp;$A35)</f>
        <v>46303</v>
      </c>
      <c r="H35" s="15">
        <f>_xlfn.MAXIFS(Tasas!$B$5:$B$36,Tasas!$A$5:$A$36,H$4,Tasas!$B$5:$B$36,"&lt;="&amp;$A35)</f>
        <v>46303</v>
      </c>
      <c r="I35" s="15">
        <f>_xlfn.MAXIFS(Tasas!$B$5:$B$36,Tasas!$A$5:$A$36,I$4,Tasas!$B$5:$B$36,"&lt;="&amp;$A35)</f>
        <v>46296</v>
      </c>
      <c r="J35" s="15">
        <f>_xlfn.MAXIFS(Tasas!$B$5:$B$36,Tasas!$A$5:$A$36,J$4,Tasas!$B$5:$B$36,"&lt;="&amp;$A35)</f>
        <v>46303</v>
      </c>
      <c r="K35" s="25">
        <f>SUMIFS(Tasas!$C$5:$C$36,Tasas!$A$5:$A$36,K$4,Tasas!$B$5:$B$36,F35)</f>
        <v>6.09</v>
      </c>
      <c r="L35" s="25">
        <f>SUMIFS(Tasas!$C$5:$C$36,Tasas!$A$5:$A$36,L$4,Tasas!$B$5:$B$36,G35)</f>
        <v>6.78</v>
      </c>
      <c r="M35" s="25">
        <f>SUMIFS(Tasas!$C$5:$C$36,Tasas!$A$5:$A$36,M$4,Tasas!$B$5:$B$36,H35)</f>
        <v>6.91</v>
      </c>
      <c r="N35" s="25">
        <f>SUMIFS(Tasas!$C$5:$C$36,Tasas!$A$5:$A$36,N$4,Tasas!$B$5:$B$36,I35)</f>
        <v>7.44</v>
      </c>
      <c r="O35" s="25">
        <f>SUMIFS(Tasas!$C$5:$C$36,Tasas!$A$5:$A$36,O$4,Tasas!$B$5:$B$36,J35)</f>
        <v>7.98</v>
      </c>
      <c r="P35" s="14">
        <f>SUMIFS(Tasas!$E$5:$E$36,Tasas!$A$5:$A$36,P$4,Tasas!$B$5:$B$36,F35)</f>
        <v>28</v>
      </c>
      <c r="Q35" s="14">
        <f>SUMIFS(Tasas!$E$5:$E$36,Tasas!$A$5:$A$36,Q$4,Tasas!$B$5:$B$36,G35)</f>
        <v>91</v>
      </c>
      <c r="R35" s="14">
        <f>SUMIFS(Tasas!$E$5:$E$36,Tasas!$A$5:$A$36,R$4,Tasas!$B$5:$B$36,H35)</f>
        <v>175</v>
      </c>
      <c r="S35" s="14">
        <f>SUMIFS(Tasas!$E$5:$E$36,Tasas!$A$5:$A$36,S$4,Tasas!$B$5:$B$36,I35)</f>
        <v>349</v>
      </c>
      <c r="T35" s="14">
        <f>SUMIFS(Tasas!$E$5:$E$36,Tasas!$A$5:$A$36,T$4,Tasas!$B$5:$B$36,J35)</f>
        <v>721</v>
      </c>
      <c r="U35" s="14">
        <f t="shared" si="1"/>
        <v>28</v>
      </c>
      <c r="V35" s="14">
        <f t="shared" si="2"/>
        <v>28</v>
      </c>
      <c r="W35" s="14">
        <f t="shared" si="3"/>
        <v>28</v>
      </c>
      <c r="X35" s="14">
        <f t="shared" si="4"/>
        <v>28</v>
      </c>
      <c r="Y35" s="15">
        <f t="shared" si="5"/>
        <v>46303</v>
      </c>
      <c r="Z35" s="15">
        <f t="shared" si="6"/>
        <v>46303</v>
      </c>
      <c r="AA35" s="25">
        <f t="shared" si="7"/>
        <v>6.09</v>
      </c>
      <c r="AB35" s="25">
        <f t="shared" si="8"/>
        <v>6.09</v>
      </c>
      <c r="AC35" s="11" t="str">
        <f t="shared" si="9"/>
        <v>extremo inferior</v>
      </c>
      <c r="AD35" s="26">
        <f t="shared" si="10"/>
        <v>6.09</v>
      </c>
      <c r="AE35" s="26">
        <f t="shared" si="11"/>
        <v>9.9562092728814431</v>
      </c>
      <c r="AF35" s="19">
        <f t="shared" si="12"/>
        <v>9.9562092999999994</v>
      </c>
      <c r="AG35" s="11" t="str">
        <f t="shared" si="13"/>
        <v>46305|BI261105</v>
      </c>
    </row>
    <row r="36" spans="1:33" x14ac:dyDescent="0.3">
      <c r="A36" s="20">
        <v>46306</v>
      </c>
      <c r="B36" s="21" t="s">
        <v>135</v>
      </c>
      <c r="C36" s="15">
        <f>INDEX(Entradas!$F$40:$F$46,MATCH(B36,Entradas!$A$40:$A$46,0))</f>
        <v>46331</v>
      </c>
      <c r="D36" s="17">
        <f>INDEX(Entradas!$G$40:$G$46,MATCH(B36,Entradas!$A$40:$A$46,0))</f>
        <v>10</v>
      </c>
      <c r="E36" s="14">
        <f t="shared" si="0"/>
        <v>25</v>
      </c>
      <c r="F36" s="15">
        <f>_xlfn.MAXIFS(Tasas!$B$5:$B$36,Tasas!$A$5:$A$36,F$4,Tasas!$B$5:$B$36,"&lt;="&amp;$A36)</f>
        <v>46303</v>
      </c>
      <c r="G36" s="15">
        <f>_xlfn.MAXIFS(Tasas!$B$5:$B$36,Tasas!$A$5:$A$36,G$4,Tasas!$B$5:$B$36,"&lt;="&amp;$A36)</f>
        <v>46303</v>
      </c>
      <c r="H36" s="15">
        <f>_xlfn.MAXIFS(Tasas!$B$5:$B$36,Tasas!$A$5:$A$36,H$4,Tasas!$B$5:$B$36,"&lt;="&amp;$A36)</f>
        <v>46303</v>
      </c>
      <c r="I36" s="15">
        <f>_xlfn.MAXIFS(Tasas!$B$5:$B$36,Tasas!$A$5:$A$36,I$4,Tasas!$B$5:$B$36,"&lt;="&amp;$A36)</f>
        <v>46296</v>
      </c>
      <c r="J36" s="15">
        <f>_xlfn.MAXIFS(Tasas!$B$5:$B$36,Tasas!$A$5:$A$36,J$4,Tasas!$B$5:$B$36,"&lt;="&amp;$A36)</f>
        <v>46303</v>
      </c>
      <c r="K36" s="25">
        <f>SUMIFS(Tasas!$C$5:$C$36,Tasas!$A$5:$A$36,K$4,Tasas!$B$5:$B$36,F36)</f>
        <v>6.09</v>
      </c>
      <c r="L36" s="25">
        <f>SUMIFS(Tasas!$C$5:$C$36,Tasas!$A$5:$A$36,L$4,Tasas!$B$5:$B$36,G36)</f>
        <v>6.78</v>
      </c>
      <c r="M36" s="25">
        <f>SUMIFS(Tasas!$C$5:$C$36,Tasas!$A$5:$A$36,M$4,Tasas!$B$5:$B$36,H36)</f>
        <v>6.91</v>
      </c>
      <c r="N36" s="25">
        <f>SUMIFS(Tasas!$C$5:$C$36,Tasas!$A$5:$A$36,N$4,Tasas!$B$5:$B$36,I36)</f>
        <v>7.44</v>
      </c>
      <c r="O36" s="25">
        <f>SUMIFS(Tasas!$C$5:$C$36,Tasas!$A$5:$A$36,O$4,Tasas!$B$5:$B$36,J36)</f>
        <v>7.98</v>
      </c>
      <c r="P36" s="14">
        <f>SUMIFS(Tasas!$E$5:$E$36,Tasas!$A$5:$A$36,P$4,Tasas!$B$5:$B$36,F36)</f>
        <v>28</v>
      </c>
      <c r="Q36" s="14">
        <f>SUMIFS(Tasas!$E$5:$E$36,Tasas!$A$5:$A$36,Q$4,Tasas!$B$5:$B$36,G36)</f>
        <v>91</v>
      </c>
      <c r="R36" s="14">
        <f>SUMIFS(Tasas!$E$5:$E$36,Tasas!$A$5:$A$36,R$4,Tasas!$B$5:$B$36,H36)</f>
        <v>175</v>
      </c>
      <c r="S36" s="14">
        <f>SUMIFS(Tasas!$E$5:$E$36,Tasas!$A$5:$A$36,S$4,Tasas!$B$5:$B$36,I36)</f>
        <v>349</v>
      </c>
      <c r="T36" s="14">
        <f>SUMIFS(Tasas!$E$5:$E$36,Tasas!$A$5:$A$36,T$4,Tasas!$B$5:$B$36,J36)</f>
        <v>721</v>
      </c>
      <c r="U36" s="14">
        <f t="shared" si="1"/>
        <v>28</v>
      </c>
      <c r="V36" s="14">
        <f t="shared" si="2"/>
        <v>28</v>
      </c>
      <c r="W36" s="14">
        <f t="shared" si="3"/>
        <v>28</v>
      </c>
      <c r="X36" s="14">
        <f t="shared" si="4"/>
        <v>28</v>
      </c>
      <c r="Y36" s="15">
        <f t="shared" si="5"/>
        <v>46303</v>
      </c>
      <c r="Z36" s="15">
        <f t="shared" si="6"/>
        <v>46303</v>
      </c>
      <c r="AA36" s="25">
        <f t="shared" si="7"/>
        <v>6.09</v>
      </c>
      <c r="AB36" s="25">
        <f t="shared" si="8"/>
        <v>6.09</v>
      </c>
      <c r="AC36" s="11" t="str">
        <f t="shared" si="9"/>
        <v>extremo inferior</v>
      </c>
      <c r="AD36" s="26">
        <f t="shared" si="10"/>
        <v>6.09</v>
      </c>
      <c r="AE36" s="26">
        <f t="shared" si="11"/>
        <v>9.9578864386034063</v>
      </c>
      <c r="AF36" s="19">
        <f t="shared" si="12"/>
        <v>9.9578863999999996</v>
      </c>
      <c r="AG36" s="11" t="str">
        <f t="shared" si="13"/>
        <v>46306|BI261105</v>
      </c>
    </row>
    <row r="37" spans="1:33" x14ac:dyDescent="0.3">
      <c r="A37" s="20">
        <v>46307</v>
      </c>
      <c r="B37" s="21" t="s">
        <v>135</v>
      </c>
      <c r="C37" s="15">
        <f>INDEX(Entradas!$F$40:$F$46,MATCH(B37,Entradas!$A$40:$A$46,0))</f>
        <v>46331</v>
      </c>
      <c r="D37" s="17">
        <f>INDEX(Entradas!$G$40:$G$46,MATCH(B37,Entradas!$A$40:$A$46,0))</f>
        <v>10</v>
      </c>
      <c r="E37" s="14">
        <f t="shared" ref="E37:E68" si="14">C37-A37</f>
        <v>24</v>
      </c>
      <c r="F37" s="15">
        <f>_xlfn.MAXIFS(Tasas!$B$5:$B$36,Tasas!$A$5:$A$36,F$4,Tasas!$B$5:$B$36,"&lt;="&amp;$A37)</f>
        <v>46303</v>
      </c>
      <c r="G37" s="15">
        <f>_xlfn.MAXIFS(Tasas!$B$5:$B$36,Tasas!$A$5:$A$36,G$4,Tasas!$B$5:$B$36,"&lt;="&amp;$A37)</f>
        <v>46303</v>
      </c>
      <c r="H37" s="15">
        <f>_xlfn.MAXIFS(Tasas!$B$5:$B$36,Tasas!$A$5:$A$36,H$4,Tasas!$B$5:$B$36,"&lt;="&amp;$A37)</f>
        <v>46303</v>
      </c>
      <c r="I37" s="15">
        <f>_xlfn.MAXIFS(Tasas!$B$5:$B$36,Tasas!$A$5:$A$36,I$4,Tasas!$B$5:$B$36,"&lt;="&amp;$A37)</f>
        <v>46296</v>
      </c>
      <c r="J37" s="15">
        <f>_xlfn.MAXIFS(Tasas!$B$5:$B$36,Tasas!$A$5:$A$36,J$4,Tasas!$B$5:$B$36,"&lt;="&amp;$A37)</f>
        <v>46303</v>
      </c>
      <c r="K37" s="25">
        <f>SUMIFS(Tasas!$C$5:$C$36,Tasas!$A$5:$A$36,K$4,Tasas!$B$5:$B$36,F37)</f>
        <v>6.09</v>
      </c>
      <c r="L37" s="25">
        <f>SUMIFS(Tasas!$C$5:$C$36,Tasas!$A$5:$A$36,L$4,Tasas!$B$5:$B$36,G37)</f>
        <v>6.78</v>
      </c>
      <c r="M37" s="25">
        <f>SUMIFS(Tasas!$C$5:$C$36,Tasas!$A$5:$A$36,M$4,Tasas!$B$5:$B$36,H37)</f>
        <v>6.91</v>
      </c>
      <c r="N37" s="25">
        <f>SUMIFS(Tasas!$C$5:$C$36,Tasas!$A$5:$A$36,N$4,Tasas!$B$5:$B$36,I37)</f>
        <v>7.44</v>
      </c>
      <c r="O37" s="25">
        <f>SUMIFS(Tasas!$C$5:$C$36,Tasas!$A$5:$A$36,O$4,Tasas!$B$5:$B$36,J37)</f>
        <v>7.98</v>
      </c>
      <c r="P37" s="14">
        <f>SUMIFS(Tasas!$E$5:$E$36,Tasas!$A$5:$A$36,P$4,Tasas!$B$5:$B$36,F37)</f>
        <v>28</v>
      </c>
      <c r="Q37" s="14">
        <f>SUMIFS(Tasas!$E$5:$E$36,Tasas!$A$5:$A$36,Q$4,Tasas!$B$5:$B$36,G37)</f>
        <v>91</v>
      </c>
      <c r="R37" s="14">
        <f>SUMIFS(Tasas!$E$5:$E$36,Tasas!$A$5:$A$36,R$4,Tasas!$B$5:$B$36,H37)</f>
        <v>175</v>
      </c>
      <c r="S37" s="14">
        <f>SUMIFS(Tasas!$E$5:$E$36,Tasas!$A$5:$A$36,S$4,Tasas!$B$5:$B$36,I37)</f>
        <v>349</v>
      </c>
      <c r="T37" s="14">
        <f>SUMIFS(Tasas!$E$5:$E$36,Tasas!$A$5:$A$36,T$4,Tasas!$B$5:$B$36,J37)</f>
        <v>721</v>
      </c>
      <c r="U37" s="14">
        <f t="shared" ref="U37:U68" si="15">IF($E37&lt;=MIN($P37:$T37),MIN($P37:$T37),_xlfn.MAXIFS($P37:$T37,$P37:$T37,"&lt;="&amp;$E37))</f>
        <v>28</v>
      </c>
      <c r="V37" s="14">
        <f t="shared" ref="V37:V68" si="16">IF($E37&gt;=MAX($P37:$T37),MAX($P37:$T37),_xlfn.MINIFS($P37:$T37,$P37:$T37,"&gt;="&amp;$E37))</f>
        <v>28</v>
      </c>
      <c r="W37" s="14">
        <f t="shared" ref="W37:W68" si="17">INDEX($P$4:$T$4,MATCH(U37,$P37:$T37,0))</f>
        <v>28</v>
      </c>
      <c r="X37" s="14">
        <f t="shared" ref="X37:X68" si="18">INDEX($P$4:$T$4,MATCH(V37,$P37:$T37,0))</f>
        <v>28</v>
      </c>
      <c r="Y37" s="15">
        <f t="shared" ref="Y37:Y68" si="19">INDEX($F37:$J37,MATCH(U37,$P37:$T37,0))</f>
        <v>46303</v>
      </c>
      <c r="Z37" s="15">
        <f t="shared" ref="Z37:Z68" si="20">INDEX($F37:$J37,MATCH(V37,$P37:$T37,0))</f>
        <v>46303</v>
      </c>
      <c r="AA37" s="25">
        <f t="shared" ref="AA37:AA68" si="21">INDEX($K37:$O37,MATCH(U37,$P37:$T37,0))</f>
        <v>6.09</v>
      </c>
      <c r="AB37" s="25">
        <f t="shared" ref="AB37:AB68" si="22">INDEX($K37:$O37,MATCH(V37,$P37:$T37,0))</f>
        <v>6.09</v>
      </c>
      <c r="AC37" s="11" t="str">
        <f t="shared" ref="AC37:AC68" si="23">IF(E37&lt;MIN($P37:$T37),"extremo inferior",IF(E37&gt;MAX($P37:$T37),"extremo superior",IF(U37=V37,"nodo","interpolación")))</f>
        <v>extremo inferior</v>
      </c>
      <c r="AD37" s="26">
        <f t="shared" ref="AD37:AD68" si="24">IF(U37=V37,AA37,AA37+(AB37-AA37)*(E37-U37)/(V37-U37))</f>
        <v>6.09</v>
      </c>
      <c r="AE37" s="26">
        <f t="shared" ref="AE37:AE68" si="25">D37/(1+AD37/100*E37/360)</f>
        <v>9.9595641694719443</v>
      </c>
      <c r="AF37" s="19">
        <f t="shared" ref="AF37:AF68" si="26">ROUND(AE37,7)</f>
        <v>9.9595642000000009</v>
      </c>
      <c r="AG37" s="11" t="str">
        <f t="shared" ref="AG37:AG68" si="27">A37&amp;"|"&amp;B37</f>
        <v>46307|BI261105</v>
      </c>
    </row>
    <row r="38" spans="1:33" x14ac:dyDescent="0.3">
      <c r="A38" s="20">
        <v>46308</v>
      </c>
      <c r="B38" s="21" t="s">
        <v>135</v>
      </c>
      <c r="C38" s="15">
        <f>INDEX(Entradas!$F$40:$F$46,MATCH(B38,Entradas!$A$40:$A$46,0))</f>
        <v>46331</v>
      </c>
      <c r="D38" s="17">
        <f>INDEX(Entradas!$G$40:$G$46,MATCH(B38,Entradas!$A$40:$A$46,0))</f>
        <v>10</v>
      </c>
      <c r="E38" s="14">
        <f t="shared" si="14"/>
        <v>23</v>
      </c>
      <c r="F38" s="15">
        <f>_xlfn.MAXIFS(Tasas!$B$5:$B$36,Tasas!$A$5:$A$36,F$4,Tasas!$B$5:$B$36,"&lt;="&amp;$A38)</f>
        <v>46303</v>
      </c>
      <c r="G38" s="15">
        <f>_xlfn.MAXIFS(Tasas!$B$5:$B$36,Tasas!$A$5:$A$36,G$4,Tasas!$B$5:$B$36,"&lt;="&amp;$A38)</f>
        <v>46303</v>
      </c>
      <c r="H38" s="15">
        <f>_xlfn.MAXIFS(Tasas!$B$5:$B$36,Tasas!$A$5:$A$36,H$4,Tasas!$B$5:$B$36,"&lt;="&amp;$A38)</f>
        <v>46303</v>
      </c>
      <c r="I38" s="15">
        <f>_xlfn.MAXIFS(Tasas!$B$5:$B$36,Tasas!$A$5:$A$36,I$4,Tasas!$B$5:$B$36,"&lt;="&amp;$A38)</f>
        <v>46296</v>
      </c>
      <c r="J38" s="15">
        <f>_xlfn.MAXIFS(Tasas!$B$5:$B$36,Tasas!$A$5:$A$36,J$4,Tasas!$B$5:$B$36,"&lt;="&amp;$A38)</f>
        <v>46303</v>
      </c>
      <c r="K38" s="25">
        <f>SUMIFS(Tasas!$C$5:$C$36,Tasas!$A$5:$A$36,K$4,Tasas!$B$5:$B$36,F38)</f>
        <v>6.09</v>
      </c>
      <c r="L38" s="25">
        <f>SUMIFS(Tasas!$C$5:$C$36,Tasas!$A$5:$A$36,L$4,Tasas!$B$5:$B$36,G38)</f>
        <v>6.78</v>
      </c>
      <c r="M38" s="25">
        <f>SUMIFS(Tasas!$C$5:$C$36,Tasas!$A$5:$A$36,M$4,Tasas!$B$5:$B$36,H38)</f>
        <v>6.91</v>
      </c>
      <c r="N38" s="25">
        <f>SUMIFS(Tasas!$C$5:$C$36,Tasas!$A$5:$A$36,N$4,Tasas!$B$5:$B$36,I38)</f>
        <v>7.44</v>
      </c>
      <c r="O38" s="25">
        <f>SUMIFS(Tasas!$C$5:$C$36,Tasas!$A$5:$A$36,O$4,Tasas!$B$5:$B$36,J38)</f>
        <v>7.98</v>
      </c>
      <c r="P38" s="14">
        <f>SUMIFS(Tasas!$E$5:$E$36,Tasas!$A$5:$A$36,P$4,Tasas!$B$5:$B$36,F38)</f>
        <v>28</v>
      </c>
      <c r="Q38" s="14">
        <f>SUMIFS(Tasas!$E$5:$E$36,Tasas!$A$5:$A$36,Q$4,Tasas!$B$5:$B$36,G38)</f>
        <v>91</v>
      </c>
      <c r="R38" s="14">
        <f>SUMIFS(Tasas!$E$5:$E$36,Tasas!$A$5:$A$36,R$4,Tasas!$B$5:$B$36,H38)</f>
        <v>175</v>
      </c>
      <c r="S38" s="14">
        <f>SUMIFS(Tasas!$E$5:$E$36,Tasas!$A$5:$A$36,S$4,Tasas!$B$5:$B$36,I38)</f>
        <v>349</v>
      </c>
      <c r="T38" s="14">
        <f>SUMIFS(Tasas!$E$5:$E$36,Tasas!$A$5:$A$36,T$4,Tasas!$B$5:$B$36,J38)</f>
        <v>721</v>
      </c>
      <c r="U38" s="14">
        <f t="shared" si="15"/>
        <v>28</v>
      </c>
      <c r="V38" s="14">
        <f t="shared" si="16"/>
        <v>28</v>
      </c>
      <c r="W38" s="14">
        <f t="shared" si="17"/>
        <v>28</v>
      </c>
      <c r="X38" s="14">
        <f t="shared" si="18"/>
        <v>28</v>
      </c>
      <c r="Y38" s="15">
        <f t="shared" si="19"/>
        <v>46303</v>
      </c>
      <c r="Z38" s="15">
        <f t="shared" si="20"/>
        <v>46303</v>
      </c>
      <c r="AA38" s="25">
        <f t="shared" si="21"/>
        <v>6.09</v>
      </c>
      <c r="AB38" s="25">
        <f t="shared" si="22"/>
        <v>6.09</v>
      </c>
      <c r="AC38" s="11" t="str">
        <f t="shared" si="23"/>
        <v>extremo inferior</v>
      </c>
      <c r="AD38" s="26">
        <f t="shared" si="24"/>
        <v>6.09</v>
      </c>
      <c r="AE38" s="26">
        <f t="shared" si="25"/>
        <v>9.9612424657727558</v>
      </c>
      <c r="AF38" s="19">
        <f t="shared" si="26"/>
        <v>9.9612425000000009</v>
      </c>
      <c r="AG38" s="11" t="str">
        <f t="shared" si="27"/>
        <v>46308|BI261105</v>
      </c>
    </row>
    <row r="39" spans="1:33" x14ac:dyDescent="0.3">
      <c r="A39" s="20">
        <v>46309</v>
      </c>
      <c r="B39" s="21" t="s">
        <v>135</v>
      </c>
      <c r="C39" s="15">
        <f>INDEX(Entradas!$F$40:$F$46,MATCH(B39,Entradas!$A$40:$A$46,0))</f>
        <v>46331</v>
      </c>
      <c r="D39" s="17">
        <f>INDEX(Entradas!$G$40:$G$46,MATCH(B39,Entradas!$A$40:$A$46,0))</f>
        <v>10</v>
      </c>
      <c r="E39" s="14">
        <f t="shared" si="14"/>
        <v>22</v>
      </c>
      <c r="F39" s="15">
        <f>_xlfn.MAXIFS(Tasas!$B$5:$B$36,Tasas!$A$5:$A$36,F$4,Tasas!$B$5:$B$36,"&lt;="&amp;$A39)</f>
        <v>46303</v>
      </c>
      <c r="G39" s="15">
        <f>_xlfn.MAXIFS(Tasas!$B$5:$B$36,Tasas!$A$5:$A$36,G$4,Tasas!$B$5:$B$36,"&lt;="&amp;$A39)</f>
        <v>46303</v>
      </c>
      <c r="H39" s="15">
        <f>_xlfn.MAXIFS(Tasas!$B$5:$B$36,Tasas!$A$5:$A$36,H$4,Tasas!$B$5:$B$36,"&lt;="&amp;$A39)</f>
        <v>46303</v>
      </c>
      <c r="I39" s="15">
        <f>_xlfn.MAXIFS(Tasas!$B$5:$B$36,Tasas!$A$5:$A$36,I$4,Tasas!$B$5:$B$36,"&lt;="&amp;$A39)</f>
        <v>46296</v>
      </c>
      <c r="J39" s="15">
        <f>_xlfn.MAXIFS(Tasas!$B$5:$B$36,Tasas!$A$5:$A$36,J$4,Tasas!$B$5:$B$36,"&lt;="&amp;$A39)</f>
        <v>46303</v>
      </c>
      <c r="K39" s="25">
        <f>SUMIFS(Tasas!$C$5:$C$36,Tasas!$A$5:$A$36,K$4,Tasas!$B$5:$B$36,F39)</f>
        <v>6.09</v>
      </c>
      <c r="L39" s="25">
        <f>SUMIFS(Tasas!$C$5:$C$36,Tasas!$A$5:$A$36,L$4,Tasas!$B$5:$B$36,G39)</f>
        <v>6.78</v>
      </c>
      <c r="M39" s="25">
        <f>SUMIFS(Tasas!$C$5:$C$36,Tasas!$A$5:$A$36,M$4,Tasas!$B$5:$B$36,H39)</f>
        <v>6.91</v>
      </c>
      <c r="N39" s="25">
        <f>SUMIFS(Tasas!$C$5:$C$36,Tasas!$A$5:$A$36,N$4,Tasas!$B$5:$B$36,I39)</f>
        <v>7.44</v>
      </c>
      <c r="O39" s="25">
        <f>SUMIFS(Tasas!$C$5:$C$36,Tasas!$A$5:$A$36,O$4,Tasas!$B$5:$B$36,J39)</f>
        <v>7.98</v>
      </c>
      <c r="P39" s="14">
        <f>SUMIFS(Tasas!$E$5:$E$36,Tasas!$A$5:$A$36,P$4,Tasas!$B$5:$B$36,F39)</f>
        <v>28</v>
      </c>
      <c r="Q39" s="14">
        <f>SUMIFS(Tasas!$E$5:$E$36,Tasas!$A$5:$A$36,Q$4,Tasas!$B$5:$B$36,G39)</f>
        <v>91</v>
      </c>
      <c r="R39" s="14">
        <f>SUMIFS(Tasas!$E$5:$E$36,Tasas!$A$5:$A$36,R$4,Tasas!$B$5:$B$36,H39)</f>
        <v>175</v>
      </c>
      <c r="S39" s="14">
        <f>SUMIFS(Tasas!$E$5:$E$36,Tasas!$A$5:$A$36,S$4,Tasas!$B$5:$B$36,I39)</f>
        <v>349</v>
      </c>
      <c r="T39" s="14">
        <f>SUMIFS(Tasas!$E$5:$E$36,Tasas!$A$5:$A$36,T$4,Tasas!$B$5:$B$36,J39)</f>
        <v>721</v>
      </c>
      <c r="U39" s="14">
        <f t="shared" si="15"/>
        <v>28</v>
      </c>
      <c r="V39" s="14">
        <f t="shared" si="16"/>
        <v>28</v>
      </c>
      <c r="W39" s="14">
        <f t="shared" si="17"/>
        <v>28</v>
      </c>
      <c r="X39" s="14">
        <f t="shared" si="18"/>
        <v>28</v>
      </c>
      <c r="Y39" s="15">
        <f t="shared" si="19"/>
        <v>46303</v>
      </c>
      <c r="Z39" s="15">
        <f t="shared" si="20"/>
        <v>46303</v>
      </c>
      <c r="AA39" s="25">
        <f t="shared" si="21"/>
        <v>6.09</v>
      </c>
      <c r="AB39" s="25">
        <f t="shared" si="22"/>
        <v>6.09</v>
      </c>
      <c r="AC39" s="11" t="str">
        <f t="shared" si="23"/>
        <v>extremo inferior</v>
      </c>
      <c r="AD39" s="26">
        <f t="shared" si="24"/>
        <v>6.09</v>
      </c>
      <c r="AE39" s="26">
        <f t="shared" si="25"/>
        <v>9.9629213277917348</v>
      </c>
      <c r="AF39" s="19">
        <f t="shared" si="26"/>
        <v>9.9629212999999996</v>
      </c>
      <c r="AG39" s="11" t="str">
        <f t="shared" si="27"/>
        <v>46309|BI261105</v>
      </c>
    </row>
    <row r="40" spans="1:33" x14ac:dyDescent="0.3">
      <c r="A40" s="20">
        <v>46282</v>
      </c>
      <c r="B40" s="21" t="s">
        <v>137</v>
      </c>
      <c r="C40" s="15">
        <f>INDEX(Entradas!$F$40:$F$46,MATCH(B40,Entradas!$A$40:$A$46,0))</f>
        <v>46373</v>
      </c>
      <c r="D40" s="17">
        <f>INDEX(Entradas!$G$40:$G$46,MATCH(B40,Entradas!$A$40:$A$46,0))</f>
        <v>10</v>
      </c>
      <c r="E40" s="14">
        <f t="shared" si="14"/>
        <v>91</v>
      </c>
      <c r="F40" s="15">
        <f>_xlfn.MAXIFS(Tasas!$B$5:$B$36,Tasas!$A$5:$A$36,F$4,Tasas!$B$5:$B$36,"&lt;="&amp;$A40)</f>
        <v>46282</v>
      </c>
      <c r="G40" s="15">
        <f>_xlfn.MAXIFS(Tasas!$B$5:$B$36,Tasas!$A$5:$A$36,G$4,Tasas!$B$5:$B$36,"&lt;="&amp;$A40)</f>
        <v>46282</v>
      </c>
      <c r="H40" s="15">
        <f>_xlfn.MAXIFS(Tasas!$B$5:$B$36,Tasas!$A$5:$A$36,H$4,Tasas!$B$5:$B$36,"&lt;="&amp;$A40)</f>
        <v>46282</v>
      </c>
      <c r="I40" s="15">
        <f>_xlfn.MAXIFS(Tasas!$B$5:$B$36,Tasas!$A$5:$A$36,I$4,Tasas!$B$5:$B$36,"&lt;="&amp;$A40)</f>
        <v>46282</v>
      </c>
      <c r="J40" s="15">
        <f>_xlfn.MAXIFS(Tasas!$B$5:$B$36,Tasas!$A$5:$A$36,J$4,Tasas!$B$5:$B$36,"&lt;="&amp;$A40)</f>
        <v>46275</v>
      </c>
      <c r="K40" s="25">
        <f>SUMIFS(Tasas!$C$5:$C$36,Tasas!$A$5:$A$36,K$4,Tasas!$B$5:$B$36,F40)</f>
        <v>6.25</v>
      </c>
      <c r="L40" s="25">
        <f>SUMIFS(Tasas!$C$5:$C$36,Tasas!$A$5:$A$36,L$4,Tasas!$B$5:$B$36,G40)</f>
        <v>6.66</v>
      </c>
      <c r="M40" s="25">
        <f>SUMIFS(Tasas!$C$5:$C$36,Tasas!$A$5:$A$36,M$4,Tasas!$B$5:$B$36,H40)</f>
        <v>6.9</v>
      </c>
      <c r="N40" s="25">
        <f>SUMIFS(Tasas!$C$5:$C$36,Tasas!$A$5:$A$36,N$4,Tasas!$B$5:$B$36,I40)</f>
        <v>7.24</v>
      </c>
      <c r="O40" s="25">
        <f>SUMIFS(Tasas!$C$5:$C$36,Tasas!$A$5:$A$36,O$4,Tasas!$B$5:$B$36,J40)</f>
        <v>7.94</v>
      </c>
      <c r="P40" s="14">
        <f>SUMIFS(Tasas!$E$5:$E$36,Tasas!$A$5:$A$36,P$4,Tasas!$B$5:$B$36,F40)</f>
        <v>28</v>
      </c>
      <c r="Q40" s="14">
        <f>SUMIFS(Tasas!$E$5:$E$36,Tasas!$A$5:$A$36,Q$4,Tasas!$B$5:$B$36,G40)</f>
        <v>91</v>
      </c>
      <c r="R40" s="14">
        <f>SUMIFS(Tasas!$E$5:$E$36,Tasas!$A$5:$A$36,R$4,Tasas!$B$5:$B$36,H40)</f>
        <v>182</v>
      </c>
      <c r="S40" s="14">
        <f>SUMIFS(Tasas!$E$5:$E$36,Tasas!$A$5:$A$36,S$4,Tasas!$B$5:$B$36,I40)</f>
        <v>363</v>
      </c>
      <c r="T40" s="14">
        <f>SUMIFS(Tasas!$E$5:$E$36,Tasas!$A$5:$A$36,T$4,Tasas!$B$5:$B$36,J40)</f>
        <v>693</v>
      </c>
      <c r="U40" s="14">
        <f t="shared" si="15"/>
        <v>91</v>
      </c>
      <c r="V40" s="14">
        <f t="shared" si="16"/>
        <v>91</v>
      </c>
      <c r="W40" s="14">
        <f t="shared" si="17"/>
        <v>91</v>
      </c>
      <c r="X40" s="14">
        <f t="shared" si="18"/>
        <v>91</v>
      </c>
      <c r="Y40" s="15">
        <f t="shared" si="19"/>
        <v>46282</v>
      </c>
      <c r="Z40" s="15">
        <f t="shared" si="20"/>
        <v>46282</v>
      </c>
      <c r="AA40" s="25">
        <f t="shared" si="21"/>
        <v>6.66</v>
      </c>
      <c r="AB40" s="25">
        <f t="shared" si="22"/>
        <v>6.66</v>
      </c>
      <c r="AC40" s="11" t="str">
        <f t="shared" si="23"/>
        <v>nodo</v>
      </c>
      <c r="AD40" s="26">
        <f t="shared" si="24"/>
        <v>6.66</v>
      </c>
      <c r="AE40" s="26">
        <f t="shared" si="25"/>
        <v>9.834437248914524</v>
      </c>
      <c r="AF40" s="19">
        <f t="shared" si="26"/>
        <v>9.8344372</v>
      </c>
      <c r="AG40" s="11" t="str">
        <f t="shared" si="27"/>
        <v>46282|BI261217</v>
      </c>
    </row>
    <row r="41" spans="1:33" x14ac:dyDescent="0.3">
      <c r="A41" s="20">
        <v>46283</v>
      </c>
      <c r="B41" s="21" t="s">
        <v>137</v>
      </c>
      <c r="C41" s="15">
        <f>INDEX(Entradas!$F$40:$F$46,MATCH(B41,Entradas!$A$40:$A$46,0))</f>
        <v>46373</v>
      </c>
      <c r="D41" s="17">
        <f>INDEX(Entradas!$G$40:$G$46,MATCH(B41,Entradas!$A$40:$A$46,0))</f>
        <v>10</v>
      </c>
      <c r="E41" s="14">
        <f t="shared" si="14"/>
        <v>90</v>
      </c>
      <c r="F41" s="15">
        <f>_xlfn.MAXIFS(Tasas!$B$5:$B$36,Tasas!$A$5:$A$36,F$4,Tasas!$B$5:$B$36,"&lt;="&amp;$A41)</f>
        <v>46282</v>
      </c>
      <c r="G41" s="15">
        <f>_xlfn.MAXIFS(Tasas!$B$5:$B$36,Tasas!$A$5:$A$36,G$4,Tasas!$B$5:$B$36,"&lt;="&amp;$A41)</f>
        <v>46282</v>
      </c>
      <c r="H41" s="15">
        <f>_xlfn.MAXIFS(Tasas!$B$5:$B$36,Tasas!$A$5:$A$36,H$4,Tasas!$B$5:$B$36,"&lt;="&amp;$A41)</f>
        <v>46282</v>
      </c>
      <c r="I41" s="15">
        <f>_xlfn.MAXIFS(Tasas!$B$5:$B$36,Tasas!$A$5:$A$36,I$4,Tasas!$B$5:$B$36,"&lt;="&amp;$A41)</f>
        <v>46282</v>
      </c>
      <c r="J41" s="15">
        <f>_xlfn.MAXIFS(Tasas!$B$5:$B$36,Tasas!$A$5:$A$36,J$4,Tasas!$B$5:$B$36,"&lt;="&amp;$A41)</f>
        <v>46275</v>
      </c>
      <c r="K41" s="25">
        <f>SUMIFS(Tasas!$C$5:$C$36,Tasas!$A$5:$A$36,K$4,Tasas!$B$5:$B$36,F41)</f>
        <v>6.25</v>
      </c>
      <c r="L41" s="25">
        <f>SUMIFS(Tasas!$C$5:$C$36,Tasas!$A$5:$A$36,L$4,Tasas!$B$5:$B$36,G41)</f>
        <v>6.66</v>
      </c>
      <c r="M41" s="25">
        <f>SUMIFS(Tasas!$C$5:$C$36,Tasas!$A$5:$A$36,M$4,Tasas!$B$5:$B$36,H41)</f>
        <v>6.9</v>
      </c>
      <c r="N41" s="25">
        <f>SUMIFS(Tasas!$C$5:$C$36,Tasas!$A$5:$A$36,N$4,Tasas!$B$5:$B$36,I41)</f>
        <v>7.24</v>
      </c>
      <c r="O41" s="25">
        <f>SUMIFS(Tasas!$C$5:$C$36,Tasas!$A$5:$A$36,O$4,Tasas!$B$5:$B$36,J41)</f>
        <v>7.94</v>
      </c>
      <c r="P41" s="14">
        <f>SUMIFS(Tasas!$E$5:$E$36,Tasas!$A$5:$A$36,P$4,Tasas!$B$5:$B$36,F41)</f>
        <v>28</v>
      </c>
      <c r="Q41" s="14">
        <f>SUMIFS(Tasas!$E$5:$E$36,Tasas!$A$5:$A$36,Q$4,Tasas!$B$5:$B$36,G41)</f>
        <v>91</v>
      </c>
      <c r="R41" s="14">
        <f>SUMIFS(Tasas!$E$5:$E$36,Tasas!$A$5:$A$36,R$4,Tasas!$B$5:$B$36,H41)</f>
        <v>182</v>
      </c>
      <c r="S41" s="14">
        <f>SUMIFS(Tasas!$E$5:$E$36,Tasas!$A$5:$A$36,S$4,Tasas!$B$5:$B$36,I41)</f>
        <v>363</v>
      </c>
      <c r="T41" s="14">
        <f>SUMIFS(Tasas!$E$5:$E$36,Tasas!$A$5:$A$36,T$4,Tasas!$B$5:$B$36,J41)</f>
        <v>693</v>
      </c>
      <c r="U41" s="14">
        <f t="shared" si="15"/>
        <v>28</v>
      </c>
      <c r="V41" s="14">
        <f t="shared" si="16"/>
        <v>91</v>
      </c>
      <c r="W41" s="14">
        <f t="shared" si="17"/>
        <v>28</v>
      </c>
      <c r="X41" s="14">
        <f t="shared" si="18"/>
        <v>91</v>
      </c>
      <c r="Y41" s="15">
        <f t="shared" si="19"/>
        <v>46282</v>
      </c>
      <c r="Z41" s="15">
        <f t="shared" si="20"/>
        <v>46282</v>
      </c>
      <c r="AA41" s="25">
        <f t="shared" si="21"/>
        <v>6.25</v>
      </c>
      <c r="AB41" s="25">
        <f t="shared" si="22"/>
        <v>6.66</v>
      </c>
      <c r="AC41" s="11" t="str">
        <f t="shared" si="23"/>
        <v>interpolación</v>
      </c>
      <c r="AD41" s="26">
        <f t="shared" si="24"/>
        <v>6.653492063492064</v>
      </c>
      <c r="AE41" s="26">
        <f t="shared" si="25"/>
        <v>9.836384238833654</v>
      </c>
      <c r="AF41" s="19">
        <f t="shared" si="26"/>
        <v>9.8363841999999995</v>
      </c>
      <c r="AG41" s="11" t="str">
        <f t="shared" si="27"/>
        <v>46283|BI261217</v>
      </c>
    </row>
    <row r="42" spans="1:33" x14ac:dyDescent="0.3">
      <c r="A42" s="20">
        <v>46284</v>
      </c>
      <c r="B42" s="21" t="s">
        <v>137</v>
      </c>
      <c r="C42" s="15">
        <f>INDEX(Entradas!$F$40:$F$46,MATCH(B42,Entradas!$A$40:$A$46,0))</f>
        <v>46373</v>
      </c>
      <c r="D42" s="17">
        <f>INDEX(Entradas!$G$40:$G$46,MATCH(B42,Entradas!$A$40:$A$46,0))</f>
        <v>10</v>
      </c>
      <c r="E42" s="14">
        <f t="shared" si="14"/>
        <v>89</v>
      </c>
      <c r="F42" s="15">
        <f>_xlfn.MAXIFS(Tasas!$B$5:$B$36,Tasas!$A$5:$A$36,F$4,Tasas!$B$5:$B$36,"&lt;="&amp;$A42)</f>
        <v>46282</v>
      </c>
      <c r="G42" s="15">
        <f>_xlfn.MAXIFS(Tasas!$B$5:$B$36,Tasas!$A$5:$A$36,G$4,Tasas!$B$5:$B$36,"&lt;="&amp;$A42)</f>
        <v>46282</v>
      </c>
      <c r="H42" s="15">
        <f>_xlfn.MAXIFS(Tasas!$B$5:$B$36,Tasas!$A$5:$A$36,H$4,Tasas!$B$5:$B$36,"&lt;="&amp;$A42)</f>
        <v>46282</v>
      </c>
      <c r="I42" s="15">
        <f>_xlfn.MAXIFS(Tasas!$B$5:$B$36,Tasas!$A$5:$A$36,I$4,Tasas!$B$5:$B$36,"&lt;="&amp;$A42)</f>
        <v>46282</v>
      </c>
      <c r="J42" s="15">
        <f>_xlfn.MAXIFS(Tasas!$B$5:$B$36,Tasas!$A$5:$A$36,J$4,Tasas!$B$5:$B$36,"&lt;="&amp;$A42)</f>
        <v>46275</v>
      </c>
      <c r="K42" s="25">
        <f>SUMIFS(Tasas!$C$5:$C$36,Tasas!$A$5:$A$36,K$4,Tasas!$B$5:$B$36,F42)</f>
        <v>6.25</v>
      </c>
      <c r="L42" s="25">
        <f>SUMIFS(Tasas!$C$5:$C$36,Tasas!$A$5:$A$36,L$4,Tasas!$B$5:$B$36,G42)</f>
        <v>6.66</v>
      </c>
      <c r="M42" s="25">
        <f>SUMIFS(Tasas!$C$5:$C$36,Tasas!$A$5:$A$36,M$4,Tasas!$B$5:$B$36,H42)</f>
        <v>6.9</v>
      </c>
      <c r="N42" s="25">
        <f>SUMIFS(Tasas!$C$5:$C$36,Tasas!$A$5:$A$36,N$4,Tasas!$B$5:$B$36,I42)</f>
        <v>7.24</v>
      </c>
      <c r="O42" s="25">
        <f>SUMIFS(Tasas!$C$5:$C$36,Tasas!$A$5:$A$36,O$4,Tasas!$B$5:$B$36,J42)</f>
        <v>7.94</v>
      </c>
      <c r="P42" s="14">
        <f>SUMIFS(Tasas!$E$5:$E$36,Tasas!$A$5:$A$36,P$4,Tasas!$B$5:$B$36,F42)</f>
        <v>28</v>
      </c>
      <c r="Q42" s="14">
        <f>SUMIFS(Tasas!$E$5:$E$36,Tasas!$A$5:$A$36,Q$4,Tasas!$B$5:$B$36,G42)</f>
        <v>91</v>
      </c>
      <c r="R42" s="14">
        <f>SUMIFS(Tasas!$E$5:$E$36,Tasas!$A$5:$A$36,R$4,Tasas!$B$5:$B$36,H42)</f>
        <v>182</v>
      </c>
      <c r="S42" s="14">
        <f>SUMIFS(Tasas!$E$5:$E$36,Tasas!$A$5:$A$36,S$4,Tasas!$B$5:$B$36,I42)</f>
        <v>363</v>
      </c>
      <c r="T42" s="14">
        <f>SUMIFS(Tasas!$E$5:$E$36,Tasas!$A$5:$A$36,T$4,Tasas!$B$5:$B$36,J42)</f>
        <v>693</v>
      </c>
      <c r="U42" s="14">
        <f t="shared" si="15"/>
        <v>28</v>
      </c>
      <c r="V42" s="14">
        <f t="shared" si="16"/>
        <v>91</v>
      </c>
      <c r="W42" s="14">
        <f t="shared" si="17"/>
        <v>28</v>
      </c>
      <c r="X42" s="14">
        <f t="shared" si="18"/>
        <v>91</v>
      </c>
      <c r="Y42" s="15">
        <f t="shared" si="19"/>
        <v>46282</v>
      </c>
      <c r="Z42" s="15">
        <f t="shared" si="20"/>
        <v>46282</v>
      </c>
      <c r="AA42" s="25">
        <f t="shared" si="21"/>
        <v>6.25</v>
      </c>
      <c r="AB42" s="25">
        <f t="shared" si="22"/>
        <v>6.66</v>
      </c>
      <c r="AC42" s="11" t="str">
        <f t="shared" si="23"/>
        <v>interpolación</v>
      </c>
      <c r="AD42" s="26">
        <f t="shared" si="24"/>
        <v>6.646984126984127</v>
      </c>
      <c r="AE42" s="26">
        <f t="shared" si="25"/>
        <v>9.8383285002616887</v>
      </c>
      <c r="AF42" s="19">
        <f t="shared" si="26"/>
        <v>9.8383284999999994</v>
      </c>
      <c r="AG42" s="11" t="str">
        <f t="shared" si="27"/>
        <v>46284|BI261217</v>
      </c>
    </row>
    <row r="43" spans="1:33" x14ac:dyDescent="0.3">
      <c r="A43" s="20">
        <v>46285</v>
      </c>
      <c r="B43" s="21" t="s">
        <v>137</v>
      </c>
      <c r="C43" s="15">
        <f>INDEX(Entradas!$F$40:$F$46,MATCH(B43,Entradas!$A$40:$A$46,0))</f>
        <v>46373</v>
      </c>
      <c r="D43" s="17">
        <f>INDEX(Entradas!$G$40:$G$46,MATCH(B43,Entradas!$A$40:$A$46,0))</f>
        <v>10</v>
      </c>
      <c r="E43" s="14">
        <f t="shared" si="14"/>
        <v>88</v>
      </c>
      <c r="F43" s="15">
        <f>_xlfn.MAXIFS(Tasas!$B$5:$B$36,Tasas!$A$5:$A$36,F$4,Tasas!$B$5:$B$36,"&lt;="&amp;$A43)</f>
        <v>46282</v>
      </c>
      <c r="G43" s="15">
        <f>_xlfn.MAXIFS(Tasas!$B$5:$B$36,Tasas!$A$5:$A$36,G$4,Tasas!$B$5:$B$36,"&lt;="&amp;$A43)</f>
        <v>46282</v>
      </c>
      <c r="H43" s="15">
        <f>_xlfn.MAXIFS(Tasas!$B$5:$B$36,Tasas!$A$5:$A$36,H$4,Tasas!$B$5:$B$36,"&lt;="&amp;$A43)</f>
        <v>46282</v>
      </c>
      <c r="I43" s="15">
        <f>_xlfn.MAXIFS(Tasas!$B$5:$B$36,Tasas!$A$5:$A$36,I$4,Tasas!$B$5:$B$36,"&lt;="&amp;$A43)</f>
        <v>46282</v>
      </c>
      <c r="J43" s="15">
        <f>_xlfn.MAXIFS(Tasas!$B$5:$B$36,Tasas!$A$5:$A$36,J$4,Tasas!$B$5:$B$36,"&lt;="&amp;$A43)</f>
        <v>46275</v>
      </c>
      <c r="K43" s="25">
        <f>SUMIFS(Tasas!$C$5:$C$36,Tasas!$A$5:$A$36,K$4,Tasas!$B$5:$B$36,F43)</f>
        <v>6.25</v>
      </c>
      <c r="L43" s="25">
        <f>SUMIFS(Tasas!$C$5:$C$36,Tasas!$A$5:$A$36,L$4,Tasas!$B$5:$B$36,G43)</f>
        <v>6.66</v>
      </c>
      <c r="M43" s="25">
        <f>SUMIFS(Tasas!$C$5:$C$36,Tasas!$A$5:$A$36,M$4,Tasas!$B$5:$B$36,H43)</f>
        <v>6.9</v>
      </c>
      <c r="N43" s="25">
        <f>SUMIFS(Tasas!$C$5:$C$36,Tasas!$A$5:$A$36,N$4,Tasas!$B$5:$B$36,I43)</f>
        <v>7.24</v>
      </c>
      <c r="O43" s="25">
        <f>SUMIFS(Tasas!$C$5:$C$36,Tasas!$A$5:$A$36,O$4,Tasas!$B$5:$B$36,J43)</f>
        <v>7.94</v>
      </c>
      <c r="P43" s="14">
        <f>SUMIFS(Tasas!$E$5:$E$36,Tasas!$A$5:$A$36,P$4,Tasas!$B$5:$B$36,F43)</f>
        <v>28</v>
      </c>
      <c r="Q43" s="14">
        <f>SUMIFS(Tasas!$E$5:$E$36,Tasas!$A$5:$A$36,Q$4,Tasas!$B$5:$B$36,G43)</f>
        <v>91</v>
      </c>
      <c r="R43" s="14">
        <f>SUMIFS(Tasas!$E$5:$E$36,Tasas!$A$5:$A$36,R$4,Tasas!$B$5:$B$36,H43)</f>
        <v>182</v>
      </c>
      <c r="S43" s="14">
        <f>SUMIFS(Tasas!$E$5:$E$36,Tasas!$A$5:$A$36,S$4,Tasas!$B$5:$B$36,I43)</f>
        <v>363</v>
      </c>
      <c r="T43" s="14">
        <f>SUMIFS(Tasas!$E$5:$E$36,Tasas!$A$5:$A$36,T$4,Tasas!$B$5:$B$36,J43)</f>
        <v>693</v>
      </c>
      <c r="U43" s="14">
        <f t="shared" si="15"/>
        <v>28</v>
      </c>
      <c r="V43" s="14">
        <f t="shared" si="16"/>
        <v>91</v>
      </c>
      <c r="W43" s="14">
        <f t="shared" si="17"/>
        <v>28</v>
      </c>
      <c r="X43" s="14">
        <f t="shared" si="18"/>
        <v>91</v>
      </c>
      <c r="Y43" s="15">
        <f t="shared" si="19"/>
        <v>46282</v>
      </c>
      <c r="Z43" s="15">
        <f t="shared" si="20"/>
        <v>46282</v>
      </c>
      <c r="AA43" s="25">
        <f t="shared" si="21"/>
        <v>6.25</v>
      </c>
      <c r="AB43" s="25">
        <f t="shared" si="22"/>
        <v>6.66</v>
      </c>
      <c r="AC43" s="11" t="str">
        <f t="shared" si="23"/>
        <v>interpolación</v>
      </c>
      <c r="AD43" s="26">
        <f t="shared" si="24"/>
        <v>6.6404761904761909</v>
      </c>
      <c r="AE43" s="26">
        <f t="shared" si="25"/>
        <v>9.8402700295051897</v>
      </c>
      <c r="AF43" s="19">
        <f t="shared" si="26"/>
        <v>9.8402700000000003</v>
      </c>
      <c r="AG43" s="11" t="str">
        <f t="shared" si="27"/>
        <v>46285|BI261217</v>
      </c>
    </row>
    <row r="44" spans="1:33" x14ac:dyDescent="0.3">
      <c r="A44" s="20">
        <v>46286</v>
      </c>
      <c r="B44" s="21" t="s">
        <v>137</v>
      </c>
      <c r="C44" s="15">
        <f>INDEX(Entradas!$F$40:$F$46,MATCH(B44,Entradas!$A$40:$A$46,0))</f>
        <v>46373</v>
      </c>
      <c r="D44" s="17">
        <f>INDEX(Entradas!$G$40:$G$46,MATCH(B44,Entradas!$A$40:$A$46,0))</f>
        <v>10</v>
      </c>
      <c r="E44" s="14">
        <f t="shared" si="14"/>
        <v>87</v>
      </c>
      <c r="F44" s="15">
        <f>_xlfn.MAXIFS(Tasas!$B$5:$B$36,Tasas!$A$5:$A$36,F$4,Tasas!$B$5:$B$36,"&lt;="&amp;$A44)</f>
        <v>46282</v>
      </c>
      <c r="G44" s="15">
        <f>_xlfn.MAXIFS(Tasas!$B$5:$B$36,Tasas!$A$5:$A$36,G$4,Tasas!$B$5:$B$36,"&lt;="&amp;$A44)</f>
        <v>46282</v>
      </c>
      <c r="H44" s="15">
        <f>_xlfn.MAXIFS(Tasas!$B$5:$B$36,Tasas!$A$5:$A$36,H$4,Tasas!$B$5:$B$36,"&lt;="&amp;$A44)</f>
        <v>46282</v>
      </c>
      <c r="I44" s="15">
        <f>_xlfn.MAXIFS(Tasas!$B$5:$B$36,Tasas!$A$5:$A$36,I$4,Tasas!$B$5:$B$36,"&lt;="&amp;$A44)</f>
        <v>46282</v>
      </c>
      <c r="J44" s="15">
        <f>_xlfn.MAXIFS(Tasas!$B$5:$B$36,Tasas!$A$5:$A$36,J$4,Tasas!$B$5:$B$36,"&lt;="&amp;$A44)</f>
        <v>46275</v>
      </c>
      <c r="K44" s="25">
        <f>SUMIFS(Tasas!$C$5:$C$36,Tasas!$A$5:$A$36,K$4,Tasas!$B$5:$B$36,F44)</f>
        <v>6.25</v>
      </c>
      <c r="L44" s="25">
        <f>SUMIFS(Tasas!$C$5:$C$36,Tasas!$A$5:$A$36,L$4,Tasas!$B$5:$B$36,G44)</f>
        <v>6.66</v>
      </c>
      <c r="M44" s="25">
        <f>SUMIFS(Tasas!$C$5:$C$36,Tasas!$A$5:$A$36,M$4,Tasas!$B$5:$B$36,H44)</f>
        <v>6.9</v>
      </c>
      <c r="N44" s="25">
        <f>SUMIFS(Tasas!$C$5:$C$36,Tasas!$A$5:$A$36,N$4,Tasas!$B$5:$B$36,I44)</f>
        <v>7.24</v>
      </c>
      <c r="O44" s="25">
        <f>SUMIFS(Tasas!$C$5:$C$36,Tasas!$A$5:$A$36,O$4,Tasas!$B$5:$B$36,J44)</f>
        <v>7.94</v>
      </c>
      <c r="P44" s="14">
        <f>SUMIFS(Tasas!$E$5:$E$36,Tasas!$A$5:$A$36,P$4,Tasas!$B$5:$B$36,F44)</f>
        <v>28</v>
      </c>
      <c r="Q44" s="14">
        <f>SUMIFS(Tasas!$E$5:$E$36,Tasas!$A$5:$A$36,Q$4,Tasas!$B$5:$B$36,G44)</f>
        <v>91</v>
      </c>
      <c r="R44" s="14">
        <f>SUMIFS(Tasas!$E$5:$E$36,Tasas!$A$5:$A$36,R$4,Tasas!$B$5:$B$36,H44)</f>
        <v>182</v>
      </c>
      <c r="S44" s="14">
        <f>SUMIFS(Tasas!$E$5:$E$36,Tasas!$A$5:$A$36,S$4,Tasas!$B$5:$B$36,I44)</f>
        <v>363</v>
      </c>
      <c r="T44" s="14">
        <f>SUMIFS(Tasas!$E$5:$E$36,Tasas!$A$5:$A$36,T$4,Tasas!$B$5:$B$36,J44)</f>
        <v>693</v>
      </c>
      <c r="U44" s="14">
        <f t="shared" si="15"/>
        <v>28</v>
      </c>
      <c r="V44" s="14">
        <f t="shared" si="16"/>
        <v>91</v>
      </c>
      <c r="W44" s="14">
        <f t="shared" si="17"/>
        <v>28</v>
      </c>
      <c r="X44" s="14">
        <f t="shared" si="18"/>
        <v>91</v>
      </c>
      <c r="Y44" s="15">
        <f t="shared" si="19"/>
        <v>46282</v>
      </c>
      <c r="Z44" s="15">
        <f t="shared" si="20"/>
        <v>46282</v>
      </c>
      <c r="AA44" s="25">
        <f t="shared" si="21"/>
        <v>6.25</v>
      </c>
      <c r="AB44" s="25">
        <f t="shared" si="22"/>
        <v>6.66</v>
      </c>
      <c r="AC44" s="11" t="str">
        <f t="shared" si="23"/>
        <v>interpolación</v>
      </c>
      <c r="AD44" s="26">
        <f t="shared" si="24"/>
        <v>6.6339682539682538</v>
      </c>
      <c r="AE44" s="26">
        <f t="shared" si="25"/>
        <v>9.842208822873646</v>
      </c>
      <c r="AF44" s="19">
        <f t="shared" si="26"/>
        <v>9.8422087999999999</v>
      </c>
      <c r="AG44" s="11" t="str">
        <f t="shared" si="27"/>
        <v>46286|BI261217</v>
      </c>
    </row>
    <row r="45" spans="1:33" x14ac:dyDescent="0.3">
      <c r="A45" s="20">
        <v>46287</v>
      </c>
      <c r="B45" s="21" t="s">
        <v>137</v>
      </c>
      <c r="C45" s="15">
        <f>INDEX(Entradas!$F$40:$F$46,MATCH(B45,Entradas!$A$40:$A$46,0))</f>
        <v>46373</v>
      </c>
      <c r="D45" s="17">
        <f>INDEX(Entradas!$G$40:$G$46,MATCH(B45,Entradas!$A$40:$A$46,0))</f>
        <v>10</v>
      </c>
      <c r="E45" s="14">
        <f t="shared" si="14"/>
        <v>86</v>
      </c>
      <c r="F45" s="15">
        <f>_xlfn.MAXIFS(Tasas!$B$5:$B$36,Tasas!$A$5:$A$36,F$4,Tasas!$B$5:$B$36,"&lt;="&amp;$A45)</f>
        <v>46282</v>
      </c>
      <c r="G45" s="15">
        <f>_xlfn.MAXIFS(Tasas!$B$5:$B$36,Tasas!$A$5:$A$36,G$4,Tasas!$B$5:$B$36,"&lt;="&amp;$A45)</f>
        <v>46282</v>
      </c>
      <c r="H45" s="15">
        <f>_xlfn.MAXIFS(Tasas!$B$5:$B$36,Tasas!$A$5:$A$36,H$4,Tasas!$B$5:$B$36,"&lt;="&amp;$A45)</f>
        <v>46282</v>
      </c>
      <c r="I45" s="15">
        <f>_xlfn.MAXIFS(Tasas!$B$5:$B$36,Tasas!$A$5:$A$36,I$4,Tasas!$B$5:$B$36,"&lt;="&amp;$A45)</f>
        <v>46282</v>
      </c>
      <c r="J45" s="15">
        <f>_xlfn.MAXIFS(Tasas!$B$5:$B$36,Tasas!$A$5:$A$36,J$4,Tasas!$B$5:$B$36,"&lt;="&amp;$A45)</f>
        <v>46275</v>
      </c>
      <c r="K45" s="25">
        <f>SUMIFS(Tasas!$C$5:$C$36,Tasas!$A$5:$A$36,K$4,Tasas!$B$5:$B$36,F45)</f>
        <v>6.25</v>
      </c>
      <c r="L45" s="25">
        <f>SUMIFS(Tasas!$C$5:$C$36,Tasas!$A$5:$A$36,L$4,Tasas!$B$5:$B$36,G45)</f>
        <v>6.66</v>
      </c>
      <c r="M45" s="25">
        <f>SUMIFS(Tasas!$C$5:$C$36,Tasas!$A$5:$A$36,M$4,Tasas!$B$5:$B$36,H45)</f>
        <v>6.9</v>
      </c>
      <c r="N45" s="25">
        <f>SUMIFS(Tasas!$C$5:$C$36,Tasas!$A$5:$A$36,N$4,Tasas!$B$5:$B$36,I45)</f>
        <v>7.24</v>
      </c>
      <c r="O45" s="25">
        <f>SUMIFS(Tasas!$C$5:$C$36,Tasas!$A$5:$A$36,O$4,Tasas!$B$5:$B$36,J45)</f>
        <v>7.94</v>
      </c>
      <c r="P45" s="14">
        <f>SUMIFS(Tasas!$E$5:$E$36,Tasas!$A$5:$A$36,P$4,Tasas!$B$5:$B$36,F45)</f>
        <v>28</v>
      </c>
      <c r="Q45" s="14">
        <f>SUMIFS(Tasas!$E$5:$E$36,Tasas!$A$5:$A$36,Q$4,Tasas!$B$5:$B$36,G45)</f>
        <v>91</v>
      </c>
      <c r="R45" s="14">
        <f>SUMIFS(Tasas!$E$5:$E$36,Tasas!$A$5:$A$36,R$4,Tasas!$B$5:$B$36,H45)</f>
        <v>182</v>
      </c>
      <c r="S45" s="14">
        <f>SUMIFS(Tasas!$E$5:$E$36,Tasas!$A$5:$A$36,S$4,Tasas!$B$5:$B$36,I45)</f>
        <v>363</v>
      </c>
      <c r="T45" s="14">
        <f>SUMIFS(Tasas!$E$5:$E$36,Tasas!$A$5:$A$36,T$4,Tasas!$B$5:$B$36,J45)</f>
        <v>693</v>
      </c>
      <c r="U45" s="14">
        <f t="shared" si="15"/>
        <v>28</v>
      </c>
      <c r="V45" s="14">
        <f t="shared" si="16"/>
        <v>91</v>
      </c>
      <c r="W45" s="14">
        <f t="shared" si="17"/>
        <v>28</v>
      </c>
      <c r="X45" s="14">
        <f t="shared" si="18"/>
        <v>91</v>
      </c>
      <c r="Y45" s="15">
        <f t="shared" si="19"/>
        <v>46282</v>
      </c>
      <c r="Z45" s="15">
        <f t="shared" si="20"/>
        <v>46282</v>
      </c>
      <c r="AA45" s="25">
        <f t="shared" si="21"/>
        <v>6.25</v>
      </c>
      <c r="AB45" s="25">
        <f t="shared" si="22"/>
        <v>6.66</v>
      </c>
      <c r="AC45" s="11" t="str">
        <f t="shared" si="23"/>
        <v>interpolación</v>
      </c>
      <c r="AD45" s="26">
        <f t="shared" si="24"/>
        <v>6.6274603174603177</v>
      </c>
      <c r="AE45" s="26">
        <f t="shared" si="25"/>
        <v>9.8441448766794721</v>
      </c>
      <c r="AF45" s="19">
        <f t="shared" si="26"/>
        <v>9.8441448999999999</v>
      </c>
      <c r="AG45" s="11" t="str">
        <f t="shared" si="27"/>
        <v>46287|BI261217</v>
      </c>
    </row>
    <row r="46" spans="1:33" x14ac:dyDescent="0.3">
      <c r="A46" s="20">
        <v>46288</v>
      </c>
      <c r="B46" s="21" t="s">
        <v>137</v>
      </c>
      <c r="C46" s="15">
        <f>INDEX(Entradas!$F$40:$F$46,MATCH(B46,Entradas!$A$40:$A$46,0))</f>
        <v>46373</v>
      </c>
      <c r="D46" s="17">
        <f>INDEX(Entradas!$G$40:$G$46,MATCH(B46,Entradas!$A$40:$A$46,0))</f>
        <v>10</v>
      </c>
      <c r="E46" s="14">
        <f t="shared" si="14"/>
        <v>85</v>
      </c>
      <c r="F46" s="15">
        <f>_xlfn.MAXIFS(Tasas!$B$5:$B$36,Tasas!$A$5:$A$36,F$4,Tasas!$B$5:$B$36,"&lt;="&amp;$A46)</f>
        <v>46282</v>
      </c>
      <c r="G46" s="15">
        <f>_xlfn.MAXIFS(Tasas!$B$5:$B$36,Tasas!$A$5:$A$36,G$4,Tasas!$B$5:$B$36,"&lt;="&amp;$A46)</f>
        <v>46282</v>
      </c>
      <c r="H46" s="15">
        <f>_xlfn.MAXIFS(Tasas!$B$5:$B$36,Tasas!$A$5:$A$36,H$4,Tasas!$B$5:$B$36,"&lt;="&amp;$A46)</f>
        <v>46282</v>
      </c>
      <c r="I46" s="15">
        <f>_xlfn.MAXIFS(Tasas!$B$5:$B$36,Tasas!$A$5:$A$36,I$4,Tasas!$B$5:$B$36,"&lt;="&amp;$A46)</f>
        <v>46282</v>
      </c>
      <c r="J46" s="15">
        <f>_xlfn.MAXIFS(Tasas!$B$5:$B$36,Tasas!$A$5:$A$36,J$4,Tasas!$B$5:$B$36,"&lt;="&amp;$A46)</f>
        <v>46275</v>
      </c>
      <c r="K46" s="25">
        <f>SUMIFS(Tasas!$C$5:$C$36,Tasas!$A$5:$A$36,K$4,Tasas!$B$5:$B$36,F46)</f>
        <v>6.25</v>
      </c>
      <c r="L46" s="25">
        <f>SUMIFS(Tasas!$C$5:$C$36,Tasas!$A$5:$A$36,L$4,Tasas!$B$5:$B$36,G46)</f>
        <v>6.66</v>
      </c>
      <c r="M46" s="25">
        <f>SUMIFS(Tasas!$C$5:$C$36,Tasas!$A$5:$A$36,M$4,Tasas!$B$5:$B$36,H46)</f>
        <v>6.9</v>
      </c>
      <c r="N46" s="25">
        <f>SUMIFS(Tasas!$C$5:$C$36,Tasas!$A$5:$A$36,N$4,Tasas!$B$5:$B$36,I46)</f>
        <v>7.24</v>
      </c>
      <c r="O46" s="25">
        <f>SUMIFS(Tasas!$C$5:$C$36,Tasas!$A$5:$A$36,O$4,Tasas!$B$5:$B$36,J46)</f>
        <v>7.94</v>
      </c>
      <c r="P46" s="14">
        <f>SUMIFS(Tasas!$E$5:$E$36,Tasas!$A$5:$A$36,P$4,Tasas!$B$5:$B$36,F46)</f>
        <v>28</v>
      </c>
      <c r="Q46" s="14">
        <f>SUMIFS(Tasas!$E$5:$E$36,Tasas!$A$5:$A$36,Q$4,Tasas!$B$5:$B$36,G46)</f>
        <v>91</v>
      </c>
      <c r="R46" s="14">
        <f>SUMIFS(Tasas!$E$5:$E$36,Tasas!$A$5:$A$36,R$4,Tasas!$B$5:$B$36,H46)</f>
        <v>182</v>
      </c>
      <c r="S46" s="14">
        <f>SUMIFS(Tasas!$E$5:$E$36,Tasas!$A$5:$A$36,S$4,Tasas!$B$5:$B$36,I46)</f>
        <v>363</v>
      </c>
      <c r="T46" s="14">
        <f>SUMIFS(Tasas!$E$5:$E$36,Tasas!$A$5:$A$36,T$4,Tasas!$B$5:$B$36,J46)</f>
        <v>693</v>
      </c>
      <c r="U46" s="14">
        <f t="shared" si="15"/>
        <v>28</v>
      </c>
      <c r="V46" s="14">
        <f t="shared" si="16"/>
        <v>91</v>
      </c>
      <c r="W46" s="14">
        <f t="shared" si="17"/>
        <v>28</v>
      </c>
      <c r="X46" s="14">
        <f t="shared" si="18"/>
        <v>91</v>
      </c>
      <c r="Y46" s="15">
        <f t="shared" si="19"/>
        <v>46282</v>
      </c>
      <c r="Z46" s="15">
        <f t="shared" si="20"/>
        <v>46282</v>
      </c>
      <c r="AA46" s="25">
        <f t="shared" si="21"/>
        <v>6.25</v>
      </c>
      <c r="AB46" s="25">
        <f t="shared" si="22"/>
        <v>6.66</v>
      </c>
      <c r="AC46" s="11" t="str">
        <f t="shared" si="23"/>
        <v>interpolación</v>
      </c>
      <c r="AD46" s="26">
        <f t="shared" si="24"/>
        <v>6.6209523809523807</v>
      </c>
      <c r="AE46" s="26">
        <f t="shared" si="25"/>
        <v>9.8460781872380245</v>
      </c>
      <c r="AF46" s="19">
        <f t="shared" si="26"/>
        <v>9.8460781999999991</v>
      </c>
      <c r="AG46" s="11" t="str">
        <f t="shared" si="27"/>
        <v>46288|BI261217</v>
      </c>
    </row>
    <row r="47" spans="1:33" x14ac:dyDescent="0.3">
      <c r="A47" s="20">
        <v>46289</v>
      </c>
      <c r="B47" s="21" t="s">
        <v>137</v>
      </c>
      <c r="C47" s="15">
        <f>INDEX(Entradas!$F$40:$F$46,MATCH(B47,Entradas!$A$40:$A$46,0))</f>
        <v>46373</v>
      </c>
      <c r="D47" s="17">
        <f>INDEX(Entradas!$G$40:$G$46,MATCH(B47,Entradas!$A$40:$A$46,0))</f>
        <v>10</v>
      </c>
      <c r="E47" s="14">
        <f t="shared" si="14"/>
        <v>84</v>
      </c>
      <c r="F47" s="15">
        <f>_xlfn.MAXIFS(Tasas!$B$5:$B$36,Tasas!$A$5:$A$36,F$4,Tasas!$B$5:$B$36,"&lt;="&amp;$A47)</f>
        <v>46289</v>
      </c>
      <c r="G47" s="15">
        <f>_xlfn.MAXIFS(Tasas!$B$5:$B$36,Tasas!$A$5:$A$36,G$4,Tasas!$B$5:$B$36,"&lt;="&amp;$A47)</f>
        <v>46289</v>
      </c>
      <c r="H47" s="15">
        <f>_xlfn.MAXIFS(Tasas!$B$5:$B$36,Tasas!$A$5:$A$36,H$4,Tasas!$B$5:$B$36,"&lt;="&amp;$A47)</f>
        <v>46289</v>
      </c>
      <c r="I47" s="15">
        <f>_xlfn.MAXIFS(Tasas!$B$5:$B$36,Tasas!$A$5:$A$36,I$4,Tasas!$B$5:$B$36,"&lt;="&amp;$A47)</f>
        <v>46282</v>
      </c>
      <c r="J47" s="15">
        <f>_xlfn.MAXIFS(Tasas!$B$5:$B$36,Tasas!$A$5:$A$36,J$4,Tasas!$B$5:$B$36,"&lt;="&amp;$A47)</f>
        <v>46289</v>
      </c>
      <c r="K47" s="25">
        <f>SUMIFS(Tasas!$C$5:$C$36,Tasas!$A$5:$A$36,K$4,Tasas!$B$5:$B$36,F47)</f>
        <v>6.15</v>
      </c>
      <c r="L47" s="25">
        <f>SUMIFS(Tasas!$C$5:$C$36,Tasas!$A$5:$A$36,L$4,Tasas!$B$5:$B$36,G47)</f>
        <v>6.59</v>
      </c>
      <c r="M47" s="25">
        <f>SUMIFS(Tasas!$C$5:$C$36,Tasas!$A$5:$A$36,M$4,Tasas!$B$5:$B$36,H47)</f>
        <v>6.91</v>
      </c>
      <c r="N47" s="25">
        <f>SUMIFS(Tasas!$C$5:$C$36,Tasas!$A$5:$A$36,N$4,Tasas!$B$5:$B$36,I47)</f>
        <v>7.24</v>
      </c>
      <c r="O47" s="25">
        <f>SUMIFS(Tasas!$C$5:$C$36,Tasas!$A$5:$A$36,O$4,Tasas!$B$5:$B$36,J47)</f>
        <v>8.01</v>
      </c>
      <c r="P47" s="14">
        <f>SUMIFS(Tasas!$E$5:$E$36,Tasas!$A$5:$A$36,P$4,Tasas!$B$5:$B$36,F47)</f>
        <v>28</v>
      </c>
      <c r="Q47" s="14">
        <f>SUMIFS(Tasas!$E$5:$E$36,Tasas!$A$5:$A$36,Q$4,Tasas!$B$5:$B$36,G47)</f>
        <v>91</v>
      </c>
      <c r="R47" s="14">
        <f>SUMIFS(Tasas!$E$5:$E$36,Tasas!$A$5:$A$36,R$4,Tasas!$B$5:$B$36,H47)</f>
        <v>175</v>
      </c>
      <c r="S47" s="14">
        <f>SUMIFS(Tasas!$E$5:$E$36,Tasas!$A$5:$A$36,S$4,Tasas!$B$5:$B$36,I47)</f>
        <v>363</v>
      </c>
      <c r="T47" s="14">
        <f>SUMIFS(Tasas!$E$5:$E$36,Tasas!$A$5:$A$36,T$4,Tasas!$B$5:$B$36,J47)</f>
        <v>679</v>
      </c>
      <c r="U47" s="14">
        <f t="shared" si="15"/>
        <v>28</v>
      </c>
      <c r="V47" s="14">
        <f t="shared" si="16"/>
        <v>91</v>
      </c>
      <c r="W47" s="14">
        <f t="shared" si="17"/>
        <v>28</v>
      </c>
      <c r="X47" s="14">
        <f t="shared" si="18"/>
        <v>91</v>
      </c>
      <c r="Y47" s="15">
        <f t="shared" si="19"/>
        <v>46289</v>
      </c>
      <c r="Z47" s="15">
        <f t="shared" si="20"/>
        <v>46289</v>
      </c>
      <c r="AA47" s="25">
        <f t="shared" si="21"/>
        <v>6.15</v>
      </c>
      <c r="AB47" s="25">
        <f t="shared" si="22"/>
        <v>6.59</v>
      </c>
      <c r="AC47" s="11" t="str">
        <f t="shared" si="23"/>
        <v>interpolación</v>
      </c>
      <c r="AD47" s="26">
        <f t="shared" si="24"/>
        <v>6.5411111111111113</v>
      </c>
      <c r="AE47" s="26">
        <f t="shared" si="25"/>
        <v>9.8496685221739746</v>
      </c>
      <c r="AF47" s="19">
        <f t="shared" si="26"/>
        <v>9.8496684999999999</v>
      </c>
      <c r="AG47" s="11" t="str">
        <f t="shared" si="27"/>
        <v>46289|BI261217</v>
      </c>
    </row>
    <row r="48" spans="1:33" x14ac:dyDescent="0.3">
      <c r="A48" s="20">
        <v>46290</v>
      </c>
      <c r="B48" s="21" t="s">
        <v>137</v>
      </c>
      <c r="C48" s="15">
        <f>INDEX(Entradas!$F$40:$F$46,MATCH(B48,Entradas!$A$40:$A$46,0))</f>
        <v>46373</v>
      </c>
      <c r="D48" s="17">
        <f>INDEX(Entradas!$G$40:$G$46,MATCH(B48,Entradas!$A$40:$A$46,0))</f>
        <v>10</v>
      </c>
      <c r="E48" s="14">
        <f t="shared" si="14"/>
        <v>83</v>
      </c>
      <c r="F48" s="15">
        <f>_xlfn.MAXIFS(Tasas!$B$5:$B$36,Tasas!$A$5:$A$36,F$4,Tasas!$B$5:$B$36,"&lt;="&amp;$A48)</f>
        <v>46289</v>
      </c>
      <c r="G48" s="15">
        <f>_xlfn.MAXIFS(Tasas!$B$5:$B$36,Tasas!$A$5:$A$36,G$4,Tasas!$B$5:$B$36,"&lt;="&amp;$A48)</f>
        <v>46289</v>
      </c>
      <c r="H48" s="15">
        <f>_xlfn.MAXIFS(Tasas!$B$5:$B$36,Tasas!$A$5:$A$36,H$4,Tasas!$B$5:$B$36,"&lt;="&amp;$A48)</f>
        <v>46289</v>
      </c>
      <c r="I48" s="15">
        <f>_xlfn.MAXIFS(Tasas!$B$5:$B$36,Tasas!$A$5:$A$36,I$4,Tasas!$B$5:$B$36,"&lt;="&amp;$A48)</f>
        <v>46282</v>
      </c>
      <c r="J48" s="15">
        <f>_xlfn.MAXIFS(Tasas!$B$5:$B$36,Tasas!$A$5:$A$36,J$4,Tasas!$B$5:$B$36,"&lt;="&amp;$A48)</f>
        <v>46289</v>
      </c>
      <c r="K48" s="25">
        <f>SUMIFS(Tasas!$C$5:$C$36,Tasas!$A$5:$A$36,K$4,Tasas!$B$5:$B$36,F48)</f>
        <v>6.15</v>
      </c>
      <c r="L48" s="25">
        <f>SUMIFS(Tasas!$C$5:$C$36,Tasas!$A$5:$A$36,L$4,Tasas!$B$5:$B$36,G48)</f>
        <v>6.59</v>
      </c>
      <c r="M48" s="25">
        <f>SUMIFS(Tasas!$C$5:$C$36,Tasas!$A$5:$A$36,M$4,Tasas!$B$5:$B$36,H48)</f>
        <v>6.91</v>
      </c>
      <c r="N48" s="25">
        <f>SUMIFS(Tasas!$C$5:$C$36,Tasas!$A$5:$A$36,N$4,Tasas!$B$5:$B$36,I48)</f>
        <v>7.24</v>
      </c>
      <c r="O48" s="25">
        <f>SUMIFS(Tasas!$C$5:$C$36,Tasas!$A$5:$A$36,O$4,Tasas!$B$5:$B$36,J48)</f>
        <v>8.01</v>
      </c>
      <c r="P48" s="14">
        <f>SUMIFS(Tasas!$E$5:$E$36,Tasas!$A$5:$A$36,P$4,Tasas!$B$5:$B$36,F48)</f>
        <v>28</v>
      </c>
      <c r="Q48" s="14">
        <f>SUMIFS(Tasas!$E$5:$E$36,Tasas!$A$5:$A$36,Q$4,Tasas!$B$5:$B$36,G48)</f>
        <v>91</v>
      </c>
      <c r="R48" s="14">
        <f>SUMIFS(Tasas!$E$5:$E$36,Tasas!$A$5:$A$36,R$4,Tasas!$B$5:$B$36,H48)</f>
        <v>175</v>
      </c>
      <c r="S48" s="14">
        <f>SUMIFS(Tasas!$E$5:$E$36,Tasas!$A$5:$A$36,S$4,Tasas!$B$5:$B$36,I48)</f>
        <v>363</v>
      </c>
      <c r="T48" s="14">
        <f>SUMIFS(Tasas!$E$5:$E$36,Tasas!$A$5:$A$36,T$4,Tasas!$B$5:$B$36,J48)</f>
        <v>679</v>
      </c>
      <c r="U48" s="14">
        <f t="shared" si="15"/>
        <v>28</v>
      </c>
      <c r="V48" s="14">
        <f t="shared" si="16"/>
        <v>91</v>
      </c>
      <c r="W48" s="14">
        <f t="shared" si="17"/>
        <v>28</v>
      </c>
      <c r="X48" s="14">
        <f t="shared" si="18"/>
        <v>91</v>
      </c>
      <c r="Y48" s="15">
        <f t="shared" si="19"/>
        <v>46289</v>
      </c>
      <c r="Z48" s="15">
        <f t="shared" si="20"/>
        <v>46289</v>
      </c>
      <c r="AA48" s="25">
        <f t="shared" si="21"/>
        <v>6.15</v>
      </c>
      <c r="AB48" s="25">
        <f t="shared" si="22"/>
        <v>6.59</v>
      </c>
      <c r="AC48" s="11" t="str">
        <f t="shared" si="23"/>
        <v>interpolación</v>
      </c>
      <c r="AD48" s="26">
        <f t="shared" si="24"/>
        <v>6.534126984126984</v>
      </c>
      <c r="AE48" s="26">
        <f t="shared" si="25"/>
        <v>9.8515878702889044</v>
      </c>
      <c r="AF48" s="19">
        <f t="shared" si="26"/>
        <v>9.8515879000000002</v>
      </c>
      <c r="AG48" s="11" t="str">
        <f t="shared" si="27"/>
        <v>46290|BI261217</v>
      </c>
    </row>
    <row r="49" spans="1:33" x14ac:dyDescent="0.3">
      <c r="A49" s="20">
        <v>46291</v>
      </c>
      <c r="B49" s="21" t="s">
        <v>137</v>
      </c>
      <c r="C49" s="15">
        <f>INDEX(Entradas!$F$40:$F$46,MATCH(B49,Entradas!$A$40:$A$46,0))</f>
        <v>46373</v>
      </c>
      <c r="D49" s="17">
        <f>INDEX(Entradas!$G$40:$G$46,MATCH(B49,Entradas!$A$40:$A$46,0))</f>
        <v>10</v>
      </c>
      <c r="E49" s="14">
        <f t="shared" si="14"/>
        <v>82</v>
      </c>
      <c r="F49" s="15">
        <f>_xlfn.MAXIFS(Tasas!$B$5:$B$36,Tasas!$A$5:$A$36,F$4,Tasas!$B$5:$B$36,"&lt;="&amp;$A49)</f>
        <v>46289</v>
      </c>
      <c r="G49" s="15">
        <f>_xlfn.MAXIFS(Tasas!$B$5:$B$36,Tasas!$A$5:$A$36,G$4,Tasas!$B$5:$B$36,"&lt;="&amp;$A49)</f>
        <v>46289</v>
      </c>
      <c r="H49" s="15">
        <f>_xlfn.MAXIFS(Tasas!$B$5:$B$36,Tasas!$A$5:$A$36,H$4,Tasas!$B$5:$B$36,"&lt;="&amp;$A49)</f>
        <v>46289</v>
      </c>
      <c r="I49" s="15">
        <f>_xlfn.MAXIFS(Tasas!$B$5:$B$36,Tasas!$A$5:$A$36,I$4,Tasas!$B$5:$B$36,"&lt;="&amp;$A49)</f>
        <v>46282</v>
      </c>
      <c r="J49" s="15">
        <f>_xlfn.MAXIFS(Tasas!$B$5:$B$36,Tasas!$A$5:$A$36,J$4,Tasas!$B$5:$B$36,"&lt;="&amp;$A49)</f>
        <v>46289</v>
      </c>
      <c r="K49" s="25">
        <f>SUMIFS(Tasas!$C$5:$C$36,Tasas!$A$5:$A$36,K$4,Tasas!$B$5:$B$36,F49)</f>
        <v>6.15</v>
      </c>
      <c r="L49" s="25">
        <f>SUMIFS(Tasas!$C$5:$C$36,Tasas!$A$5:$A$36,L$4,Tasas!$B$5:$B$36,G49)</f>
        <v>6.59</v>
      </c>
      <c r="M49" s="25">
        <f>SUMIFS(Tasas!$C$5:$C$36,Tasas!$A$5:$A$36,M$4,Tasas!$B$5:$B$36,H49)</f>
        <v>6.91</v>
      </c>
      <c r="N49" s="25">
        <f>SUMIFS(Tasas!$C$5:$C$36,Tasas!$A$5:$A$36,N$4,Tasas!$B$5:$B$36,I49)</f>
        <v>7.24</v>
      </c>
      <c r="O49" s="25">
        <f>SUMIFS(Tasas!$C$5:$C$36,Tasas!$A$5:$A$36,O$4,Tasas!$B$5:$B$36,J49)</f>
        <v>8.01</v>
      </c>
      <c r="P49" s="14">
        <f>SUMIFS(Tasas!$E$5:$E$36,Tasas!$A$5:$A$36,P$4,Tasas!$B$5:$B$36,F49)</f>
        <v>28</v>
      </c>
      <c r="Q49" s="14">
        <f>SUMIFS(Tasas!$E$5:$E$36,Tasas!$A$5:$A$36,Q$4,Tasas!$B$5:$B$36,G49)</f>
        <v>91</v>
      </c>
      <c r="R49" s="14">
        <f>SUMIFS(Tasas!$E$5:$E$36,Tasas!$A$5:$A$36,R$4,Tasas!$B$5:$B$36,H49)</f>
        <v>175</v>
      </c>
      <c r="S49" s="14">
        <f>SUMIFS(Tasas!$E$5:$E$36,Tasas!$A$5:$A$36,S$4,Tasas!$B$5:$B$36,I49)</f>
        <v>363</v>
      </c>
      <c r="T49" s="14">
        <f>SUMIFS(Tasas!$E$5:$E$36,Tasas!$A$5:$A$36,T$4,Tasas!$B$5:$B$36,J49)</f>
        <v>679</v>
      </c>
      <c r="U49" s="14">
        <f t="shared" si="15"/>
        <v>28</v>
      </c>
      <c r="V49" s="14">
        <f t="shared" si="16"/>
        <v>91</v>
      </c>
      <c r="W49" s="14">
        <f t="shared" si="17"/>
        <v>28</v>
      </c>
      <c r="X49" s="14">
        <f t="shared" si="18"/>
        <v>91</v>
      </c>
      <c r="Y49" s="15">
        <f t="shared" si="19"/>
        <v>46289</v>
      </c>
      <c r="Z49" s="15">
        <f t="shared" si="20"/>
        <v>46289</v>
      </c>
      <c r="AA49" s="25">
        <f t="shared" si="21"/>
        <v>6.15</v>
      </c>
      <c r="AB49" s="25">
        <f t="shared" si="22"/>
        <v>6.59</v>
      </c>
      <c r="AC49" s="11" t="str">
        <f t="shared" si="23"/>
        <v>interpolación</v>
      </c>
      <c r="AD49" s="26">
        <f t="shared" si="24"/>
        <v>6.5271428571428567</v>
      </c>
      <c r="AE49" s="26">
        <f t="shared" si="25"/>
        <v>9.8535041993523436</v>
      </c>
      <c r="AF49" s="19">
        <f t="shared" si="26"/>
        <v>9.8535041999999997</v>
      </c>
      <c r="AG49" s="11" t="str">
        <f t="shared" si="27"/>
        <v>46291|BI261217</v>
      </c>
    </row>
    <row r="50" spans="1:33" x14ac:dyDescent="0.3">
      <c r="A50" s="20">
        <v>46292</v>
      </c>
      <c r="B50" s="21" t="s">
        <v>137</v>
      </c>
      <c r="C50" s="15">
        <f>INDEX(Entradas!$F$40:$F$46,MATCH(B50,Entradas!$A$40:$A$46,0))</f>
        <v>46373</v>
      </c>
      <c r="D50" s="17">
        <f>INDEX(Entradas!$G$40:$G$46,MATCH(B50,Entradas!$A$40:$A$46,0))</f>
        <v>10</v>
      </c>
      <c r="E50" s="14">
        <f t="shared" si="14"/>
        <v>81</v>
      </c>
      <c r="F50" s="15">
        <f>_xlfn.MAXIFS(Tasas!$B$5:$B$36,Tasas!$A$5:$A$36,F$4,Tasas!$B$5:$B$36,"&lt;="&amp;$A50)</f>
        <v>46289</v>
      </c>
      <c r="G50" s="15">
        <f>_xlfn.MAXIFS(Tasas!$B$5:$B$36,Tasas!$A$5:$A$36,G$4,Tasas!$B$5:$B$36,"&lt;="&amp;$A50)</f>
        <v>46289</v>
      </c>
      <c r="H50" s="15">
        <f>_xlfn.MAXIFS(Tasas!$B$5:$B$36,Tasas!$A$5:$A$36,H$4,Tasas!$B$5:$B$36,"&lt;="&amp;$A50)</f>
        <v>46289</v>
      </c>
      <c r="I50" s="15">
        <f>_xlfn.MAXIFS(Tasas!$B$5:$B$36,Tasas!$A$5:$A$36,I$4,Tasas!$B$5:$B$36,"&lt;="&amp;$A50)</f>
        <v>46282</v>
      </c>
      <c r="J50" s="15">
        <f>_xlfn.MAXIFS(Tasas!$B$5:$B$36,Tasas!$A$5:$A$36,J$4,Tasas!$B$5:$B$36,"&lt;="&amp;$A50)</f>
        <v>46289</v>
      </c>
      <c r="K50" s="25">
        <f>SUMIFS(Tasas!$C$5:$C$36,Tasas!$A$5:$A$36,K$4,Tasas!$B$5:$B$36,F50)</f>
        <v>6.15</v>
      </c>
      <c r="L50" s="25">
        <f>SUMIFS(Tasas!$C$5:$C$36,Tasas!$A$5:$A$36,L$4,Tasas!$B$5:$B$36,G50)</f>
        <v>6.59</v>
      </c>
      <c r="M50" s="25">
        <f>SUMIFS(Tasas!$C$5:$C$36,Tasas!$A$5:$A$36,M$4,Tasas!$B$5:$B$36,H50)</f>
        <v>6.91</v>
      </c>
      <c r="N50" s="25">
        <f>SUMIFS(Tasas!$C$5:$C$36,Tasas!$A$5:$A$36,N$4,Tasas!$B$5:$B$36,I50)</f>
        <v>7.24</v>
      </c>
      <c r="O50" s="25">
        <f>SUMIFS(Tasas!$C$5:$C$36,Tasas!$A$5:$A$36,O$4,Tasas!$B$5:$B$36,J50)</f>
        <v>8.01</v>
      </c>
      <c r="P50" s="14">
        <f>SUMIFS(Tasas!$E$5:$E$36,Tasas!$A$5:$A$36,P$4,Tasas!$B$5:$B$36,F50)</f>
        <v>28</v>
      </c>
      <c r="Q50" s="14">
        <f>SUMIFS(Tasas!$E$5:$E$36,Tasas!$A$5:$A$36,Q$4,Tasas!$B$5:$B$36,G50)</f>
        <v>91</v>
      </c>
      <c r="R50" s="14">
        <f>SUMIFS(Tasas!$E$5:$E$36,Tasas!$A$5:$A$36,R$4,Tasas!$B$5:$B$36,H50)</f>
        <v>175</v>
      </c>
      <c r="S50" s="14">
        <f>SUMIFS(Tasas!$E$5:$E$36,Tasas!$A$5:$A$36,S$4,Tasas!$B$5:$B$36,I50)</f>
        <v>363</v>
      </c>
      <c r="T50" s="14">
        <f>SUMIFS(Tasas!$E$5:$E$36,Tasas!$A$5:$A$36,T$4,Tasas!$B$5:$B$36,J50)</f>
        <v>679</v>
      </c>
      <c r="U50" s="14">
        <f t="shared" si="15"/>
        <v>28</v>
      </c>
      <c r="V50" s="14">
        <f t="shared" si="16"/>
        <v>91</v>
      </c>
      <c r="W50" s="14">
        <f t="shared" si="17"/>
        <v>28</v>
      </c>
      <c r="X50" s="14">
        <f t="shared" si="18"/>
        <v>91</v>
      </c>
      <c r="Y50" s="15">
        <f t="shared" si="19"/>
        <v>46289</v>
      </c>
      <c r="Z50" s="15">
        <f t="shared" si="20"/>
        <v>46289</v>
      </c>
      <c r="AA50" s="25">
        <f t="shared" si="21"/>
        <v>6.15</v>
      </c>
      <c r="AB50" s="25">
        <f t="shared" si="22"/>
        <v>6.59</v>
      </c>
      <c r="AC50" s="11" t="str">
        <f t="shared" si="23"/>
        <v>interpolación</v>
      </c>
      <c r="AD50" s="26">
        <f t="shared" si="24"/>
        <v>6.5201587301587303</v>
      </c>
      <c r="AE50" s="26">
        <f t="shared" si="25"/>
        <v>9.8554175054037589</v>
      </c>
      <c r="AF50" s="19">
        <f t="shared" si="26"/>
        <v>9.8554174999999997</v>
      </c>
      <c r="AG50" s="11" t="str">
        <f t="shared" si="27"/>
        <v>46292|BI261217</v>
      </c>
    </row>
    <row r="51" spans="1:33" x14ac:dyDescent="0.3">
      <c r="A51" s="20">
        <v>46293</v>
      </c>
      <c r="B51" s="21" t="s">
        <v>137</v>
      </c>
      <c r="C51" s="15">
        <f>INDEX(Entradas!$F$40:$F$46,MATCH(B51,Entradas!$A$40:$A$46,0))</f>
        <v>46373</v>
      </c>
      <c r="D51" s="17">
        <f>INDEX(Entradas!$G$40:$G$46,MATCH(B51,Entradas!$A$40:$A$46,0))</f>
        <v>10</v>
      </c>
      <c r="E51" s="14">
        <f t="shared" si="14"/>
        <v>80</v>
      </c>
      <c r="F51" s="15">
        <f>_xlfn.MAXIFS(Tasas!$B$5:$B$36,Tasas!$A$5:$A$36,F$4,Tasas!$B$5:$B$36,"&lt;="&amp;$A51)</f>
        <v>46289</v>
      </c>
      <c r="G51" s="15">
        <f>_xlfn.MAXIFS(Tasas!$B$5:$B$36,Tasas!$A$5:$A$36,G$4,Tasas!$B$5:$B$36,"&lt;="&amp;$A51)</f>
        <v>46289</v>
      </c>
      <c r="H51" s="15">
        <f>_xlfn.MAXIFS(Tasas!$B$5:$B$36,Tasas!$A$5:$A$36,H$4,Tasas!$B$5:$B$36,"&lt;="&amp;$A51)</f>
        <v>46289</v>
      </c>
      <c r="I51" s="15">
        <f>_xlfn.MAXIFS(Tasas!$B$5:$B$36,Tasas!$A$5:$A$36,I$4,Tasas!$B$5:$B$36,"&lt;="&amp;$A51)</f>
        <v>46282</v>
      </c>
      <c r="J51" s="15">
        <f>_xlfn.MAXIFS(Tasas!$B$5:$B$36,Tasas!$A$5:$A$36,J$4,Tasas!$B$5:$B$36,"&lt;="&amp;$A51)</f>
        <v>46289</v>
      </c>
      <c r="K51" s="25">
        <f>SUMIFS(Tasas!$C$5:$C$36,Tasas!$A$5:$A$36,K$4,Tasas!$B$5:$B$36,F51)</f>
        <v>6.15</v>
      </c>
      <c r="L51" s="25">
        <f>SUMIFS(Tasas!$C$5:$C$36,Tasas!$A$5:$A$36,L$4,Tasas!$B$5:$B$36,G51)</f>
        <v>6.59</v>
      </c>
      <c r="M51" s="25">
        <f>SUMIFS(Tasas!$C$5:$C$36,Tasas!$A$5:$A$36,M$4,Tasas!$B$5:$B$36,H51)</f>
        <v>6.91</v>
      </c>
      <c r="N51" s="25">
        <f>SUMIFS(Tasas!$C$5:$C$36,Tasas!$A$5:$A$36,N$4,Tasas!$B$5:$B$36,I51)</f>
        <v>7.24</v>
      </c>
      <c r="O51" s="25">
        <f>SUMIFS(Tasas!$C$5:$C$36,Tasas!$A$5:$A$36,O$4,Tasas!$B$5:$B$36,J51)</f>
        <v>8.01</v>
      </c>
      <c r="P51" s="14">
        <f>SUMIFS(Tasas!$E$5:$E$36,Tasas!$A$5:$A$36,P$4,Tasas!$B$5:$B$36,F51)</f>
        <v>28</v>
      </c>
      <c r="Q51" s="14">
        <f>SUMIFS(Tasas!$E$5:$E$36,Tasas!$A$5:$A$36,Q$4,Tasas!$B$5:$B$36,G51)</f>
        <v>91</v>
      </c>
      <c r="R51" s="14">
        <f>SUMIFS(Tasas!$E$5:$E$36,Tasas!$A$5:$A$36,R$4,Tasas!$B$5:$B$36,H51)</f>
        <v>175</v>
      </c>
      <c r="S51" s="14">
        <f>SUMIFS(Tasas!$E$5:$E$36,Tasas!$A$5:$A$36,S$4,Tasas!$B$5:$B$36,I51)</f>
        <v>363</v>
      </c>
      <c r="T51" s="14">
        <f>SUMIFS(Tasas!$E$5:$E$36,Tasas!$A$5:$A$36,T$4,Tasas!$B$5:$B$36,J51)</f>
        <v>679</v>
      </c>
      <c r="U51" s="14">
        <f t="shared" si="15"/>
        <v>28</v>
      </c>
      <c r="V51" s="14">
        <f t="shared" si="16"/>
        <v>91</v>
      </c>
      <c r="W51" s="14">
        <f t="shared" si="17"/>
        <v>28</v>
      </c>
      <c r="X51" s="14">
        <f t="shared" si="18"/>
        <v>91</v>
      </c>
      <c r="Y51" s="15">
        <f t="shared" si="19"/>
        <v>46289</v>
      </c>
      <c r="Z51" s="15">
        <f t="shared" si="20"/>
        <v>46289</v>
      </c>
      <c r="AA51" s="25">
        <f t="shared" si="21"/>
        <v>6.15</v>
      </c>
      <c r="AB51" s="25">
        <f t="shared" si="22"/>
        <v>6.59</v>
      </c>
      <c r="AC51" s="11" t="str">
        <f t="shared" si="23"/>
        <v>interpolación</v>
      </c>
      <c r="AD51" s="26">
        <f t="shared" si="24"/>
        <v>6.513174603174603</v>
      </c>
      <c r="AE51" s="26">
        <f t="shared" si="25"/>
        <v>9.8573277844864773</v>
      </c>
      <c r="AF51" s="19">
        <f t="shared" si="26"/>
        <v>9.8573278000000002</v>
      </c>
      <c r="AG51" s="11" t="str">
        <f t="shared" si="27"/>
        <v>46293|BI261217</v>
      </c>
    </row>
    <row r="52" spans="1:33" x14ac:dyDescent="0.3">
      <c r="A52" s="20">
        <v>46294</v>
      </c>
      <c r="B52" s="21" t="s">
        <v>137</v>
      </c>
      <c r="C52" s="15">
        <f>INDEX(Entradas!$F$40:$F$46,MATCH(B52,Entradas!$A$40:$A$46,0))</f>
        <v>46373</v>
      </c>
      <c r="D52" s="17">
        <f>INDEX(Entradas!$G$40:$G$46,MATCH(B52,Entradas!$A$40:$A$46,0))</f>
        <v>10</v>
      </c>
      <c r="E52" s="14">
        <f t="shared" si="14"/>
        <v>79</v>
      </c>
      <c r="F52" s="15">
        <f>_xlfn.MAXIFS(Tasas!$B$5:$B$36,Tasas!$A$5:$A$36,F$4,Tasas!$B$5:$B$36,"&lt;="&amp;$A52)</f>
        <v>46289</v>
      </c>
      <c r="G52" s="15">
        <f>_xlfn.MAXIFS(Tasas!$B$5:$B$36,Tasas!$A$5:$A$36,G$4,Tasas!$B$5:$B$36,"&lt;="&amp;$A52)</f>
        <v>46289</v>
      </c>
      <c r="H52" s="15">
        <f>_xlfn.MAXIFS(Tasas!$B$5:$B$36,Tasas!$A$5:$A$36,H$4,Tasas!$B$5:$B$36,"&lt;="&amp;$A52)</f>
        <v>46289</v>
      </c>
      <c r="I52" s="15">
        <f>_xlfn.MAXIFS(Tasas!$B$5:$B$36,Tasas!$A$5:$A$36,I$4,Tasas!$B$5:$B$36,"&lt;="&amp;$A52)</f>
        <v>46282</v>
      </c>
      <c r="J52" s="15">
        <f>_xlfn.MAXIFS(Tasas!$B$5:$B$36,Tasas!$A$5:$A$36,J$4,Tasas!$B$5:$B$36,"&lt;="&amp;$A52)</f>
        <v>46289</v>
      </c>
      <c r="K52" s="25">
        <f>SUMIFS(Tasas!$C$5:$C$36,Tasas!$A$5:$A$36,K$4,Tasas!$B$5:$B$36,F52)</f>
        <v>6.15</v>
      </c>
      <c r="L52" s="25">
        <f>SUMIFS(Tasas!$C$5:$C$36,Tasas!$A$5:$A$36,L$4,Tasas!$B$5:$B$36,G52)</f>
        <v>6.59</v>
      </c>
      <c r="M52" s="25">
        <f>SUMIFS(Tasas!$C$5:$C$36,Tasas!$A$5:$A$36,M$4,Tasas!$B$5:$B$36,H52)</f>
        <v>6.91</v>
      </c>
      <c r="N52" s="25">
        <f>SUMIFS(Tasas!$C$5:$C$36,Tasas!$A$5:$A$36,N$4,Tasas!$B$5:$B$36,I52)</f>
        <v>7.24</v>
      </c>
      <c r="O52" s="25">
        <f>SUMIFS(Tasas!$C$5:$C$36,Tasas!$A$5:$A$36,O$4,Tasas!$B$5:$B$36,J52)</f>
        <v>8.01</v>
      </c>
      <c r="P52" s="14">
        <f>SUMIFS(Tasas!$E$5:$E$36,Tasas!$A$5:$A$36,P$4,Tasas!$B$5:$B$36,F52)</f>
        <v>28</v>
      </c>
      <c r="Q52" s="14">
        <f>SUMIFS(Tasas!$E$5:$E$36,Tasas!$A$5:$A$36,Q$4,Tasas!$B$5:$B$36,G52)</f>
        <v>91</v>
      </c>
      <c r="R52" s="14">
        <f>SUMIFS(Tasas!$E$5:$E$36,Tasas!$A$5:$A$36,R$4,Tasas!$B$5:$B$36,H52)</f>
        <v>175</v>
      </c>
      <c r="S52" s="14">
        <f>SUMIFS(Tasas!$E$5:$E$36,Tasas!$A$5:$A$36,S$4,Tasas!$B$5:$B$36,I52)</f>
        <v>363</v>
      </c>
      <c r="T52" s="14">
        <f>SUMIFS(Tasas!$E$5:$E$36,Tasas!$A$5:$A$36,T$4,Tasas!$B$5:$B$36,J52)</f>
        <v>679</v>
      </c>
      <c r="U52" s="14">
        <f t="shared" si="15"/>
        <v>28</v>
      </c>
      <c r="V52" s="14">
        <f t="shared" si="16"/>
        <v>91</v>
      </c>
      <c r="W52" s="14">
        <f t="shared" si="17"/>
        <v>28</v>
      </c>
      <c r="X52" s="14">
        <f t="shared" si="18"/>
        <v>91</v>
      </c>
      <c r="Y52" s="15">
        <f t="shared" si="19"/>
        <v>46289</v>
      </c>
      <c r="Z52" s="15">
        <f t="shared" si="20"/>
        <v>46289</v>
      </c>
      <c r="AA52" s="25">
        <f t="shared" si="21"/>
        <v>6.15</v>
      </c>
      <c r="AB52" s="25">
        <f t="shared" si="22"/>
        <v>6.59</v>
      </c>
      <c r="AC52" s="11" t="str">
        <f t="shared" si="23"/>
        <v>interpolación</v>
      </c>
      <c r="AD52" s="26">
        <f t="shared" si="24"/>
        <v>6.5061904761904765</v>
      </c>
      <c r="AE52" s="26">
        <f t="shared" si="25"/>
        <v>9.8592350326476961</v>
      </c>
      <c r="AF52" s="19">
        <f t="shared" si="26"/>
        <v>9.859235</v>
      </c>
      <c r="AG52" s="11" t="str">
        <f t="shared" si="27"/>
        <v>46294|BI261217</v>
      </c>
    </row>
    <row r="53" spans="1:33" x14ac:dyDescent="0.3">
      <c r="A53" s="20">
        <v>46295</v>
      </c>
      <c r="B53" s="21" t="s">
        <v>137</v>
      </c>
      <c r="C53" s="15">
        <f>INDEX(Entradas!$F$40:$F$46,MATCH(B53,Entradas!$A$40:$A$46,0))</f>
        <v>46373</v>
      </c>
      <c r="D53" s="17">
        <f>INDEX(Entradas!$G$40:$G$46,MATCH(B53,Entradas!$A$40:$A$46,0))</f>
        <v>10</v>
      </c>
      <c r="E53" s="14">
        <f t="shared" si="14"/>
        <v>78</v>
      </c>
      <c r="F53" s="15">
        <f>_xlfn.MAXIFS(Tasas!$B$5:$B$36,Tasas!$A$5:$A$36,F$4,Tasas!$B$5:$B$36,"&lt;="&amp;$A53)</f>
        <v>46289</v>
      </c>
      <c r="G53" s="15">
        <f>_xlfn.MAXIFS(Tasas!$B$5:$B$36,Tasas!$A$5:$A$36,G$4,Tasas!$B$5:$B$36,"&lt;="&amp;$A53)</f>
        <v>46289</v>
      </c>
      <c r="H53" s="15">
        <f>_xlfn.MAXIFS(Tasas!$B$5:$B$36,Tasas!$A$5:$A$36,H$4,Tasas!$B$5:$B$36,"&lt;="&amp;$A53)</f>
        <v>46289</v>
      </c>
      <c r="I53" s="15">
        <f>_xlfn.MAXIFS(Tasas!$B$5:$B$36,Tasas!$A$5:$A$36,I$4,Tasas!$B$5:$B$36,"&lt;="&amp;$A53)</f>
        <v>46282</v>
      </c>
      <c r="J53" s="15">
        <f>_xlfn.MAXIFS(Tasas!$B$5:$B$36,Tasas!$A$5:$A$36,J$4,Tasas!$B$5:$B$36,"&lt;="&amp;$A53)</f>
        <v>46289</v>
      </c>
      <c r="K53" s="25">
        <f>SUMIFS(Tasas!$C$5:$C$36,Tasas!$A$5:$A$36,K$4,Tasas!$B$5:$B$36,F53)</f>
        <v>6.15</v>
      </c>
      <c r="L53" s="25">
        <f>SUMIFS(Tasas!$C$5:$C$36,Tasas!$A$5:$A$36,L$4,Tasas!$B$5:$B$36,G53)</f>
        <v>6.59</v>
      </c>
      <c r="M53" s="25">
        <f>SUMIFS(Tasas!$C$5:$C$36,Tasas!$A$5:$A$36,M$4,Tasas!$B$5:$B$36,H53)</f>
        <v>6.91</v>
      </c>
      <c r="N53" s="25">
        <f>SUMIFS(Tasas!$C$5:$C$36,Tasas!$A$5:$A$36,N$4,Tasas!$B$5:$B$36,I53)</f>
        <v>7.24</v>
      </c>
      <c r="O53" s="25">
        <f>SUMIFS(Tasas!$C$5:$C$36,Tasas!$A$5:$A$36,O$4,Tasas!$B$5:$B$36,J53)</f>
        <v>8.01</v>
      </c>
      <c r="P53" s="14">
        <f>SUMIFS(Tasas!$E$5:$E$36,Tasas!$A$5:$A$36,P$4,Tasas!$B$5:$B$36,F53)</f>
        <v>28</v>
      </c>
      <c r="Q53" s="14">
        <f>SUMIFS(Tasas!$E$5:$E$36,Tasas!$A$5:$A$36,Q$4,Tasas!$B$5:$B$36,G53)</f>
        <v>91</v>
      </c>
      <c r="R53" s="14">
        <f>SUMIFS(Tasas!$E$5:$E$36,Tasas!$A$5:$A$36,R$4,Tasas!$B$5:$B$36,H53)</f>
        <v>175</v>
      </c>
      <c r="S53" s="14">
        <f>SUMIFS(Tasas!$E$5:$E$36,Tasas!$A$5:$A$36,S$4,Tasas!$B$5:$B$36,I53)</f>
        <v>363</v>
      </c>
      <c r="T53" s="14">
        <f>SUMIFS(Tasas!$E$5:$E$36,Tasas!$A$5:$A$36,T$4,Tasas!$B$5:$B$36,J53)</f>
        <v>679</v>
      </c>
      <c r="U53" s="14">
        <f t="shared" si="15"/>
        <v>28</v>
      </c>
      <c r="V53" s="14">
        <f t="shared" si="16"/>
        <v>91</v>
      </c>
      <c r="W53" s="14">
        <f t="shared" si="17"/>
        <v>28</v>
      </c>
      <c r="X53" s="14">
        <f t="shared" si="18"/>
        <v>91</v>
      </c>
      <c r="Y53" s="15">
        <f t="shared" si="19"/>
        <v>46289</v>
      </c>
      <c r="Z53" s="15">
        <f t="shared" si="20"/>
        <v>46289</v>
      </c>
      <c r="AA53" s="25">
        <f t="shared" si="21"/>
        <v>6.15</v>
      </c>
      <c r="AB53" s="25">
        <f t="shared" si="22"/>
        <v>6.59</v>
      </c>
      <c r="AC53" s="11" t="str">
        <f t="shared" si="23"/>
        <v>interpolación</v>
      </c>
      <c r="AD53" s="26">
        <f t="shared" si="24"/>
        <v>6.4992063492063492</v>
      </c>
      <c r="AE53" s="26">
        <f t="shared" si="25"/>
        <v>9.8611392459385083</v>
      </c>
      <c r="AF53" s="19">
        <f t="shared" si="26"/>
        <v>9.8611392000000002</v>
      </c>
      <c r="AG53" s="11" t="str">
        <f t="shared" si="27"/>
        <v>46295|BI261217</v>
      </c>
    </row>
    <row r="54" spans="1:33" x14ac:dyDescent="0.3">
      <c r="A54" s="20">
        <v>46296</v>
      </c>
      <c r="B54" s="21" t="s">
        <v>137</v>
      </c>
      <c r="C54" s="15">
        <f>INDEX(Entradas!$F$40:$F$46,MATCH(B54,Entradas!$A$40:$A$46,0))</f>
        <v>46373</v>
      </c>
      <c r="D54" s="17">
        <f>INDEX(Entradas!$G$40:$G$46,MATCH(B54,Entradas!$A$40:$A$46,0))</f>
        <v>10</v>
      </c>
      <c r="E54" s="14">
        <f t="shared" si="14"/>
        <v>77</v>
      </c>
      <c r="F54" s="15">
        <f>_xlfn.MAXIFS(Tasas!$B$5:$B$36,Tasas!$A$5:$A$36,F$4,Tasas!$B$5:$B$36,"&lt;="&amp;$A54)</f>
        <v>46296</v>
      </c>
      <c r="G54" s="15">
        <f>_xlfn.MAXIFS(Tasas!$B$5:$B$36,Tasas!$A$5:$A$36,G$4,Tasas!$B$5:$B$36,"&lt;="&amp;$A54)</f>
        <v>46296</v>
      </c>
      <c r="H54" s="15">
        <f>_xlfn.MAXIFS(Tasas!$B$5:$B$36,Tasas!$A$5:$A$36,H$4,Tasas!$B$5:$B$36,"&lt;="&amp;$A54)</f>
        <v>46296</v>
      </c>
      <c r="I54" s="15">
        <f>_xlfn.MAXIFS(Tasas!$B$5:$B$36,Tasas!$A$5:$A$36,I$4,Tasas!$B$5:$B$36,"&lt;="&amp;$A54)</f>
        <v>46296</v>
      </c>
      <c r="J54" s="15">
        <f>_xlfn.MAXIFS(Tasas!$B$5:$B$36,Tasas!$A$5:$A$36,J$4,Tasas!$B$5:$B$36,"&lt;="&amp;$A54)</f>
        <v>46289</v>
      </c>
      <c r="K54" s="25">
        <f>SUMIFS(Tasas!$C$5:$C$36,Tasas!$A$5:$A$36,K$4,Tasas!$B$5:$B$36,F54)</f>
        <v>6.01</v>
      </c>
      <c r="L54" s="25">
        <f>SUMIFS(Tasas!$C$5:$C$36,Tasas!$A$5:$A$36,L$4,Tasas!$B$5:$B$36,G54)</f>
        <v>6.73</v>
      </c>
      <c r="M54" s="25">
        <f>SUMIFS(Tasas!$C$5:$C$36,Tasas!$A$5:$A$36,M$4,Tasas!$B$5:$B$36,H54)</f>
        <v>7.01</v>
      </c>
      <c r="N54" s="25">
        <f>SUMIFS(Tasas!$C$5:$C$36,Tasas!$A$5:$A$36,N$4,Tasas!$B$5:$B$36,I54)</f>
        <v>7.44</v>
      </c>
      <c r="O54" s="25">
        <f>SUMIFS(Tasas!$C$5:$C$36,Tasas!$A$5:$A$36,O$4,Tasas!$B$5:$B$36,J54)</f>
        <v>8.01</v>
      </c>
      <c r="P54" s="14">
        <f>SUMIFS(Tasas!$E$5:$E$36,Tasas!$A$5:$A$36,P$4,Tasas!$B$5:$B$36,F54)</f>
        <v>28</v>
      </c>
      <c r="Q54" s="14">
        <f>SUMIFS(Tasas!$E$5:$E$36,Tasas!$A$5:$A$36,Q$4,Tasas!$B$5:$B$36,G54)</f>
        <v>91</v>
      </c>
      <c r="R54" s="14">
        <f>SUMIFS(Tasas!$E$5:$E$36,Tasas!$A$5:$A$36,R$4,Tasas!$B$5:$B$36,H54)</f>
        <v>182</v>
      </c>
      <c r="S54" s="14">
        <f>SUMIFS(Tasas!$E$5:$E$36,Tasas!$A$5:$A$36,S$4,Tasas!$B$5:$B$36,I54)</f>
        <v>349</v>
      </c>
      <c r="T54" s="14">
        <f>SUMIFS(Tasas!$E$5:$E$36,Tasas!$A$5:$A$36,T$4,Tasas!$B$5:$B$36,J54)</f>
        <v>679</v>
      </c>
      <c r="U54" s="14">
        <f t="shared" si="15"/>
        <v>28</v>
      </c>
      <c r="V54" s="14">
        <f t="shared" si="16"/>
        <v>91</v>
      </c>
      <c r="W54" s="14">
        <f t="shared" si="17"/>
        <v>28</v>
      </c>
      <c r="X54" s="14">
        <f t="shared" si="18"/>
        <v>91</v>
      </c>
      <c r="Y54" s="15">
        <f t="shared" si="19"/>
        <v>46296</v>
      </c>
      <c r="Z54" s="15">
        <f t="shared" si="20"/>
        <v>46296</v>
      </c>
      <c r="AA54" s="25">
        <f t="shared" si="21"/>
        <v>6.01</v>
      </c>
      <c r="AB54" s="25">
        <f t="shared" si="22"/>
        <v>6.73</v>
      </c>
      <c r="AC54" s="11" t="str">
        <f t="shared" si="23"/>
        <v>interpolación</v>
      </c>
      <c r="AD54" s="26">
        <f t="shared" si="24"/>
        <v>6.57</v>
      </c>
      <c r="AE54" s="26">
        <f t="shared" si="25"/>
        <v>9.8614223622544195</v>
      </c>
      <c r="AF54" s="19">
        <f t="shared" si="26"/>
        <v>9.8614224000000004</v>
      </c>
      <c r="AG54" s="11" t="str">
        <f t="shared" si="27"/>
        <v>46296|BI261217</v>
      </c>
    </row>
    <row r="55" spans="1:33" x14ac:dyDescent="0.3">
      <c r="A55" s="20">
        <v>46297</v>
      </c>
      <c r="B55" s="21" t="s">
        <v>137</v>
      </c>
      <c r="C55" s="15">
        <f>INDEX(Entradas!$F$40:$F$46,MATCH(B55,Entradas!$A$40:$A$46,0))</f>
        <v>46373</v>
      </c>
      <c r="D55" s="17">
        <f>INDEX(Entradas!$G$40:$G$46,MATCH(B55,Entradas!$A$40:$A$46,0))</f>
        <v>10</v>
      </c>
      <c r="E55" s="14">
        <f t="shared" si="14"/>
        <v>76</v>
      </c>
      <c r="F55" s="15">
        <f>_xlfn.MAXIFS(Tasas!$B$5:$B$36,Tasas!$A$5:$A$36,F$4,Tasas!$B$5:$B$36,"&lt;="&amp;$A55)</f>
        <v>46296</v>
      </c>
      <c r="G55" s="15">
        <f>_xlfn.MAXIFS(Tasas!$B$5:$B$36,Tasas!$A$5:$A$36,G$4,Tasas!$B$5:$B$36,"&lt;="&amp;$A55)</f>
        <v>46296</v>
      </c>
      <c r="H55" s="15">
        <f>_xlfn.MAXIFS(Tasas!$B$5:$B$36,Tasas!$A$5:$A$36,H$4,Tasas!$B$5:$B$36,"&lt;="&amp;$A55)</f>
        <v>46296</v>
      </c>
      <c r="I55" s="15">
        <f>_xlfn.MAXIFS(Tasas!$B$5:$B$36,Tasas!$A$5:$A$36,I$4,Tasas!$B$5:$B$36,"&lt;="&amp;$A55)</f>
        <v>46296</v>
      </c>
      <c r="J55" s="15">
        <f>_xlfn.MAXIFS(Tasas!$B$5:$B$36,Tasas!$A$5:$A$36,J$4,Tasas!$B$5:$B$36,"&lt;="&amp;$A55)</f>
        <v>46289</v>
      </c>
      <c r="K55" s="25">
        <f>SUMIFS(Tasas!$C$5:$C$36,Tasas!$A$5:$A$36,K$4,Tasas!$B$5:$B$36,F55)</f>
        <v>6.01</v>
      </c>
      <c r="L55" s="25">
        <f>SUMIFS(Tasas!$C$5:$C$36,Tasas!$A$5:$A$36,L$4,Tasas!$B$5:$B$36,G55)</f>
        <v>6.73</v>
      </c>
      <c r="M55" s="25">
        <f>SUMIFS(Tasas!$C$5:$C$36,Tasas!$A$5:$A$36,M$4,Tasas!$B$5:$B$36,H55)</f>
        <v>7.01</v>
      </c>
      <c r="N55" s="25">
        <f>SUMIFS(Tasas!$C$5:$C$36,Tasas!$A$5:$A$36,N$4,Tasas!$B$5:$B$36,I55)</f>
        <v>7.44</v>
      </c>
      <c r="O55" s="25">
        <f>SUMIFS(Tasas!$C$5:$C$36,Tasas!$A$5:$A$36,O$4,Tasas!$B$5:$B$36,J55)</f>
        <v>8.01</v>
      </c>
      <c r="P55" s="14">
        <f>SUMIFS(Tasas!$E$5:$E$36,Tasas!$A$5:$A$36,P$4,Tasas!$B$5:$B$36,F55)</f>
        <v>28</v>
      </c>
      <c r="Q55" s="14">
        <f>SUMIFS(Tasas!$E$5:$E$36,Tasas!$A$5:$A$36,Q$4,Tasas!$B$5:$B$36,G55)</f>
        <v>91</v>
      </c>
      <c r="R55" s="14">
        <f>SUMIFS(Tasas!$E$5:$E$36,Tasas!$A$5:$A$36,R$4,Tasas!$B$5:$B$36,H55)</f>
        <v>182</v>
      </c>
      <c r="S55" s="14">
        <f>SUMIFS(Tasas!$E$5:$E$36,Tasas!$A$5:$A$36,S$4,Tasas!$B$5:$B$36,I55)</f>
        <v>349</v>
      </c>
      <c r="T55" s="14">
        <f>SUMIFS(Tasas!$E$5:$E$36,Tasas!$A$5:$A$36,T$4,Tasas!$B$5:$B$36,J55)</f>
        <v>679</v>
      </c>
      <c r="U55" s="14">
        <f t="shared" si="15"/>
        <v>28</v>
      </c>
      <c r="V55" s="14">
        <f t="shared" si="16"/>
        <v>91</v>
      </c>
      <c r="W55" s="14">
        <f t="shared" si="17"/>
        <v>28</v>
      </c>
      <c r="X55" s="14">
        <f t="shared" si="18"/>
        <v>91</v>
      </c>
      <c r="Y55" s="15">
        <f t="shared" si="19"/>
        <v>46296</v>
      </c>
      <c r="Z55" s="15">
        <f t="shared" si="20"/>
        <v>46296</v>
      </c>
      <c r="AA55" s="25">
        <f t="shared" si="21"/>
        <v>6.01</v>
      </c>
      <c r="AB55" s="25">
        <f t="shared" si="22"/>
        <v>6.73</v>
      </c>
      <c r="AC55" s="11" t="str">
        <f t="shared" si="23"/>
        <v>interpolación</v>
      </c>
      <c r="AD55" s="26">
        <f t="shared" si="24"/>
        <v>6.5585714285714287</v>
      </c>
      <c r="AE55" s="26">
        <f t="shared" si="25"/>
        <v>9.8634321706643053</v>
      </c>
      <c r="AF55" s="19">
        <f t="shared" si="26"/>
        <v>9.8634322000000001</v>
      </c>
      <c r="AG55" s="11" t="str">
        <f t="shared" si="27"/>
        <v>46297|BI261217</v>
      </c>
    </row>
    <row r="56" spans="1:33" x14ac:dyDescent="0.3">
      <c r="A56" s="20">
        <v>46298</v>
      </c>
      <c r="B56" s="21" t="s">
        <v>137</v>
      </c>
      <c r="C56" s="15">
        <f>INDEX(Entradas!$F$40:$F$46,MATCH(B56,Entradas!$A$40:$A$46,0))</f>
        <v>46373</v>
      </c>
      <c r="D56" s="17">
        <f>INDEX(Entradas!$G$40:$G$46,MATCH(B56,Entradas!$A$40:$A$46,0))</f>
        <v>10</v>
      </c>
      <c r="E56" s="14">
        <f t="shared" si="14"/>
        <v>75</v>
      </c>
      <c r="F56" s="15">
        <f>_xlfn.MAXIFS(Tasas!$B$5:$B$36,Tasas!$A$5:$A$36,F$4,Tasas!$B$5:$B$36,"&lt;="&amp;$A56)</f>
        <v>46296</v>
      </c>
      <c r="G56" s="15">
        <f>_xlfn.MAXIFS(Tasas!$B$5:$B$36,Tasas!$A$5:$A$36,G$4,Tasas!$B$5:$B$36,"&lt;="&amp;$A56)</f>
        <v>46296</v>
      </c>
      <c r="H56" s="15">
        <f>_xlfn.MAXIFS(Tasas!$B$5:$B$36,Tasas!$A$5:$A$36,H$4,Tasas!$B$5:$B$36,"&lt;="&amp;$A56)</f>
        <v>46296</v>
      </c>
      <c r="I56" s="15">
        <f>_xlfn.MAXIFS(Tasas!$B$5:$B$36,Tasas!$A$5:$A$36,I$4,Tasas!$B$5:$B$36,"&lt;="&amp;$A56)</f>
        <v>46296</v>
      </c>
      <c r="J56" s="15">
        <f>_xlfn.MAXIFS(Tasas!$B$5:$B$36,Tasas!$A$5:$A$36,J$4,Tasas!$B$5:$B$36,"&lt;="&amp;$A56)</f>
        <v>46289</v>
      </c>
      <c r="K56" s="25">
        <f>SUMIFS(Tasas!$C$5:$C$36,Tasas!$A$5:$A$36,K$4,Tasas!$B$5:$B$36,F56)</f>
        <v>6.01</v>
      </c>
      <c r="L56" s="25">
        <f>SUMIFS(Tasas!$C$5:$C$36,Tasas!$A$5:$A$36,L$4,Tasas!$B$5:$B$36,G56)</f>
        <v>6.73</v>
      </c>
      <c r="M56" s="25">
        <f>SUMIFS(Tasas!$C$5:$C$36,Tasas!$A$5:$A$36,M$4,Tasas!$B$5:$B$36,H56)</f>
        <v>7.01</v>
      </c>
      <c r="N56" s="25">
        <f>SUMIFS(Tasas!$C$5:$C$36,Tasas!$A$5:$A$36,N$4,Tasas!$B$5:$B$36,I56)</f>
        <v>7.44</v>
      </c>
      <c r="O56" s="25">
        <f>SUMIFS(Tasas!$C$5:$C$36,Tasas!$A$5:$A$36,O$4,Tasas!$B$5:$B$36,J56)</f>
        <v>8.01</v>
      </c>
      <c r="P56" s="14">
        <f>SUMIFS(Tasas!$E$5:$E$36,Tasas!$A$5:$A$36,P$4,Tasas!$B$5:$B$36,F56)</f>
        <v>28</v>
      </c>
      <c r="Q56" s="14">
        <f>SUMIFS(Tasas!$E$5:$E$36,Tasas!$A$5:$A$36,Q$4,Tasas!$B$5:$B$36,G56)</f>
        <v>91</v>
      </c>
      <c r="R56" s="14">
        <f>SUMIFS(Tasas!$E$5:$E$36,Tasas!$A$5:$A$36,R$4,Tasas!$B$5:$B$36,H56)</f>
        <v>182</v>
      </c>
      <c r="S56" s="14">
        <f>SUMIFS(Tasas!$E$5:$E$36,Tasas!$A$5:$A$36,S$4,Tasas!$B$5:$B$36,I56)</f>
        <v>349</v>
      </c>
      <c r="T56" s="14">
        <f>SUMIFS(Tasas!$E$5:$E$36,Tasas!$A$5:$A$36,T$4,Tasas!$B$5:$B$36,J56)</f>
        <v>679</v>
      </c>
      <c r="U56" s="14">
        <f t="shared" si="15"/>
        <v>28</v>
      </c>
      <c r="V56" s="14">
        <f t="shared" si="16"/>
        <v>91</v>
      </c>
      <c r="W56" s="14">
        <f t="shared" si="17"/>
        <v>28</v>
      </c>
      <c r="X56" s="14">
        <f t="shared" si="18"/>
        <v>91</v>
      </c>
      <c r="Y56" s="15">
        <f t="shared" si="19"/>
        <v>46296</v>
      </c>
      <c r="Z56" s="15">
        <f t="shared" si="20"/>
        <v>46296</v>
      </c>
      <c r="AA56" s="25">
        <f t="shared" si="21"/>
        <v>6.01</v>
      </c>
      <c r="AB56" s="25">
        <f t="shared" si="22"/>
        <v>6.73</v>
      </c>
      <c r="AC56" s="11" t="str">
        <f t="shared" si="23"/>
        <v>interpolación</v>
      </c>
      <c r="AD56" s="26">
        <f t="shared" si="24"/>
        <v>6.5471428571428572</v>
      </c>
      <c r="AE56" s="26">
        <f t="shared" si="25"/>
        <v>9.865436618973936</v>
      </c>
      <c r="AF56" s="19">
        <f t="shared" si="26"/>
        <v>9.8654366000000007</v>
      </c>
      <c r="AG56" s="11" t="str">
        <f t="shared" si="27"/>
        <v>46298|BI261217</v>
      </c>
    </row>
    <row r="57" spans="1:33" x14ac:dyDescent="0.3">
      <c r="A57" s="20">
        <v>46299</v>
      </c>
      <c r="B57" s="21" t="s">
        <v>137</v>
      </c>
      <c r="C57" s="15">
        <f>INDEX(Entradas!$F$40:$F$46,MATCH(B57,Entradas!$A$40:$A$46,0))</f>
        <v>46373</v>
      </c>
      <c r="D57" s="17">
        <f>INDEX(Entradas!$G$40:$G$46,MATCH(B57,Entradas!$A$40:$A$46,0))</f>
        <v>10</v>
      </c>
      <c r="E57" s="14">
        <f t="shared" si="14"/>
        <v>74</v>
      </c>
      <c r="F57" s="15">
        <f>_xlfn.MAXIFS(Tasas!$B$5:$B$36,Tasas!$A$5:$A$36,F$4,Tasas!$B$5:$B$36,"&lt;="&amp;$A57)</f>
        <v>46296</v>
      </c>
      <c r="G57" s="15">
        <f>_xlfn.MAXIFS(Tasas!$B$5:$B$36,Tasas!$A$5:$A$36,G$4,Tasas!$B$5:$B$36,"&lt;="&amp;$A57)</f>
        <v>46296</v>
      </c>
      <c r="H57" s="15">
        <f>_xlfn.MAXIFS(Tasas!$B$5:$B$36,Tasas!$A$5:$A$36,H$4,Tasas!$B$5:$B$36,"&lt;="&amp;$A57)</f>
        <v>46296</v>
      </c>
      <c r="I57" s="15">
        <f>_xlfn.MAXIFS(Tasas!$B$5:$B$36,Tasas!$A$5:$A$36,I$4,Tasas!$B$5:$B$36,"&lt;="&amp;$A57)</f>
        <v>46296</v>
      </c>
      <c r="J57" s="15">
        <f>_xlfn.MAXIFS(Tasas!$B$5:$B$36,Tasas!$A$5:$A$36,J$4,Tasas!$B$5:$B$36,"&lt;="&amp;$A57)</f>
        <v>46289</v>
      </c>
      <c r="K57" s="25">
        <f>SUMIFS(Tasas!$C$5:$C$36,Tasas!$A$5:$A$36,K$4,Tasas!$B$5:$B$36,F57)</f>
        <v>6.01</v>
      </c>
      <c r="L57" s="25">
        <f>SUMIFS(Tasas!$C$5:$C$36,Tasas!$A$5:$A$36,L$4,Tasas!$B$5:$B$36,G57)</f>
        <v>6.73</v>
      </c>
      <c r="M57" s="25">
        <f>SUMIFS(Tasas!$C$5:$C$36,Tasas!$A$5:$A$36,M$4,Tasas!$B$5:$B$36,H57)</f>
        <v>7.01</v>
      </c>
      <c r="N57" s="25">
        <f>SUMIFS(Tasas!$C$5:$C$36,Tasas!$A$5:$A$36,N$4,Tasas!$B$5:$B$36,I57)</f>
        <v>7.44</v>
      </c>
      <c r="O57" s="25">
        <f>SUMIFS(Tasas!$C$5:$C$36,Tasas!$A$5:$A$36,O$4,Tasas!$B$5:$B$36,J57)</f>
        <v>8.01</v>
      </c>
      <c r="P57" s="14">
        <f>SUMIFS(Tasas!$E$5:$E$36,Tasas!$A$5:$A$36,P$4,Tasas!$B$5:$B$36,F57)</f>
        <v>28</v>
      </c>
      <c r="Q57" s="14">
        <f>SUMIFS(Tasas!$E$5:$E$36,Tasas!$A$5:$A$36,Q$4,Tasas!$B$5:$B$36,G57)</f>
        <v>91</v>
      </c>
      <c r="R57" s="14">
        <f>SUMIFS(Tasas!$E$5:$E$36,Tasas!$A$5:$A$36,R$4,Tasas!$B$5:$B$36,H57)</f>
        <v>182</v>
      </c>
      <c r="S57" s="14">
        <f>SUMIFS(Tasas!$E$5:$E$36,Tasas!$A$5:$A$36,S$4,Tasas!$B$5:$B$36,I57)</f>
        <v>349</v>
      </c>
      <c r="T57" s="14">
        <f>SUMIFS(Tasas!$E$5:$E$36,Tasas!$A$5:$A$36,T$4,Tasas!$B$5:$B$36,J57)</f>
        <v>679</v>
      </c>
      <c r="U57" s="14">
        <f t="shared" si="15"/>
        <v>28</v>
      </c>
      <c r="V57" s="14">
        <f t="shared" si="16"/>
        <v>91</v>
      </c>
      <c r="W57" s="14">
        <f t="shared" si="17"/>
        <v>28</v>
      </c>
      <c r="X57" s="14">
        <f t="shared" si="18"/>
        <v>91</v>
      </c>
      <c r="Y57" s="15">
        <f t="shared" si="19"/>
        <v>46296</v>
      </c>
      <c r="Z57" s="15">
        <f t="shared" si="20"/>
        <v>46296</v>
      </c>
      <c r="AA57" s="25">
        <f t="shared" si="21"/>
        <v>6.01</v>
      </c>
      <c r="AB57" s="25">
        <f t="shared" si="22"/>
        <v>6.73</v>
      </c>
      <c r="AC57" s="11" t="str">
        <f t="shared" si="23"/>
        <v>interpolación</v>
      </c>
      <c r="AD57" s="26">
        <f t="shared" si="24"/>
        <v>6.5357142857142865</v>
      </c>
      <c r="AE57" s="26">
        <f t="shared" si="25"/>
        <v>9.8674357001474249</v>
      </c>
      <c r="AF57" s="19">
        <f t="shared" si="26"/>
        <v>9.8674356999999997</v>
      </c>
      <c r="AG57" s="11" t="str">
        <f t="shared" si="27"/>
        <v>46299|BI261217</v>
      </c>
    </row>
    <row r="58" spans="1:33" x14ac:dyDescent="0.3">
      <c r="A58" s="20">
        <v>46300</v>
      </c>
      <c r="B58" s="21" t="s">
        <v>137</v>
      </c>
      <c r="C58" s="15">
        <f>INDEX(Entradas!$F$40:$F$46,MATCH(B58,Entradas!$A$40:$A$46,0))</f>
        <v>46373</v>
      </c>
      <c r="D58" s="17">
        <f>INDEX(Entradas!$G$40:$G$46,MATCH(B58,Entradas!$A$40:$A$46,0))</f>
        <v>10</v>
      </c>
      <c r="E58" s="14">
        <f t="shared" si="14"/>
        <v>73</v>
      </c>
      <c r="F58" s="15">
        <f>_xlfn.MAXIFS(Tasas!$B$5:$B$36,Tasas!$A$5:$A$36,F$4,Tasas!$B$5:$B$36,"&lt;="&amp;$A58)</f>
        <v>46296</v>
      </c>
      <c r="G58" s="15">
        <f>_xlfn.MAXIFS(Tasas!$B$5:$B$36,Tasas!$A$5:$A$36,G$4,Tasas!$B$5:$B$36,"&lt;="&amp;$A58)</f>
        <v>46296</v>
      </c>
      <c r="H58" s="15">
        <f>_xlfn.MAXIFS(Tasas!$B$5:$B$36,Tasas!$A$5:$A$36,H$4,Tasas!$B$5:$B$36,"&lt;="&amp;$A58)</f>
        <v>46296</v>
      </c>
      <c r="I58" s="15">
        <f>_xlfn.MAXIFS(Tasas!$B$5:$B$36,Tasas!$A$5:$A$36,I$4,Tasas!$B$5:$B$36,"&lt;="&amp;$A58)</f>
        <v>46296</v>
      </c>
      <c r="J58" s="15">
        <f>_xlfn.MAXIFS(Tasas!$B$5:$B$36,Tasas!$A$5:$A$36,J$4,Tasas!$B$5:$B$36,"&lt;="&amp;$A58)</f>
        <v>46289</v>
      </c>
      <c r="K58" s="25">
        <f>SUMIFS(Tasas!$C$5:$C$36,Tasas!$A$5:$A$36,K$4,Tasas!$B$5:$B$36,F58)</f>
        <v>6.01</v>
      </c>
      <c r="L58" s="25">
        <f>SUMIFS(Tasas!$C$5:$C$36,Tasas!$A$5:$A$36,L$4,Tasas!$B$5:$B$36,G58)</f>
        <v>6.73</v>
      </c>
      <c r="M58" s="25">
        <f>SUMIFS(Tasas!$C$5:$C$36,Tasas!$A$5:$A$36,M$4,Tasas!$B$5:$B$36,H58)</f>
        <v>7.01</v>
      </c>
      <c r="N58" s="25">
        <f>SUMIFS(Tasas!$C$5:$C$36,Tasas!$A$5:$A$36,N$4,Tasas!$B$5:$B$36,I58)</f>
        <v>7.44</v>
      </c>
      <c r="O58" s="25">
        <f>SUMIFS(Tasas!$C$5:$C$36,Tasas!$A$5:$A$36,O$4,Tasas!$B$5:$B$36,J58)</f>
        <v>8.01</v>
      </c>
      <c r="P58" s="14">
        <f>SUMIFS(Tasas!$E$5:$E$36,Tasas!$A$5:$A$36,P$4,Tasas!$B$5:$B$36,F58)</f>
        <v>28</v>
      </c>
      <c r="Q58" s="14">
        <f>SUMIFS(Tasas!$E$5:$E$36,Tasas!$A$5:$A$36,Q$4,Tasas!$B$5:$B$36,G58)</f>
        <v>91</v>
      </c>
      <c r="R58" s="14">
        <f>SUMIFS(Tasas!$E$5:$E$36,Tasas!$A$5:$A$36,R$4,Tasas!$B$5:$B$36,H58)</f>
        <v>182</v>
      </c>
      <c r="S58" s="14">
        <f>SUMIFS(Tasas!$E$5:$E$36,Tasas!$A$5:$A$36,S$4,Tasas!$B$5:$B$36,I58)</f>
        <v>349</v>
      </c>
      <c r="T58" s="14">
        <f>SUMIFS(Tasas!$E$5:$E$36,Tasas!$A$5:$A$36,T$4,Tasas!$B$5:$B$36,J58)</f>
        <v>679</v>
      </c>
      <c r="U58" s="14">
        <f t="shared" si="15"/>
        <v>28</v>
      </c>
      <c r="V58" s="14">
        <f t="shared" si="16"/>
        <v>91</v>
      </c>
      <c r="W58" s="14">
        <f t="shared" si="17"/>
        <v>28</v>
      </c>
      <c r="X58" s="14">
        <f t="shared" si="18"/>
        <v>91</v>
      </c>
      <c r="Y58" s="15">
        <f t="shared" si="19"/>
        <v>46296</v>
      </c>
      <c r="Z58" s="15">
        <f t="shared" si="20"/>
        <v>46296</v>
      </c>
      <c r="AA58" s="25">
        <f t="shared" si="21"/>
        <v>6.01</v>
      </c>
      <c r="AB58" s="25">
        <f t="shared" si="22"/>
        <v>6.73</v>
      </c>
      <c r="AC58" s="11" t="str">
        <f t="shared" si="23"/>
        <v>interpolación</v>
      </c>
      <c r="AD58" s="26">
        <f t="shared" si="24"/>
        <v>6.524285714285714</v>
      </c>
      <c r="AE58" s="26">
        <f t="shared" si="25"/>
        <v>9.8694294071633486</v>
      </c>
      <c r="AF58" s="19">
        <f t="shared" si="26"/>
        <v>9.8694293999999996</v>
      </c>
      <c r="AG58" s="11" t="str">
        <f t="shared" si="27"/>
        <v>46300|BI261217</v>
      </c>
    </row>
    <row r="59" spans="1:33" x14ac:dyDescent="0.3">
      <c r="A59" s="20">
        <v>46301</v>
      </c>
      <c r="B59" s="21" t="s">
        <v>137</v>
      </c>
      <c r="C59" s="15">
        <f>INDEX(Entradas!$F$40:$F$46,MATCH(B59,Entradas!$A$40:$A$46,0))</f>
        <v>46373</v>
      </c>
      <c r="D59" s="17">
        <f>INDEX(Entradas!$G$40:$G$46,MATCH(B59,Entradas!$A$40:$A$46,0))</f>
        <v>10</v>
      </c>
      <c r="E59" s="14">
        <f t="shared" si="14"/>
        <v>72</v>
      </c>
      <c r="F59" s="15">
        <f>_xlfn.MAXIFS(Tasas!$B$5:$B$36,Tasas!$A$5:$A$36,F$4,Tasas!$B$5:$B$36,"&lt;="&amp;$A59)</f>
        <v>46296</v>
      </c>
      <c r="G59" s="15">
        <f>_xlfn.MAXIFS(Tasas!$B$5:$B$36,Tasas!$A$5:$A$36,G$4,Tasas!$B$5:$B$36,"&lt;="&amp;$A59)</f>
        <v>46296</v>
      </c>
      <c r="H59" s="15">
        <f>_xlfn.MAXIFS(Tasas!$B$5:$B$36,Tasas!$A$5:$A$36,H$4,Tasas!$B$5:$B$36,"&lt;="&amp;$A59)</f>
        <v>46296</v>
      </c>
      <c r="I59" s="15">
        <f>_xlfn.MAXIFS(Tasas!$B$5:$B$36,Tasas!$A$5:$A$36,I$4,Tasas!$B$5:$B$36,"&lt;="&amp;$A59)</f>
        <v>46296</v>
      </c>
      <c r="J59" s="15">
        <f>_xlfn.MAXIFS(Tasas!$B$5:$B$36,Tasas!$A$5:$A$36,J$4,Tasas!$B$5:$B$36,"&lt;="&amp;$A59)</f>
        <v>46289</v>
      </c>
      <c r="K59" s="25">
        <f>SUMIFS(Tasas!$C$5:$C$36,Tasas!$A$5:$A$36,K$4,Tasas!$B$5:$B$36,F59)</f>
        <v>6.01</v>
      </c>
      <c r="L59" s="25">
        <f>SUMIFS(Tasas!$C$5:$C$36,Tasas!$A$5:$A$36,L$4,Tasas!$B$5:$B$36,G59)</f>
        <v>6.73</v>
      </c>
      <c r="M59" s="25">
        <f>SUMIFS(Tasas!$C$5:$C$36,Tasas!$A$5:$A$36,M$4,Tasas!$B$5:$B$36,H59)</f>
        <v>7.01</v>
      </c>
      <c r="N59" s="25">
        <f>SUMIFS(Tasas!$C$5:$C$36,Tasas!$A$5:$A$36,N$4,Tasas!$B$5:$B$36,I59)</f>
        <v>7.44</v>
      </c>
      <c r="O59" s="25">
        <f>SUMIFS(Tasas!$C$5:$C$36,Tasas!$A$5:$A$36,O$4,Tasas!$B$5:$B$36,J59)</f>
        <v>8.01</v>
      </c>
      <c r="P59" s="14">
        <f>SUMIFS(Tasas!$E$5:$E$36,Tasas!$A$5:$A$36,P$4,Tasas!$B$5:$B$36,F59)</f>
        <v>28</v>
      </c>
      <c r="Q59" s="14">
        <f>SUMIFS(Tasas!$E$5:$E$36,Tasas!$A$5:$A$36,Q$4,Tasas!$B$5:$B$36,G59)</f>
        <v>91</v>
      </c>
      <c r="R59" s="14">
        <f>SUMIFS(Tasas!$E$5:$E$36,Tasas!$A$5:$A$36,R$4,Tasas!$B$5:$B$36,H59)</f>
        <v>182</v>
      </c>
      <c r="S59" s="14">
        <f>SUMIFS(Tasas!$E$5:$E$36,Tasas!$A$5:$A$36,S$4,Tasas!$B$5:$B$36,I59)</f>
        <v>349</v>
      </c>
      <c r="T59" s="14">
        <f>SUMIFS(Tasas!$E$5:$E$36,Tasas!$A$5:$A$36,T$4,Tasas!$B$5:$B$36,J59)</f>
        <v>679</v>
      </c>
      <c r="U59" s="14">
        <f t="shared" si="15"/>
        <v>28</v>
      </c>
      <c r="V59" s="14">
        <f t="shared" si="16"/>
        <v>91</v>
      </c>
      <c r="W59" s="14">
        <f t="shared" si="17"/>
        <v>28</v>
      </c>
      <c r="X59" s="14">
        <f t="shared" si="18"/>
        <v>91</v>
      </c>
      <c r="Y59" s="15">
        <f t="shared" si="19"/>
        <v>46296</v>
      </c>
      <c r="Z59" s="15">
        <f t="shared" si="20"/>
        <v>46296</v>
      </c>
      <c r="AA59" s="25">
        <f t="shared" si="21"/>
        <v>6.01</v>
      </c>
      <c r="AB59" s="25">
        <f t="shared" si="22"/>
        <v>6.73</v>
      </c>
      <c r="AC59" s="11" t="str">
        <f t="shared" si="23"/>
        <v>interpolación</v>
      </c>
      <c r="AD59" s="26">
        <f t="shared" si="24"/>
        <v>6.5128571428571433</v>
      </c>
      <c r="AE59" s="26">
        <f t="shared" si="25"/>
        <v>9.8714177330148161</v>
      </c>
      <c r="AF59" s="19">
        <f t="shared" si="26"/>
        <v>9.8714177000000003</v>
      </c>
      <c r="AG59" s="11" t="str">
        <f t="shared" si="27"/>
        <v>46301|BI261217</v>
      </c>
    </row>
    <row r="60" spans="1:33" x14ac:dyDescent="0.3">
      <c r="A60" s="20">
        <v>46302</v>
      </c>
      <c r="B60" s="21" t="s">
        <v>137</v>
      </c>
      <c r="C60" s="15">
        <f>INDEX(Entradas!$F$40:$F$46,MATCH(B60,Entradas!$A$40:$A$46,0))</f>
        <v>46373</v>
      </c>
      <c r="D60" s="17">
        <f>INDEX(Entradas!$G$40:$G$46,MATCH(B60,Entradas!$A$40:$A$46,0))</f>
        <v>10</v>
      </c>
      <c r="E60" s="14">
        <f t="shared" si="14"/>
        <v>71</v>
      </c>
      <c r="F60" s="15">
        <f>_xlfn.MAXIFS(Tasas!$B$5:$B$36,Tasas!$A$5:$A$36,F$4,Tasas!$B$5:$B$36,"&lt;="&amp;$A60)</f>
        <v>46296</v>
      </c>
      <c r="G60" s="15">
        <f>_xlfn.MAXIFS(Tasas!$B$5:$B$36,Tasas!$A$5:$A$36,G$4,Tasas!$B$5:$B$36,"&lt;="&amp;$A60)</f>
        <v>46296</v>
      </c>
      <c r="H60" s="15">
        <f>_xlfn.MAXIFS(Tasas!$B$5:$B$36,Tasas!$A$5:$A$36,H$4,Tasas!$B$5:$B$36,"&lt;="&amp;$A60)</f>
        <v>46296</v>
      </c>
      <c r="I60" s="15">
        <f>_xlfn.MAXIFS(Tasas!$B$5:$B$36,Tasas!$A$5:$A$36,I$4,Tasas!$B$5:$B$36,"&lt;="&amp;$A60)</f>
        <v>46296</v>
      </c>
      <c r="J60" s="15">
        <f>_xlfn.MAXIFS(Tasas!$B$5:$B$36,Tasas!$A$5:$A$36,J$4,Tasas!$B$5:$B$36,"&lt;="&amp;$A60)</f>
        <v>46289</v>
      </c>
      <c r="K60" s="25">
        <f>SUMIFS(Tasas!$C$5:$C$36,Tasas!$A$5:$A$36,K$4,Tasas!$B$5:$B$36,F60)</f>
        <v>6.01</v>
      </c>
      <c r="L60" s="25">
        <f>SUMIFS(Tasas!$C$5:$C$36,Tasas!$A$5:$A$36,L$4,Tasas!$B$5:$B$36,G60)</f>
        <v>6.73</v>
      </c>
      <c r="M60" s="25">
        <f>SUMIFS(Tasas!$C$5:$C$36,Tasas!$A$5:$A$36,M$4,Tasas!$B$5:$B$36,H60)</f>
        <v>7.01</v>
      </c>
      <c r="N60" s="25">
        <f>SUMIFS(Tasas!$C$5:$C$36,Tasas!$A$5:$A$36,N$4,Tasas!$B$5:$B$36,I60)</f>
        <v>7.44</v>
      </c>
      <c r="O60" s="25">
        <f>SUMIFS(Tasas!$C$5:$C$36,Tasas!$A$5:$A$36,O$4,Tasas!$B$5:$B$36,J60)</f>
        <v>8.01</v>
      </c>
      <c r="P60" s="14">
        <f>SUMIFS(Tasas!$E$5:$E$36,Tasas!$A$5:$A$36,P$4,Tasas!$B$5:$B$36,F60)</f>
        <v>28</v>
      </c>
      <c r="Q60" s="14">
        <f>SUMIFS(Tasas!$E$5:$E$36,Tasas!$A$5:$A$36,Q$4,Tasas!$B$5:$B$36,G60)</f>
        <v>91</v>
      </c>
      <c r="R60" s="14">
        <f>SUMIFS(Tasas!$E$5:$E$36,Tasas!$A$5:$A$36,R$4,Tasas!$B$5:$B$36,H60)</f>
        <v>182</v>
      </c>
      <c r="S60" s="14">
        <f>SUMIFS(Tasas!$E$5:$E$36,Tasas!$A$5:$A$36,S$4,Tasas!$B$5:$B$36,I60)</f>
        <v>349</v>
      </c>
      <c r="T60" s="14">
        <f>SUMIFS(Tasas!$E$5:$E$36,Tasas!$A$5:$A$36,T$4,Tasas!$B$5:$B$36,J60)</f>
        <v>679</v>
      </c>
      <c r="U60" s="14">
        <f t="shared" si="15"/>
        <v>28</v>
      </c>
      <c r="V60" s="14">
        <f t="shared" si="16"/>
        <v>91</v>
      </c>
      <c r="W60" s="14">
        <f t="shared" si="17"/>
        <v>28</v>
      </c>
      <c r="X60" s="14">
        <f t="shared" si="18"/>
        <v>91</v>
      </c>
      <c r="Y60" s="15">
        <f t="shared" si="19"/>
        <v>46296</v>
      </c>
      <c r="Z60" s="15">
        <f t="shared" si="20"/>
        <v>46296</v>
      </c>
      <c r="AA60" s="25">
        <f t="shared" si="21"/>
        <v>6.01</v>
      </c>
      <c r="AB60" s="25">
        <f t="shared" si="22"/>
        <v>6.73</v>
      </c>
      <c r="AC60" s="11" t="str">
        <f t="shared" si="23"/>
        <v>interpolación</v>
      </c>
      <c r="AD60" s="26">
        <f t="shared" si="24"/>
        <v>6.5014285714285718</v>
      </c>
      <c r="AE60" s="26">
        <f t="shared" si="25"/>
        <v>9.8734006707095094</v>
      </c>
      <c r="AF60" s="19">
        <f t="shared" si="26"/>
        <v>9.8734006999999995</v>
      </c>
      <c r="AG60" s="11" t="str">
        <f t="shared" si="27"/>
        <v>46302|BI261217</v>
      </c>
    </row>
    <row r="61" spans="1:33" x14ac:dyDescent="0.3">
      <c r="A61" s="20">
        <v>46303</v>
      </c>
      <c r="B61" s="21" t="s">
        <v>137</v>
      </c>
      <c r="C61" s="15">
        <f>INDEX(Entradas!$F$40:$F$46,MATCH(B61,Entradas!$A$40:$A$46,0))</f>
        <v>46373</v>
      </c>
      <c r="D61" s="17">
        <f>INDEX(Entradas!$G$40:$G$46,MATCH(B61,Entradas!$A$40:$A$46,0))</f>
        <v>10</v>
      </c>
      <c r="E61" s="14">
        <f t="shared" si="14"/>
        <v>70</v>
      </c>
      <c r="F61" s="15">
        <f>_xlfn.MAXIFS(Tasas!$B$5:$B$36,Tasas!$A$5:$A$36,F$4,Tasas!$B$5:$B$36,"&lt;="&amp;$A61)</f>
        <v>46303</v>
      </c>
      <c r="G61" s="15">
        <f>_xlfn.MAXIFS(Tasas!$B$5:$B$36,Tasas!$A$5:$A$36,G$4,Tasas!$B$5:$B$36,"&lt;="&amp;$A61)</f>
        <v>46303</v>
      </c>
      <c r="H61" s="15">
        <f>_xlfn.MAXIFS(Tasas!$B$5:$B$36,Tasas!$A$5:$A$36,H$4,Tasas!$B$5:$B$36,"&lt;="&amp;$A61)</f>
        <v>46303</v>
      </c>
      <c r="I61" s="15">
        <f>_xlfn.MAXIFS(Tasas!$B$5:$B$36,Tasas!$A$5:$A$36,I$4,Tasas!$B$5:$B$36,"&lt;="&amp;$A61)</f>
        <v>46296</v>
      </c>
      <c r="J61" s="15">
        <f>_xlfn.MAXIFS(Tasas!$B$5:$B$36,Tasas!$A$5:$A$36,J$4,Tasas!$B$5:$B$36,"&lt;="&amp;$A61)</f>
        <v>46303</v>
      </c>
      <c r="K61" s="25">
        <f>SUMIFS(Tasas!$C$5:$C$36,Tasas!$A$5:$A$36,K$4,Tasas!$B$5:$B$36,F61)</f>
        <v>6.09</v>
      </c>
      <c r="L61" s="25">
        <f>SUMIFS(Tasas!$C$5:$C$36,Tasas!$A$5:$A$36,L$4,Tasas!$B$5:$B$36,G61)</f>
        <v>6.78</v>
      </c>
      <c r="M61" s="25">
        <f>SUMIFS(Tasas!$C$5:$C$36,Tasas!$A$5:$A$36,M$4,Tasas!$B$5:$B$36,H61)</f>
        <v>6.91</v>
      </c>
      <c r="N61" s="25">
        <f>SUMIFS(Tasas!$C$5:$C$36,Tasas!$A$5:$A$36,N$4,Tasas!$B$5:$B$36,I61)</f>
        <v>7.44</v>
      </c>
      <c r="O61" s="25">
        <f>SUMIFS(Tasas!$C$5:$C$36,Tasas!$A$5:$A$36,O$4,Tasas!$B$5:$B$36,J61)</f>
        <v>7.98</v>
      </c>
      <c r="P61" s="14">
        <f>SUMIFS(Tasas!$E$5:$E$36,Tasas!$A$5:$A$36,P$4,Tasas!$B$5:$B$36,F61)</f>
        <v>28</v>
      </c>
      <c r="Q61" s="14">
        <f>SUMIFS(Tasas!$E$5:$E$36,Tasas!$A$5:$A$36,Q$4,Tasas!$B$5:$B$36,G61)</f>
        <v>91</v>
      </c>
      <c r="R61" s="14">
        <f>SUMIFS(Tasas!$E$5:$E$36,Tasas!$A$5:$A$36,R$4,Tasas!$B$5:$B$36,H61)</f>
        <v>175</v>
      </c>
      <c r="S61" s="14">
        <f>SUMIFS(Tasas!$E$5:$E$36,Tasas!$A$5:$A$36,S$4,Tasas!$B$5:$B$36,I61)</f>
        <v>349</v>
      </c>
      <c r="T61" s="14">
        <f>SUMIFS(Tasas!$E$5:$E$36,Tasas!$A$5:$A$36,T$4,Tasas!$B$5:$B$36,J61)</f>
        <v>721</v>
      </c>
      <c r="U61" s="14">
        <f t="shared" si="15"/>
        <v>28</v>
      </c>
      <c r="V61" s="14">
        <f t="shared" si="16"/>
        <v>91</v>
      </c>
      <c r="W61" s="14">
        <f t="shared" si="17"/>
        <v>28</v>
      </c>
      <c r="X61" s="14">
        <f t="shared" si="18"/>
        <v>91</v>
      </c>
      <c r="Y61" s="15">
        <f t="shared" si="19"/>
        <v>46303</v>
      </c>
      <c r="Z61" s="15">
        <f t="shared" si="20"/>
        <v>46303</v>
      </c>
      <c r="AA61" s="25">
        <f t="shared" si="21"/>
        <v>6.09</v>
      </c>
      <c r="AB61" s="25">
        <f t="shared" si="22"/>
        <v>6.78</v>
      </c>
      <c r="AC61" s="11" t="str">
        <f t="shared" si="23"/>
        <v>interpolación</v>
      </c>
      <c r="AD61" s="26">
        <f t="shared" si="24"/>
        <v>6.55</v>
      </c>
      <c r="AE61" s="26">
        <f t="shared" si="25"/>
        <v>9.8742405749002291</v>
      </c>
      <c r="AF61" s="19">
        <f t="shared" si="26"/>
        <v>9.8742406000000003</v>
      </c>
      <c r="AG61" s="11" t="str">
        <f t="shared" si="27"/>
        <v>46303|BI261217</v>
      </c>
    </row>
    <row r="62" spans="1:33" x14ac:dyDescent="0.3">
      <c r="A62" s="20">
        <v>46304</v>
      </c>
      <c r="B62" s="21" t="s">
        <v>137</v>
      </c>
      <c r="C62" s="15">
        <f>INDEX(Entradas!$F$40:$F$46,MATCH(B62,Entradas!$A$40:$A$46,0))</f>
        <v>46373</v>
      </c>
      <c r="D62" s="17">
        <f>INDEX(Entradas!$G$40:$G$46,MATCH(B62,Entradas!$A$40:$A$46,0))</f>
        <v>10</v>
      </c>
      <c r="E62" s="14">
        <f t="shared" si="14"/>
        <v>69</v>
      </c>
      <c r="F62" s="15">
        <f>_xlfn.MAXIFS(Tasas!$B$5:$B$36,Tasas!$A$5:$A$36,F$4,Tasas!$B$5:$B$36,"&lt;="&amp;$A62)</f>
        <v>46303</v>
      </c>
      <c r="G62" s="15">
        <f>_xlfn.MAXIFS(Tasas!$B$5:$B$36,Tasas!$A$5:$A$36,G$4,Tasas!$B$5:$B$36,"&lt;="&amp;$A62)</f>
        <v>46303</v>
      </c>
      <c r="H62" s="15">
        <f>_xlfn.MAXIFS(Tasas!$B$5:$B$36,Tasas!$A$5:$A$36,H$4,Tasas!$B$5:$B$36,"&lt;="&amp;$A62)</f>
        <v>46303</v>
      </c>
      <c r="I62" s="15">
        <f>_xlfn.MAXIFS(Tasas!$B$5:$B$36,Tasas!$A$5:$A$36,I$4,Tasas!$B$5:$B$36,"&lt;="&amp;$A62)</f>
        <v>46296</v>
      </c>
      <c r="J62" s="15">
        <f>_xlfn.MAXIFS(Tasas!$B$5:$B$36,Tasas!$A$5:$A$36,J$4,Tasas!$B$5:$B$36,"&lt;="&amp;$A62)</f>
        <v>46303</v>
      </c>
      <c r="K62" s="25">
        <f>SUMIFS(Tasas!$C$5:$C$36,Tasas!$A$5:$A$36,K$4,Tasas!$B$5:$B$36,F62)</f>
        <v>6.09</v>
      </c>
      <c r="L62" s="25">
        <f>SUMIFS(Tasas!$C$5:$C$36,Tasas!$A$5:$A$36,L$4,Tasas!$B$5:$B$36,G62)</f>
        <v>6.78</v>
      </c>
      <c r="M62" s="25">
        <f>SUMIFS(Tasas!$C$5:$C$36,Tasas!$A$5:$A$36,M$4,Tasas!$B$5:$B$36,H62)</f>
        <v>6.91</v>
      </c>
      <c r="N62" s="25">
        <f>SUMIFS(Tasas!$C$5:$C$36,Tasas!$A$5:$A$36,N$4,Tasas!$B$5:$B$36,I62)</f>
        <v>7.44</v>
      </c>
      <c r="O62" s="25">
        <f>SUMIFS(Tasas!$C$5:$C$36,Tasas!$A$5:$A$36,O$4,Tasas!$B$5:$B$36,J62)</f>
        <v>7.98</v>
      </c>
      <c r="P62" s="14">
        <f>SUMIFS(Tasas!$E$5:$E$36,Tasas!$A$5:$A$36,P$4,Tasas!$B$5:$B$36,F62)</f>
        <v>28</v>
      </c>
      <c r="Q62" s="14">
        <f>SUMIFS(Tasas!$E$5:$E$36,Tasas!$A$5:$A$36,Q$4,Tasas!$B$5:$B$36,G62)</f>
        <v>91</v>
      </c>
      <c r="R62" s="14">
        <f>SUMIFS(Tasas!$E$5:$E$36,Tasas!$A$5:$A$36,R$4,Tasas!$B$5:$B$36,H62)</f>
        <v>175</v>
      </c>
      <c r="S62" s="14">
        <f>SUMIFS(Tasas!$E$5:$E$36,Tasas!$A$5:$A$36,S$4,Tasas!$B$5:$B$36,I62)</f>
        <v>349</v>
      </c>
      <c r="T62" s="14">
        <f>SUMIFS(Tasas!$E$5:$E$36,Tasas!$A$5:$A$36,T$4,Tasas!$B$5:$B$36,J62)</f>
        <v>721</v>
      </c>
      <c r="U62" s="14">
        <f t="shared" si="15"/>
        <v>28</v>
      </c>
      <c r="V62" s="14">
        <f t="shared" si="16"/>
        <v>91</v>
      </c>
      <c r="W62" s="14">
        <f t="shared" si="17"/>
        <v>28</v>
      </c>
      <c r="X62" s="14">
        <f t="shared" si="18"/>
        <v>91</v>
      </c>
      <c r="Y62" s="15">
        <f t="shared" si="19"/>
        <v>46303</v>
      </c>
      <c r="Z62" s="15">
        <f t="shared" si="20"/>
        <v>46303</v>
      </c>
      <c r="AA62" s="25">
        <f t="shared" si="21"/>
        <v>6.09</v>
      </c>
      <c r="AB62" s="25">
        <f t="shared" si="22"/>
        <v>6.78</v>
      </c>
      <c r="AC62" s="11" t="str">
        <f t="shared" si="23"/>
        <v>interpolación</v>
      </c>
      <c r="AD62" s="26">
        <f t="shared" si="24"/>
        <v>6.5390476190476194</v>
      </c>
      <c r="AE62" s="26">
        <f t="shared" si="25"/>
        <v>9.8762196151441</v>
      </c>
      <c r="AF62" s="19">
        <f t="shared" si="26"/>
        <v>9.8762196000000007</v>
      </c>
      <c r="AG62" s="11" t="str">
        <f t="shared" si="27"/>
        <v>46304|BI261217</v>
      </c>
    </row>
    <row r="63" spans="1:33" x14ac:dyDescent="0.3">
      <c r="A63" s="20">
        <v>46305</v>
      </c>
      <c r="B63" s="21" t="s">
        <v>137</v>
      </c>
      <c r="C63" s="15">
        <f>INDEX(Entradas!$F$40:$F$46,MATCH(B63,Entradas!$A$40:$A$46,0))</f>
        <v>46373</v>
      </c>
      <c r="D63" s="17">
        <f>INDEX(Entradas!$G$40:$G$46,MATCH(B63,Entradas!$A$40:$A$46,0))</f>
        <v>10</v>
      </c>
      <c r="E63" s="14">
        <f t="shared" si="14"/>
        <v>68</v>
      </c>
      <c r="F63" s="15">
        <f>_xlfn.MAXIFS(Tasas!$B$5:$B$36,Tasas!$A$5:$A$36,F$4,Tasas!$B$5:$B$36,"&lt;="&amp;$A63)</f>
        <v>46303</v>
      </c>
      <c r="G63" s="15">
        <f>_xlfn.MAXIFS(Tasas!$B$5:$B$36,Tasas!$A$5:$A$36,G$4,Tasas!$B$5:$B$36,"&lt;="&amp;$A63)</f>
        <v>46303</v>
      </c>
      <c r="H63" s="15">
        <f>_xlfn.MAXIFS(Tasas!$B$5:$B$36,Tasas!$A$5:$A$36,H$4,Tasas!$B$5:$B$36,"&lt;="&amp;$A63)</f>
        <v>46303</v>
      </c>
      <c r="I63" s="15">
        <f>_xlfn.MAXIFS(Tasas!$B$5:$B$36,Tasas!$A$5:$A$36,I$4,Tasas!$B$5:$B$36,"&lt;="&amp;$A63)</f>
        <v>46296</v>
      </c>
      <c r="J63" s="15">
        <f>_xlfn.MAXIFS(Tasas!$B$5:$B$36,Tasas!$A$5:$A$36,J$4,Tasas!$B$5:$B$36,"&lt;="&amp;$A63)</f>
        <v>46303</v>
      </c>
      <c r="K63" s="25">
        <f>SUMIFS(Tasas!$C$5:$C$36,Tasas!$A$5:$A$36,K$4,Tasas!$B$5:$B$36,F63)</f>
        <v>6.09</v>
      </c>
      <c r="L63" s="25">
        <f>SUMIFS(Tasas!$C$5:$C$36,Tasas!$A$5:$A$36,L$4,Tasas!$B$5:$B$36,G63)</f>
        <v>6.78</v>
      </c>
      <c r="M63" s="25">
        <f>SUMIFS(Tasas!$C$5:$C$36,Tasas!$A$5:$A$36,M$4,Tasas!$B$5:$B$36,H63)</f>
        <v>6.91</v>
      </c>
      <c r="N63" s="25">
        <f>SUMIFS(Tasas!$C$5:$C$36,Tasas!$A$5:$A$36,N$4,Tasas!$B$5:$B$36,I63)</f>
        <v>7.44</v>
      </c>
      <c r="O63" s="25">
        <f>SUMIFS(Tasas!$C$5:$C$36,Tasas!$A$5:$A$36,O$4,Tasas!$B$5:$B$36,J63)</f>
        <v>7.98</v>
      </c>
      <c r="P63" s="14">
        <f>SUMIFS(Tasas!$E$5:$E$36,Tasas!$A$5:$A$36,P$4,Tasas!$B$5:$B$36,F63)</f>
        <v>28</v>
      </c>
      <c r="Q63" s="14">
        <f>SUMIFS(Tasas!$E$5:$E$36,Tasas!$A$5:$A$36,Q$4,Tasas!$B$5:$B$36,G63)</f>
        <v>91</v>
      </c>
      <c r="R63" s="14">
        <f>SUMIFS(Tasas!$E$5:$E$36,Tasas!$A$5:$A$36,R$4,Tasas!$B$5:$B$36,H63)</f>
        <v>175</v>
      </c>
      <c r="S63" s="14">
        <f>SUMIFS(Tasas!$E$5:$E$36,Tasas!$A$5:$A$36,S$4,Tasas!$B$5:$B$36,I63)</f>
        <v>349</v>
      </c>
      <c r="T63" s="14">
        <f>SUMIFS(Tasas!$E$5:$E$36,Tasas!$A$5:$A$36,T$4,Tasas!$B$5:$B$36,J63)</f>
        <v>721</v>
      </c>
      <c r="U63" s="14">
        <f t="shared" si="15"/>
        <v>28</v>
      </c>
      <c r="V63" s="14">
        <f t="shared" si="16"/>
        <v>91</v>
      </c>
      <c r="W63" s="14">
        <f t="shared" si="17"/>
        <v>28</v>
      </c>
      <c r="X63" s="14">
        <f t="shared" si="18"/>
        <v>91</v>
      </c>
      <c r="Y63" s="15">
        <f t="shared" si="19"/>
        <v>46303</v>
      </c>
      <c r="Z63" s="15">
        <f t="shared" si="20"/>
        <v>46303</v>
      </c>
      <c r="AA63" s="25">
        <f t="shared" si="21"/>
        <v>6.09</v>
      </c>
      <c r="AB63" s="25">
        <f t="shared" si="22"/>
        <v>6.78</v>
      </c>
      <c r="AC63" s="11" t="str">
        <f t="shared" si="23"/>
        <v>interpolación</v>
      </c>
      <c r="AD63" s="26">
        <f t="shared" si="24"/>
        <v>6.5280952380952382</v>
      </c>
      <c r="AE63" s="26">
        <f t="shared" si="25"/>
        <v>9.8781935115112063</v>
      </c>
      <c r="AF63" s="19">
        <f t="shared" si="26"/>
        <v>9.8781935000000001</v>
      </c>
      <c r="AG63" s="11" t="str">
        <f t="shared" si="27"/>
        <v>46305|BI261217</v>
      </c>
    </row>
    <row r="64" spans="1:33" x14ac:dyDescent="0.3">
      <c r="A64" s="20">
        <v>46306</v>
      </c>
      <c r="B64" s="21" t="s">
        <v>137</v>
      </c>
      <c r="C64" s="15">
        <f>INDEX(Entradas!$F$40:$F$46,MATCH(B64,Entradas!$A$40:$A$46,0))</f>
        <v>46373</v>
      </c>
      <c r="D64" s="17">
        <f>INDEX(Entradas!$G$40:$G$46,MATCH(B64,Entradas!$A$40:$A$46,0))</f>
        <v>10</v>
      </c>
      <c r="E64" s="14">
        <f t="shared" si="14"/>
        <v>67</v>
      </c>
      <c r="F64" s="15">
        <f>_xlfn.MAXIFS(Tasas!$B$5:$B$36,Tasas!$A$5:$A$36,F$4,Tasas!$B$5:$B$36,"&lt;="&amp;$A64)</f>
        <v>46303</v>
      </c>
      <c r="G64" s="15">
        <f>_xlfn.MAXIFS(Tasas!$B$5:$B$36,Tasas!$A$5:$A$36,G$4,Tasas!$B$5:$B$36,"&lt;="&amp;$A64)</f>
        <v>46303</v>
      </c>
      <c r="H64" s="15">
        <f>_xlfn.MAXIFS(Tasas!$B$5:$B$36,Tasas!$A$5:$A$36,H$4,Tasas!$B$5:$B$36,"&lt;="&amp;$A64)</f>
        <v>46303</v>
      </c>
      <c r="I64" s="15">
        <f>_xlfn.MAXIFS(Tasas!$B$5:$B$36,Tasas!$A$5:$A$36,I$4,Tasas!$B$5:$B$36,"&lt;="&amp;$A64)</f>
        <v>46296</v>
      </c>
      <c r="J64" s="15">
        <f>_xlfn.MAXIFS(Tasas!$B$5:$B$36,Tasas!$A$5:$A$36,J$4,Tasas!$B$5:$B$36,"&lt;="&amp;$A64)</f>
        <v>46303</v>
      </c>
      <c r="K64" s="25">
        <f>SUMIFS(Tasas!$C$5:$C$36,Tasas!$A$5:$A$36,K$4,Tasas!$B$5:$B$36,F64)</f>
        <v>6.09</v>
      </c>
      <c r="L64" s="25">
        <f>SUMIFS(Tasas!$C$5:$C$36,Tasas!$A$5:$A$36,L$4,Tasas!$B$5:$B$36,G64)</f>
        <v>6.78</v>
      </c>
      <c r="M64" s="25">
        <f>SUMIFS(Tasas!$C$5:$C$36,Tasas!$A$5:$A$36,M$4,Tasas!$B$5:$B$36,H64)</f>
        <v>6.91</v>
      </c>
      <c r="N64" s="25">
        <f>SUMIFS(Tasas!$C$5:$C$36,Tasas!$A$5:$A$36,N$4,Tasas!$B$5:$B$36,I64)</f>
        <v>7.44</v>
      </c>
      <c r="O64" s="25">
        <f>SUMIFS(Tasas!$C$5:$C$36,Tasas!$A$5:$A$36,O$4,Tasas!$B$5:$B$36,J64)</f>
        <v>7.98</v>
      </c>
      <c r="P64" s="14">
        <f>SUMIFS(Tasas!$E$5:$E$36,Tasas!$A$5:$A$36,P$4,Tasas!$B$5:$B$36,F64)</f>
        <v>28</v>
      </c>
      <c r="Q64" s="14">
        <f>SUMIFS(Tasas!$E$5:$E$36,Tasas!$A$5:$A$36,Q$4,Tasas!$B$5:$B$36,G64)</f>
        <v>91</v>
      </c>
      <c r="R64" s="14">
        <f>SUMIFS(Tasas!$E$5:$E$36,Tasas!$A$5:$A$36,R$4,Tasas!$B$5:$B$36,H64)</f>
        <v>175</v>
      </c>
      <c r="S64" s="14">
        <f>SUMIFS(Tasas!$E$5:$E$36,Tasas!$A$5:$A$36,S$4,Tasas!$B$5:$B$36,I64)</f>
        <v>349</v>
      </c>
      <c r="T64" s="14">
        <f>SUMIFS(Tasas!$E$5:$E$36,Tasas!$A$5:$A$36,T$4,Tasas!$B$5:$B$36,J64)</f>
        <v>721</v>
      </c>
      <c r="U64" s="14">
        <f t="shared" si="15"/>
        <v>28</v>
      </c>
      <c r="V64" s="14">
        <f t="shared" si="16"/>
        <v>91</v>
      </c>
      <c r="W64" s="14">
        <f t="shared" si="17"/>
        <v>28</v>
      </c>
      <c r="X64" s="14">
        <f t="shared" si="18"/>
        <v>91</v>
      </c>
      <c r="Y64" s="15">
        <f t="shared" si="19"/>
        <v>46303</v>
      </c>
      <c r="Z64" s="15">
        <f t="shared" si="20"/>
        <v>46303</v>
      </c>
      <c r="AA64" s="25">
        <f t="shared" si="21"/>
        <v>6.09</v>
      </c>
      <c r="AB64" s="25">
        <f t="shared" si="22"/>
        <v>6.78</v>
      </c>
      <c r="AC64" s="11" t="str">
        <f t="shared" si="23"/>
        <v>interpolación</v>
      </c>
      <c r="AD64" s="26">
        <f t="shared" si="24"/>
        <v>6.5171428571428569</v>
      </c>
      <c r="AE64" s="26">
        <f t="shared" si="25"/>
        <v>9.8801622573567407</v>
      </c>
      <c r="AF64" s="19">
        <f t="shared" si="26"/>
        <v>9.8801623000000003</v>
      </c>
      <c r="AG64" s="11" t="str">
        <f t="shared" si="27"/>
        <v>46306|BI261217</v>
      </c>
    </row>
    <row r="65" spans="1:33" x14ac:dyDescent="0.3">
      <c r="A65" s="20">
        <v>46307</v>
      </c>
      <c r="B65" s="21" t="s">
        <v>137</v>
      </c>
      <c r="C65" s="15">
        <f>INDEX(Entradas!$F$40:$F$46,MATCH(B65,Entradas!$A$40:$A$46,0))</f>
        <v>46373</v>
      </c>
      <c r="D65" s="17">
        <f>INDEX(Entradas!$G$40:$G$46,MATCH(B65,Entradas!$A$40:$A$46,0))</f>
        <v>10</v>
      </c>
      <c r="E65" s="14">
        <f t="shared" si="14"/>
        <v>66</v>
      </c>
      <c r="F65" s="15">
        <f>_xlfn.MAXIFS(Tasas!$B$5:$B$36,Tasas!$A$5:$A$36,F$4,Tasas!$B$5:$B$36,"&lt;="&amp;$A65)</f>
        <v>46303</v>
      </c>
      <c r="G65" s="15">
        <f>_xlfn.MAXIFS(Tasas!$B$5:$B$36,Tasas!$A$5:$A$36,G$4,Tasas!$B$5:$B$36,"&lt;="&amp;$A65)</f>
        <v>46303</v>
      </c>
      <c r="H65" s="15">
        <f>_xlfn.MAXIFS(Tasas!$B$5:$B$36,Tasas!$A$5:$A$36,H$4,Tasas!$B$5:$B$36,"&lt;="&amp;$A65)</f>
        <v>46303</v>
      </c>
      <c r="I65" s="15">
        <f>_xlfn.MAXIFS(Tasas!$B$5:$B$36,Tasas!$A$5:$A$36,I$4,Tasas!$B$5:$B$36,"&lt;="&amp;$A65)</f>
        <v>46296</v>
      </c>
      <c r="J65" s="15">
        <f>_xlfn.MAXIFS(Tasas!$B$5:$B$36,Tasas!$A$5:$A$36,J$4,Tasas!$B$5:$B$36,"&lt;="&amp;$A65)</f>
        <v>46303</v>
      </c>
      <c r="K65" s="25">
        <f>SUMIFS(Tasas!$C$5:$C$36,Tasas!$A$5:$A$36,K$4,Tasas!$B$5:$B$36,F65)</f>
        <v>6.09</v>
      </c>
      <c r="L65" s="25">
        <f>SUMIFS(Tasas!$C$5:$C$36,Tasas!$A$5:$A$36,L$4,Tasas!$B$5:$B$36,G65)</f>
        <v>6.78</v>
      </c>
      <c r="M65" s="25">
        <f>SUMIFS(Tasas!$C$5:$C$36,Tasas!$A$5:$A$36,M$4,Tasas!$B$5:$B$36,H65)</f>
        <v>6.91</v>
      </c>
      <c r="N65" s="25">
        <f>SUMIFS(Tasas!$C$5:$C$36,Tasas!$A$5:$A$36,N$4,Tasas!$B$5:$B$36,I65)</f>
        <v>7.44</v>
      </c>
      <c r="O65" s="25">
        <f>SUMIFS(Tasas!$C$5:$C$36,Tasas!$A$5:$A$36,O$4,Tasas!$B$5:$B$36,J65)</f>
        <v>7.98</v>
      </c>
      <c r="P65" s="14">
        <f>SUMIFS(Tasas!$E$5:$E$36,Tasas!$A$5:$A$36,P$4,Tasas!$B$5:$B$36,F65)</f>
        <v>28</v>
      </c>
      <c r="Q65" s="14">
        <f>SUMIFS(Tasas!$E$5:$E$36,Tasas!$A$5:$A$36,Q$4,Tasas!$B$5:$B$36,G65)</f>
        <v>91</v>
      </c>
      <c r="R65" s="14">
        <f>SUMIFS(Tasas!$E$5:$E$36,Tasas!$A$5:$A$36,R$4,Tasas!$B$5:$B$36,H65)</f>
        <v>175</v>
      </c>
      <c r="S65" s="14">
        <f>SUMIFS(Tasas!$E$5:$E$36,Tasas!$A$5:$A$36,S$4,Tasas!$B$5:$B$36,I65)</f>
        <v>349</v>
      </c>
      <c r="T65" s="14">
        <f>SUMIFS(Tasas!$E$5:$E$36,Tasas!$A$5:$A$36,T$4,Tasas!$B$5:$B$36,J65)</f>
        <v>721</v>
      </c>
      <c r="U65" s="14">
        <f t="shared" si="15"/>
        <v>28</v>
      </c>
      <c r="V65" s="14">
        <f t="shared" si="16"/>
        <v>91</v>
      </c>
      <c r="W65" s="14">
        <f t="shared" si="17"/>
        <v>28</v>
      </c>
      <c r="X65" s="14">
        <f t="shared" si="18"/>
        <v>91</v>
      </c>
      <c r="Y65" s="15">
        <f t="shared" si="19"/>
        <v>46303</v>
      </c>
      <c r="Z65" s="15">
        <f t="shared" si="20"/>
        <v>46303</v>
      </c>
      <c r="AA65" s="25">
        <f t="shared" si="21"/>
        <v>6.09</v>
      </c>
      <c r="AB65" s="25">
        <f t="shared" si="22"/>
        <v>6.78</v>
      </c>
      <c r="AC65" s="11" t="str">
        <f t="shared" si="23"/>
        <v>interpolación</v>
      </c>
      <c r="AD65" s="26">
        <f t="shared" si="24"/>
        <v>6.5061904761904765</v>
      </c>
      <c r="AE65" s="26">
        <f t="shared" si="25"/>
        <v>9.8821258460491848</v>
      </c>
      <c r="AF65" s="19">
        <f t="shared" si="26"/>
        <v>9.8821258000000007</v>
      </c>
      <c r="AG65" s="11" t="str">
        <f t="shared" si="27"/>
        <v>46307|BI261217</v>
      </c>
    </row>
    <row r="66" spans="1:33" x14ac:dyDescent="0.3">
      <c r="A66" s="20">
        <v>46308</v>
      </c>
      <c r="B66" s="21" t="s">
        <v>137</v>
      </c>
      <c r="C66" s="15">
        <f>INDEX(Entradas!$F$40:$F$46,MATCH(B66,Entradas!$A$40:$A$46,0))</f>
        <v>46373</v>
      </c>
      <c r="D66" s="17">
        <f>INDEX(Entradas!$G$40:$G$46,MATCH(B66,Entradas!$A$40:$A$46,0))</f>
        <v>10</v>
      </c>
      <c r="E66" s="14">
        <f t="shared" si="14"/>
        <v>65</v>
      </c>
      <c r="F66" s="15">
        <f>_xlfn.MAXIFS(Tasas!$B$5:$B$36,Tasas!$A$5:$A$36,F$4,Tasas!$B$5:$B$36,"&lt;="&amp;$A66)</f>
        <v>46303</v>
      </c>
      <c r="G66" s="15">
        <f>_xlfn.MAXIFS(Tasas!$B$5:$B$36,Tasas!$A$5:$A$36,G$4,Tasas!$B$5:$B$36,"&lt;="&amp;$A66)</f>
        <v>46303</v>
      </c>
      <c r="H66" s="15">
        <f>_xlfn.MAXIFS(Tasas!$B$5:$B$36,Tasas!$A$5:$A$36,H$4,Tasas!$B$5:$B$36,"&lt;="&amp;$A66)</f>
        <v>46303</v>
      </c>
      <c r="I66" s="15">
        <f>_xlfn.MAXIFS(Tasas!$B$5:$B$36,Tasas!$A$5:$A$36,I$4,Tasas!$B$5:$B$36,"&lt;="&amp;$A66)</f>
        <v>46296</v>
      </c>
      <c r="J66" s="15">
        <f>_xlfn.MAXIFS(Tasas!$B$5:$B$36,Tasas!$A$5:$A$36,J$4,Tasas!$B$5:$B$36,"&lt;="&amp;$A66)</f>
        <v>46303</v>
      </c>
      <c r="K66" s="25">
        <f>SUMIFS(Tasas!$C$5:$C$36,Tasas!$A$5:$A$36,K$4,Tasas!$B$5:$B$36,F66)</f>
        <v>6.09</v>
      </c>
      <c r="L66" s="25">
        <f>SUMIFS(Tasas!$C$5:$C$36,Tasas!$A$5:$A$36,L$4,Tasas!$B$5:$B$36,G66)</f>
        <v>6.78</v>
      </c>
      <c r="M66" s="25">
        <f>SUMIFS(Tasas!$C$5:$C$36,Tasas!$A$5:$A$36,M$4,Tasas!$B$5:$B$36,H66)</f>
        <v>6.91</v>
      </c>
      <c r="N66" s="25">
        <f>SUMIFS(Tasas!$C$5:$C$36,Tasas!$A$5:$A$36,N$4,Tasas!$B$5:$B$36,I66)</f>
        <v>7.44</v>
      </c>
      <c r="O66" s="25">
        <f>SUMIFS(Tasas!$C$5:$C$36,Tasas!$A$5:$A$36,O$4,Tasas!$B$5:$B$36,J66)</f>
        <v>7.98</v>
      </c>
      <c r="P66" s="14">
        <f>SUMIFS(Tasas!$E$5:$E$36,Tasas!$A$5:$A$36,P$4,Tasas!$B$5:$B$36,F66)</f>
        <v>28</v>
      </c>
      <c r="Q66" s="14">
        <f>SUMIFS(Tasas!$E$5:$E$36,Tasas!$A$5:$A$36,Q$4,Tasas!$B$5:$B$36,G66)</f>
        <v>91</v>
      </c>
      <c r="R66" s="14">
        <f>SUMIFS(Tasas!$E$5:$E$36,Tasas!$A$5:$A$36,R$4,Tasas!$B$5:$B$36,H66)</f>
        <v>175</v>
      </c>
      <c r="S66" s="14">
        <f>SUMIFS(Tasas!$E$5:$E$36,Tasas!$A$5:$A$36,S$4,Tasas!$B$5:$B$36,I66)</f>
        <v>349</v>
      </c>
      <c r="T66" s="14">
        <f>SUMIFS(Tasas!$E$5:$E$36,Tasas!$A$5:$A$36,T$4,Tasas!$B$5:$B$36,J66)</f>
        <v>721</v>
      </c>
      <c r="U66" s="14">
        <f t="shared" si="15"/>
        <v>28</v>
      </c>
      <c r="V66" s="14">
        <f t="shared" si="16"/>
        <v>91</v>
      </c>
      <c r="W66" s="14">
        <f t="shared" si="17"/>
        <v>28</v>
      </c>
      <c r="X66" s="14">
        <f t="shared" si="18"/>
        <v>91</v>
      </c>
      <c r="Y66" s="15">
        <f t="shared" si="19"/>
        <v>46303</v>
      </c>
      <c r="Z66" s="15">
        <f t="shared" si="20"/>
        <v>46303</v>
      </c>
      <c r="AA66" s="25">
        <f t="shared" si="21"/>
        <v>6.09</v>
      </c>
      <c r="AB66" s="25">
        <f t="shared" si="22"/>
        <v>6.78</v>
      </c>
      <c r="AC66" s="11" t="str">
        <f t="shared" si="23"/>
        <v>interpolación</v>
      </c>
      <c r="AD66" s="26">
        <f t="shared" si="24"/>
        <v>6.4952380952380953</v>
      </c>
      <c r="AE66" s="26">
        <f t="shared" si="25"/>
        <v>9.8840842709703409</v>
      </c>
      <c r="AF66" s="19">
        <f t="shared" si="26"/>
        <v>9.8840842999999996</v>
      </c>
      <c r="AG66" s="11" t="str">
        <f t="shared" si="27"/>
        <v>46308|BI261217</v>
      </c>
    </row>
    <row r="67" spans="1:33" x14ac:dyDescent="0.3">
      <c r="A67" s="20">
        <v>46309</v>
      </c>
      <c r="B67" s="21" t="s">
        <v>137</v>
      </c>
      <c r="C67" s="15">
        <f>INDEX(Entradas!$F$40:$F$46,MATCH(B67,Entradas!$A$40:$A$46,0))</f>
        <v>46373</v>
      </c>
      <c r="D67" s="17">
        <f>INDEX(Entradas!$G$40:$G$46,MATCH(B67,Entradas!$A$40:$A$46,0))</f>
        <v>10</v>
      </c>
      <c r="E67" s="14">
        <f t="shared" si="14"/>
        <v>64</v>
      </c>
      <c r="F67" s="15">
        <f>_xlfn.MAXIFS(Tasas!$B$5:$B$36,Tasas!$A$5:$A$36,F$4,Tasas!$B$5:$B$36,"&lt;="&amp;$A67)</f>
        <v>46303</v>
      </c>
      <c r="G67" s="15">
        <f>_xlfn.MAXIFS(Tasas!$B$5:$B$36,Tasas!$A$5:$A$36,G$4,Tasas!$B$5:$B$36,"&lt;="&amp;$A67)</f>
        <v>46303</v>
      </c>
      <c r="H67" s="15">
        <f>_xlfn.MAXIFS(Tasas!$B$5:$B$36,Tasas!$A$5:$A$36,H$4,Tasas!$B$5:$B$36,"&lt;="&amp;$A67)</f>
        <v>46303</v>
      </c>
      <c r="I67" s="15">
        <f>_xlfn.MAXIFS(Tasas!$B$5:$B$36,Tasas!$A$5:$A$36,I$4,Tasas!$B$5:$B$36,"&lt;="&amp;$A67)</f>
        <v>46296</v>
      </c>
      <c r="J67" s="15">
        <f>_xlfn.MAXIFS(Tasas!$B$5:$B$36,Tasas!$A$5:$A$36,J$4,Tasas!$B$5:$B$36,"&lt;="&amp;$A67)</f>
        <v>46303</v>
      </c>
      <c r="K67" s="25">
        <f>SUMIFS(Tasas!$C$5:$C$36,Tasas!$A$5:$A$36,K$4,Tasas!$B$5:$B$36,F67)</f>
        <v>6.09</v>
      </c>
      <c r="L67" s="25">
        <f>SUMIFS(Tasas!$C$5:$C$36,Tasas!$A$5:$A$36,L$4,Tasas!$B$5:$B$36,G67)</f>
        <v>6.78</v>
      </c>
      <c r="M67" s="25">
        <f>SUMIFS(Tasas!$C$5:$C$36,Tasas!$A$5:$A$36,M$4,Tasas!$B$5:$B$36,H67)</f>
        <v>6.91</v>
      </c>
      <c r="N67" s="25">
        <f>SUMIFS(Tasas!$C$5:$C$36,Tasas!$A$5:$A$36,N$4,Tasas!$B$5:$B$36,I67)</f>
        <v>7.44</v>
      </c>
      <c r="O67" s="25">
        <f>SUMIFS(Tasas!$C$5:$C$36,Tasas!$A$5:$A$36,O$4,Tasas!$B$5:$B$36,J67)</f>
        <v>7.98</v>
      </c>
      <c r="P67" s="14">
        <f>SUMIFS(Tasas!$E$5:$E$36,Tasas!$A$5:$A$36,P$4,Tasas!$B$5:$B$36,F67)</f>
        <v>28</v>
      </c>
      <c r="Q67" s="14">
        <f>SUMIFS(Tasas!$E$5:$E$36,Tasas!$A$5:$A$36,Q$4,Tasas!$B$5:$B$36,G67)</f>
        <v>91</v>
      </c>
      <c r="R67" s="14">
        <f>SUMIFS(Tasas!$E$5:$E$36,Tasas!$A$5:$A$36,R$4,Tasas!$B$5:$B$36,H67)</f>
        <v>175</v>
      </c>
      <c r="S67" s="14">
        <f>SUMIFS(Tasas!$E$5:$E$36,Tasas!$A$5:$A$36,S$4,Tasas!$B$5:$B$36,I67)</f>
        <v>349</v>
      </c>
      <c r="T67" s="14">
        <f>SUMIFS(Tasas!$E$5:$E$36,Tasas!$A$5:$A$36,T$4,Tasas!$B$5:$B$36,J67)</f>
        <v>721</v>
      </c>
      <c r="U67" s="14">
        <f t="shared" si="15"/>
        <v>28</v>
      </c>
      <c r="V67" s="14">
        <f t="shared" si="16"/>
        <v>91</v>
      </c>
      <c r="W67" s="14">
        <f t="shared" si="17"/>
        <v>28</v>
      </c>
      <c r="X67" s="14">
        <f t="shared" si="18"/>
        <v>91</v>
      </c>
      <c r="Y67" s="15">
        <f t="shared" si="19"/>
        <v>46303</v>
      </c>
      <c r="Z67" s="15">
        <f t="shared" si="20"/>
        <v>46303</v>
      </c>
      <c r="AA67" s="25">
        <f t="shared" si="21"/>
        <v>6.09</v>
      </c>
      <c r="AB67" s="25">
        <f t="shared" si="22"/>
        <v>6.78</v>
      </c>
      <c r="AC67" s="11" t="str">
        <f t="shared" si="23"/>
        <v>interpolación</v>
      </c>
      <c r="AD67" s="26">
        <f t="shared" si="24"/>
        <v>6.484285714285714</v>
      </c>
      <c r="AE67" s="26">
        <f t="shared" si="25"/>
        <v>9.8860375255153929</v>
      </c>
      <c r="AF67" s="19">
        <f t="shared" si="26"/>
        <v>9.8860375000000005</v>
      </c>
      <c r="AG67" s="11" t="str">
        <f t="shared" si="27"/>
        <v>46309|BI261217</v>
      </c>
    </row>
    <row r="68" spans="1:33" x14ac:dyDescent="0.3">
      <c r="A68" s="20">
        <v>46282</v>
      </c>
      <c r="B68" s="21" t="s">
        <v>139</v>
      </c>
      <c r="C68" s="15">
        <f>INDEX(Entradas!$F$40:$F$46,MATCH(B68,Entradas!$A$40:$A$46,0))</f>
        <v>46464</v>
      </c>
      <c r="D68" s="17">
        <f>INDEX(Entradas!$G$40:$G$46,MATCH(B68,Entradas!$A$40:$A$46,0))</f>
        <v>10</v>
      </c>
      <c r="E68" s="14">
        <f t="shared" si="14"/>
        <v>182</v>
      </c>
      <c r="F68" s="15">
        <f>_xlfn.MAXIFS(Tasas!$B$5:$B$36,Tasas!$A$5:$A$36,F$4,Tasas!$B$5:$B$36,"&lt;="&amp;$A68)</f>
        <v>46282</v>
      </c>
      <c r="G68" s="15">
        <f>_xlfn.MAXIFS(Tasas!$B$5:$B$36,Tasas!$A$5:$A$36,G$4,Tasas!$B$5:$B$36,"&lt;="&amp;$A68)</f>
        <v>46282</v>
      </c>
      <c r="H68" s="15">
        <f>_xlfn.MAXIFS(Tasas!$B$5:$B$36,Tasas!$A$5:$A$36,H$4,Tasas!$B$5:$B$36,"&lt;="&amp;$A68)</f>
        <v>46282</v>
      </c>
      <c r="I68" s="15">
        <f>_xlfn.MAXIFS(Tasas!$B$5:$B$36,Tasas!$A$5:$A$36,I$4,Tasas!$B$5:$B$36,"&lt;="&amp;$A68)</f>
        <v>46282</v>
      </c>
      <c r="J68" s="15">
        <f>_xlfn.MAXIFS(Tasas!$B$5:$B$36,Tasas!$A$5:$A$36,J$4,Tasas!$B$5:$B$36,"&lt;="&amp;$A68)</f>
        <v>46275</v>
      </c>
      <c r="K68" s="25">
        <f>SUMIFS(Tasas!$C$5:$C$36,Tasas!$A$5:$A$36,K$4,Tasas!$B$5:$B$36,F68)</f>
        <v>6.25</v>
      </c>
      <c r="L68" s="25">
        <f>SUMIFS(Tasas!$C$5:$C$36,Tasas!$A$5:$A$36,L$4,Tasas!$B$5:$B$36,G68)</f>
        <v>6.66</v>
      </c>
      <c r="M68" s="25">
        <f>SUMIFS(Tasas!$C$5:$C$36,Tasas!$A$5:$A$36,M$4,Tasas!$B$5:$B$36,H68)</f>
        <v>6.9</v>
      </c>
      <c r="N68" s="25">
        <f>SUMIFS(Tasas!$C$5:$C$36,Tasas!$A$5:$A$36,N$4,Tasas!$B$5:$B$36,I68)</f>
        <v>7.24</v>
      </c>
      <c r="O68" s="25">
        <f>SUMIFS(Tasas!$C$5:$C$36,Tasas!$A$5:$A$36,O$4,Tasas!$B$5:$B$36,J68)</f>
        <v>7.94</v>
      </c>
      <c r="P68" s="14">
        <f>SUMIFS(Tasas!$E$5:$E$36,Tasas!$A$5:$A$36,P$4,Tasas!$B$5:$B$36,F68)</f>
        <v>28</v>
      </c>
      <c r="Q68" s="14">
        <f>SUMIFS(Tasas!$E$5:$E$36,Tasas!$A$5:$A$36,Q$4,Tasas!$B$5:$B$36,G68)</f>
        <v>91</v>
      </c>
      <c r="R68" s="14">
        <f>SUMIFS(Tasas!$E$5:$E$36,Tasas!$A$5:$A$36,R$4,Tasas!$B$5:$B$36,H68)</f>
        <v>182</v>
      </c>
      <c r="S68" s="14">
        <f>SUMIFS(Tasas!$E$5:$E$36,Tasas!$A$5:$A$36,S$4,Tasas!$B$5:$B$36,I68)</f>
        <v>363</v>
      </c>
      <c r="T68" s="14">
        <f>SUMIFS(Tasas!$E$5:$E$36,Tasas!$A$5:$A$36,T$4,Tasas!$B$5:$B$36,J68)</f>
        <v>693</v>
      </c>
      <c r="U68" s="14">
        <f t="shared" si="15"/>
        <v>182</v>
      </c>
      <c r="V68" s="14">
        <f t="shared" si="16"/>
        <v>182</v>
      </c>
      <c r="W68" s="14">
        <f t="shared" si="17"/>
        <v>182</v>
      </c>
      <c r="X68" s="14">
        <f t="shared" si="18"/>
        <v>182</v>
      </c>
      <c r="Y68" s="15">
        <f t="shared" si="19"/>
        <v>46282</v>
      </c>
      <c r="Z68" s="15">
        <f t="shared" si="20"/>
        <v>46282</v>
      </c>
      <c r="AA68" s="25">
        <f t="shared" si="21"/>
        <v>6.9</v>
      </c>
      <c r="AB68" s="25">
        <f t="shared" si="22"/>
        <v>6.9</v>
      </c>
      <c r="AC68" s="11" t="str">
        <f t="shared" si="23"/>
        <v>nodo</v>
      </c>
      <c r="AD68" s="26">
        <f t="shared" si="24"/>
        <v>6.9</v>
      </c>
      <c r="AE68" s="26">
        <f t="shared" si="25"/>
        <v>9.6629249673876281</v>
      </c>
      <c r="AF68" s="19">
        <f t="shared" si="26"/>
        <v>9.6629249999999995</v>
      </c>
      <c r="AG68" s="11" t="str">
        <f t="shared" si="27"/>
        <v>46282|BI270318</v>
      </c>
    </row>
    <row r="69" spans="1:33" x14ac:dyDescent="0.3">
      <c r="A69" s="20">
        <v>46283</v>
      </c>
      <c r="B69" s="21" t="s">
        <v>139</v>
      </c>
      <c r="C69" s="15">
        <f>INDEX(Entradas!$F$40:$F$46,MATCH(B69,Entradas!$A$40:$A$46,0))</f>
        <v>46464</v>
      </c>
      <c r="D69" s="17">
        <f>INDEX(Entradas!$G$40:$G$46,MATCH(B69,Entradas!$A$40:$A$46,0))</f>
        <v>10</v>
      </c>
      <c r="E69" s="14">
        <f t="shared" ref="E69:E95" si="28">C69-A69</f>
        <v>181</v>
      </c>
      <c r="F69" s="15">
        <f>_xlfn.MAXIFS(Tasas!$B$5:$B$36,Tasas!$A$5:$A$36,F$4,Tasas!$B$5:$B$36,"&lt;="&amp;$A69)</f>
        <v>46282</v>
      </c>
      <c r="G69" s="15">
        <f>_xlfn.MAXIFS(Tasas!$B$5:$B$36,Tasas!$A$5:$A$36,G$4,Tasas!$B$5:$B$36,"&lt;="&amp;$A69)</f>
        <v>46282</v>
      </c>
      <c r="H69" s="15">
        <f>_xlfn.MAXIFS(Tasas!$B$5:$B$36,Tasas!$A$5:$A$36,H$4,Tasas!$B$5:$B$36,"&lt;="&amp;$A69)</f>
        <v>46282</v>
      </c>
      <c r="I69" s="15">
        <f>_xlfn.MAXIFS(Tasas!$B$5:$B$36,Tasas!$A$5:$A$36,I$4,Tasas!$B$5:$B$36,"&lt;="&amp;$A69)</f>
        <v>46282</v>
      </c>
      <c r="J69" s="15">
        <f>_xlfn.MAXIFS(Tasas!$B$5:$B$36,Tasas!$A$5:$A$36,J$4,Tasas!$B$5:$B$36,"&lt;="&amp;$A69)</f>
        <v>46275</v>
      </c>
      <c r="K69" s="25">
        <f>SUMIFS(Tasas!$C$5:$C$36,Tasas!$A$5:$A$36,K$4,Tasas!$B$5:$B$36,F69)</f>
        <v>6.25</v>
      </c>
      <c r="L69" s="25">
        <f>SUMIFS(Tasas!$C$5:$C$36,Tasas!$A$5:$A$36,L$4,Tasas!$B$5:$B$36,G69)</f>
        <v>6.66</v>
      </c>
      <c r="M69" s="25">
        <f>SUMIFS(Tasas!$C$5:$C$36,Tasas!$A$5:$A$36,M$4,Tasas!$B$5:$B$36,H69)</f>
        <v>6.9</v>
      </c>
      <c r="N69" s="25">
        <f>SUMIFS(Tasas!$C$5:$C$36,Tasas!$A$5:$A$36,N$4,Tasas!$B$5:$B$36,I69)</f>
        <v>7.24</v>
      </c>
      <c r="O69" s="25">
        <f>SUMIFS(Tasas!$C$5:$C$36,Tasas!$A$5:$A$36,O$4,Tasas!$B$5:$B$36,J69)</f>
        <v>7.94</v>
      </c>
      <c r="P69" s="14">
        <f>SUMIFS(Tasas!$E$5:$E$36,Tasas!$A$5:$A$36,P$4,Tasas!$B$5:$B$36,F69)</f>
        <v>28</v>
      </c>
      <c r="Q69" s="14">
        <f>SUMIFS(Tasas!$E$5:$E$36,Tasas!$A$5:$A$36,Q$4,Tasas!$B$5:$B$36,G69)</f>
        <v>91</v>
      </c>
      <c r="R69" s="14">
        <f>SUMIFS(Tasas!$E$5:$E$36,Tasas!$A$5:$A$36,R$4,Tasas!$B$5:$B$36,H69)</f>
        <v>182</v>
      </c>
      <c r="S69" s="14">
        <f>SUMIFS(Tasas!$E$5:$E$36,Tasas!$A$5:$A$36,S$4,Tasas!$B$5:$B$36,I69)</f>
        <v>363</v>
      </c>
      <c r="T69" s="14">
        <f>SUMIFS(Tasas!$E$5:$E$36,Tasas!$A$5:$A$36,T$4,Tasas!$B$5:$B$36,J69)</f>
        <v>693</v>
      </c>
      <c r="U69" s="14">
        <f t="shared" ref="U69:U95" si="29">IF($E69&lt;=MIN($P69:$T69),MIN($P69:$T69),_xlfn.MAXIFS($P69:$T69,$P69:$T69,"&lt;="&amp;$E69))</f>
        <v>91</v>
      </c>
      <c r="V69" s="14">
        <f t="shared" ref="V69:V95" si="30">IF($E69&gt;=MAX($P69:$T69),MAX($P69:$T69),_xlfn.MINIFS($P69:$T69,$P69:$T69,"&gt;="&amp;$E69))</f>
        <v>182</v>
      </c>
      <c r="W69" s="14">
        <f t="shared" ref="W69:W95" si="31">INDEX($P$4:$T$4,MATCH(U69,$P69:$T69,0))</f>
        <v>91</v>
      </c>
      <c r="X69" s="14">
        <f t="shared" ref="X69:X95" si="32">INDEX($P$4:$T$4,MATCH(V69,$P69:$T69,0))</f>
        <v>182</v>
      </c>
      <c r="Y69" s="15">
        <f t="shared" ref="Y69:Y95" si="33">INDEX($F69:$J69,MATCH(U69,$P69:$T69,0))</f>
        <v>46282</v>
      </c>
      <c r="Z69" s="15">
        <f t="shared" ref="Z69:Z95" si="34">INDEX($F69:$J69,MATCH(V69,$P69:$T69,0))</f>
        <v>46282</v>
      </c>
      <c r="AA69" s="25">
        <f t="shared" ref="AA69:AA95" si="35">INDEX($K69:$O69,MATCH(U69,$P69:$T69,0))</f>
        <v>6.66</v>
      </c>
      <c r="AB69" s="25">
        <f t="shared" ref="AB69:AB95" si="36">INDEX($K69:$O69,MATCH(V69,$P69:$T69,0))</f>
        <v>6.9</v>
      </c>
      <c r="AC69" s="11" t="str">
        <f t="shared" ref="AC69:AC95" si="37">IF(E69&lt;MIN($P69:$T69),"extremo inferior",IF(E69&gt;MAX($P69:$T69),"extremo superior",IF(U69=V69,"nodo","interpolación")))</f>
        <v>interpolación</v>
      </c>
      <c r="AD69" s="26">
        <f t="shared" ref="AD69:AD95" si="38">IF(U69=V69,AA69,AA69+(AB69-AA69)*(E69-U69)/(V69-U69))</f>
        <v>6.8973626373626375</v>
      </c>
      <c r="AE69" s="26">
        <f t="shared" ref="AE69:AE95" si="39">D69/(1+AD69/100*E69/360)</f>
        <v>9.664838790754489</v>
      </c>
      <c r="AF69" s="19">
        <f t="shared" ref="AF69:AF95" si="40">ROUND(AE69,7)</f>
        <v>9.6648388000000001</v>
      </c>
      <c r="AG69" s="11" t="str">
        <f t="shared" ref="AG69:AG95" si="41">A69&amp;"|"&amp;B69</f>
        <v>46283|BI270318</v>
      </c>
    </row>
    <row r="70" spans="1:33" x14ac:dyDescent="0.3">
      <c r="A70" s="20">
        <v>46284</v>
      </c>
      <c r="B70" s="21" t="s">
        <v>139</v>
      </c>
      <c r="C70" s="15">
        <f>INDEX(Entradas!$F$40:$F$46,MATCH(B70,Entradas!$A$40:$A$46,0))</f>
        <v>46464</v>
      </c>
      <c r="D70" s="17">
        <f>INDEX(Entradas!$G$40:$G$46,MATCH(B70,Entradas!$A$40:$A$46,0))</f>
        <v>10</v>
      </c>
      <c r="E70" s="14">
        <f t="shared" si="28"/>
        <v>180</v>
      </c>
      <c r="F70" s="15">
        <f>_xlfn.MAXIFS(Tasas!$B$5:$B$36,Tasas!$A$5:$A$36,F$4,Tasas!$B$5:$B$36,"&lt;="&amp;$A70)</f>
        <v>46282</v>
      </c>
      <c r="G70" s="15">
        <f>_xlfn.MAXIFS(Tasas!$B$5:$B$36,Tasas!$A$5:$A$36,G$4,Tasas!$B$5:$B$36,"&lt;="&amp;$A70)</f>
        <v>46282</v>
      </c>
      <c r="H70" s="15">
        <f>_xlfn.MAXIFS(Tasas!$B$5:$B$36,Tasas!$A$5:$A$36,H$4,Tasas!$B$5:$B$36,"&lt;="&amp;$A70)</f>
        <v>46282</v>
      </c>
      <c r="I70" s="15">
        <f>_xlfn.MAXIFS(Tasas!$B$5:$B$36,Tasas!$A$5:$A$36,I$4,Tasas!$B$5:$B$36,"&lt;="&amp;$A70)</f>
        <v>46282</v>
      </c>
      <c r="J70" s="15">
        <f>_xlfn.MAXIFS(Tasas!$B$5:$B$36,Tasas!$A$5:$A$36,J$4,Tasas!$B$5:$B$36,"&lt;="&amp;$A70)</f>
        <v>46275</v>
      </c>
      <c r="K70" s="25">
        <f>SUMIFS(Tasas!$C$5:$C$36,Tasas!$A$5:$A$36,K$4,Tasas!$B$5:$B$36,F70)</f>
        <v>6.25</v>
      </c>
      <c r="L70" s="25">
        <f>SUMIFS(Tasas!$C$5:$C$36,Tasas!$A$5:$A$36,L$4,Tasas!$B$5:$B$36,G70)</f>
        <v>6.66</v>
      </c>
      <c r="M70" s="25">
        <f>SUMIFS(Tasas!$C$5:$C$36,Tasas!$A$5:$A$36,M$4,Tasas!$B$5:$B$36,H70)</f>
        <v>6.9</v>
      </c>
      <c r="N70" s="25">
        <f>SUMIFS(Tasas!$C$5:$C$36,Tasas!$A$5:$A$36,N$4,Tasas!$B$5:$B$36,I70)</f>
        <v>7.24</v>
      </c>
      <c r="O70" s="25">
        <f>SUMIFS(Tasas!$C$5:$C$36,Tasas!$A$5:$A$36,O$4,Tasas!$B$5:$B$36,J70)</f>
        <v>7.94</v>
      </c>
      <c r="P70" s="14">
        <f>SUMIFS(Tasas!$E$5:$E$36,Tasas!$A$5:$A$36,P$4,Tasas!$B$5:$B$36,F70)</f>
        <v>28</v>
      </c>
      <c r="Q70" s="14">
        <f>SUMIFS(Tasas!$E$5:$E$36,Tasas!$A$5:$A$36,Q$4,Tasas!$B$5:$B$36,G70)</f>
        <v>91</v>
      </c>
      <c r="R70" s="14">
        <f>SUMIFS(Tasas!$E$5:$E$36,Tasas!$A$5:$A$36,R$4,Tasas!$B$5:$B$36,H70)</f>
        <v>182</v>
      </c>
      <c r="S70" s="14">
        <f>SUMIFS(Tasas!$E$5:$E$36,Tasas!$A$5:$A$36,S$4,Tasas!$B$5:$B$36,I70)</f>
        <v>363</v>
      </c>
      <c r="T70" s="14">
        <f>SUMIFS(Tasas!$E$5:$E$36,Tasas!$A$5:$A$36,T$4,Tasas!$B$5:$B$36,J70)</f>
        <v>693</v>
      </c>
      <c r="U70" s="14">
        <f t="shared" si="29"/>
        <v>91</v>
      </c>
      <c r="V70" s="14">
        <f t="shared" si="30"/>
        <v>182</v>
      </c>
      <c r="W70" s="14">
        <f t="shared" si="31"/>
        <v>91</v>
      </c>
      <c r="X70" s="14">
        <f t="shared" si="32"/>
        <v>182</v>
      </c>
      <c r="Y70" s="15">
        <f t="shared" si="33"/>
        <v>46282</v>
      </c>
      <c r="Z70" s="15">
        <f t="shared" si="34"/>
        <v>46282</v>
      </c>
      <c r="AA70" s="25">
        <f t="shared" si="35"/>
        <v>6.66</v>
      </c>
      <c r="AB70" s="25">
        <f t="shared" si="36"/>
        <v>6.9</v>
      </c>
      <c r="AC70" s="11" t="str">
        <f t="shared" si="37"/>
        <v>interpolación</v>
      </c>
      <c r="AD70" s="26">
        <f t="shared" si="38"/>
        <v>6.8947252747252747</v>
      </c>
      <c r="AE70" s="26">
        <f t="shared" si="39"/>
        <v>9.6667520031953398</v>
      </c>
      <c r="AF70" s="19">
        <f t="shared" si="40"/>
        <v>9.6667520000000007</v>
      </c>
      <c r="AG70" s="11" t="str">
        <f t="shared" si="41"/>
        <v>46284|BI270318</v>
      </c>
    </row>
    <row r="71" spans="1:33" x14ac:dyDescent="0.3">
      <c r="A71" s="20">
        <v>46285</v>
      </c>
      <c r="B71" s="21" t="s">
        <v>139</v>
      </c>
      <c r="C71" s="15">
        <f>INDEX(Entradas!$F$40:$F$46,MATCH(B71,Entradas!$A$40:$A$46,0))</f>
        <v>46464</v>
      </c>
      <c r="D71" s="17">
        <f>INDEX(Entradas!$G$40:$G$46,MATCH(B71,Entradas!$A$40:$A$46,0))</f>
        <v>10</v>
      </c>
      <c r="E71" s="14">
        <f t="shared" si="28"/>
        <v>179</v>
      </c>
      <c r="F71" s="15">
        <f>_xlfn.MAXIFS(Tasas!$B$5:$B$36,Tasas!$A$5:$A$36,F$4,Tasas!$B$5:$B$36,"&lt;="&amp;$A71)</f>
        <v>46282</v>
      </c>
      <c r="G71" s="15">
        <f>_xlfn.MAXIFS(Tasas!$B$5:$B$36,Tasas!$A$5:$A$36,G$4,Tasas!$B$5:$B$36,"&lt;="&amp;$A71)</f>
        <v>46282</v>
      </c>
      <c r="H71" s="15">
        <f>_xlfn.MAXIFS(Tasas!$B$5:$B$36,Tasas!$A$5:$A$36,H$4,Tasas!$B$5:$B$36,"&lt;="&amp;$A71)</f>
        <v>46282</v>
      </c>
      <c r="I71" s="15">
        <f>_xlfn.MAXIFS(Tasas!$B$5:$B$36,Tasas!$A$5:$A$36,I$4,Tasas!$B$5:$B$36,"&lt;="&amp;$A71)</f>
        <v>46282</v>
      </c>
      <c r="J71" s="15">
        <f>_xlfn.MAXIFS(Tasas!$B$5:$B$36,Tasas!$A$5:$A$36,J$4,Tasas!$B$5:$B$36,"&lt;="&amp;$A71)</f>
        <v>46275</v>
      </c>
      <c r="K71" s="25">
        <f>SUMIFS(Tasas!$C$5:$C$36,Tasas!$A$5:$A$36,K$4,Tasas!$B$5:$B$36,F71)</f>
        <v>6.25</v>
      </c>
      <c r="L71" s="25">
        <f>SUMIFS(Tasas!$C$5:$C$36,Tasas!$A$5:$A$36,L$4,Tasas!$B$5:$B$36,G71)</f>
        <v>6.66</v>
      </c>
      <c r="M71" s="25">
        <f>SUMIFS(Tasas!$C$5:$C$36,Tasas!$A$5:$A$36,M$4,Tasas!$B$5:$B$36,H71)</f>
        <v>6.9</v>
      </c>
      <c r="N71" s="25">
        <f>SUMIFS(Tasas!$C$5:$C$36,Tasas!$A$5:$A$36,N$4,Tasas!$B$5:$B$36,I71)</f>
        <v>7.24</v>
      </c>
      <c r="O71" s="25">
        <f>SUMIFS(Tasas!$C$5:$C$36,Tasas!$A$5:$A$36,O$4,Tasas!$B$5:$B$36,J71)</f>
        <v>7.94</v>
      </c>
      <c r="P71" s="14">
        <f>SUMIFS(Tasas!$E$5:$E$36,Tasas!$A$5:$A$36,P$4,Tasas!$B$5:$B$36,F71)</f>
        <v>28</v>
      </c>
      <c r="Q71" s="14">
        <f>SUMIFS(Tasas!$E$5:$E$36,Tasas!$A$5:$A$36,Q$4,Tasas!$B$5:$B$36,G71)</f>
        <v>91</v>
      </c>
      <c r="R71" s="14">
        <f>SUMIFS(Tasas!$E$5:$E$36,Tasas!$A$5:$A$36,R$4,Tasas!$B$5:$B$36,H71)</f>
        <v>182</v>
      </c>
      <c r="S71" s="14">
        <f>SUMIFS(Tasas!$E$5:$E$36,Tasas!$A$5:$A$36,S$4,Tasas!$B$5:$B$36,I71)</f>
        <v>363</v>
      </c>
      <c r="T71" s="14">
        <f>SUMIFS(Tasas!$E$5:$E$36,Tasas!$A$5:$A$36,T$4,Tasas!$B$5:$B$36,J71)</f>
        <v>693</v>
      </c>
      <c r="U71" s="14">
        <f t="shared" si="29"/>
        <v>91</v>
      </c>
      <c r="V71" s="14">
        <f t="shared" si="30"/>
        <v>182</v>
      </c>
      <c r="W71" s="14">
        <f t="shared" si="31"/>
        <v>91</v>
      </c>
      <c r="X71" s="14">
        <f t="shared" si="32"/>
        <v>182</v>
      </c>
      <c r="Y71" s="15">
        <f t="shared" si="33"/>
        <v>46282</v>
      </c>
      <c r="Z71" s="15">
        <f t="shared" si="34"/>
        <v>46282</v>
      </c>
      <c r="AA71" s="25">
        <f t="shared" si="35"/>
        <v>6.66</v>
      </c>
      <c r="AB71" s="25">
        <f t="shared" si="36"/>
        <v>6.9</v>
      </c>
      <c r="AC71" s="11" t="str">
        <f t="shared" si="37"/>
        <v>interpolación</v>
      </c>
      <c r="AD71" s="26">
        <f t="shared" si="38"/>
        <v>6.8920879120879128</v>
      </c>
      <c r="AE71" s="26">
        <f t="shared" si="39"/>
        <v>9.668664603534193</v>
      </c>
      <c r="AF71" s="19">
        <f t="shared" si="40"/>
        <v>9.6686645999999996</v>
      </c>
      <c r="AG71" s="11" t="str">
        <f t="shared" si="41"/>
        <v>46285|BI270318</v>
      </c>
    </row>
    <row r="72" spans="1:33" x14ac:dyDescent="0.3">
      <c r="A72" s="20">
        <v>46286</v>
      </c>
      <c r="B72" s="21" t="s">
        <v>139</v>
      </c>
      <c r="C72" s="15">
        <f>INDEX(Entradas!$F$40:$F$46,MATCH(B72,Entradas!$A$40:$A$46,0))</f>
        <v>46464</v>
      </c>
      <c r="D72" s="17">
        <f>INDEX(Entradas!$G$40:$G$46,MATCH(B72,Entradas!$A$40:$A$46,0))</f>
        <v>10</v>
      </c>
      <c r="E72" s="14">
        <f t="shared" si="28"/>
        <v>178</v>
      </c>
      <c r="F72" s="15">
        <f>_xlfn.MAXIFS(Tasas!$B$5:$B$36,Tasas!$A$5:$A$36,F$4,Tasas!$B$5:$B$36,"&lt;="&amp;$A72)</f>
        <v>46282</v>
      </c>
      <c r="G72" s="15">
        <f>_xlfn.MAXIFS(Tasas!$B$5:$B$36,Tasas!$A$5:$A$36,G$4,Tasas!$B$5:$B$36,"&lt;="&amp;$A72)</f>
        <v>46282</v>
      </c>
      <c r="H72" s="15">
        <f>_xlfn.MAXIFS(Tasas!$B$5:$B$36,Tasas!$A$5:$A$36,H$4,Tasas!$B$5:$B$36,"&lt;="&amp;$A72)</f>
        <v>46282</v>
      </c>
      <c r="I72" s="15">
        <f>_xlfn.MAXIFS(Tasas!$B$5:$B$36,Tasas!$A$5:$A$36,I$4,Tasas!$B$5:$B$36,"&lt;="&amp;$A72)</f>
        <v>46282</v>
      </c>
      <c r="J72" s="15">
        <f>_xlfn.MAXIFS(Tasas!$B$5:$B$36,Tasas!$A$5:$A$36,J$4,Tasas!$B$5:$B$36,"&lt;="&amp;$A72)</f>
        <v>46275</v>
      </c>
      <c r="K72" s="25">
        <f>SUMIFS(Tasas!$C$5:$C$36,Tasas!$A$5:$A$36,K$4,Tasas!$B$5:$B$36,F72)</f>
        <v>6.25</v>
      </c>
      <c r="L72" s="25">
        <f>SUMIFS(Tasas!$C$5:$C$36,Tasas!$A$5:$A$36,L$4,Tasas!$B$5:$B$36,G72)</f>
        <v>6.66</v>
      </c>
      <c r="M72" s="25">
        <f>SUMIFS(Tasas!$C$5:$C$36,Tasas!$A$5:$A$36,M$4,Tasas!$B$5:$B$36,H72)</f>
        <v>6.9</v>
      </c>
      <c r="N72" s="25">
        <f>SUMIFS(Tasas!$C$5:$C$36,Tasas!$A$5:$A$36,N$4,Tasas!$B$5:$B$36,I72)</f>
        <v>7.24</v>
      </c>
      <c r="O72" s="25">
        <f>SUMIFS(Tasas!$C$5:$C$36,Tasas!$A$5:$A$36,O$4,Tasas!$B$5:$B$36,J72)</f>
        <v>7.94</v>
      </c>
      <c r="P72" s="14">
        <f>SUMIFS(Tasas!$E$5:$E$36,Tasas!$A$5:$A$36,P$4,Tasas!$B$5:$B$36,F72)</f>
        <v>28</v>
      </c>
      <c r="Q72" s="14">
        <f>SUMIFS(Tasas!$E$5:$E$36,Tasas!$A$5:$A$36,Q$4,Tasas!$B$5:$B$36,G72)</f>
        <v>91</v>
      </c>
      <c r="R72" s="14">
        <f>SUMIFS(Tasas!$E$5:$E$36,Tasas!$A$5:$A$36,R$4,Tasas!$B$5:$B$36,H72)</f>
        <v>182</v>
      </c>
      <c r="S72" s="14">
        <f>SUMIFS(Tasas!$E$5:$E$36,Tasas!$A$5:$A$36,S$4,Tasas!$B$5:$B$36,I72)</f>
        <v>363</v>
      </c>
      <c r="T72" s="14">
        <f>SUMIFS(Tasas!$E$5:$E$36,Tasas!$A$5:$A$36,T$4,Tasas!$B$5:$B$36,J72)</f>
        <v>693</v>
      </c>
      <c r="U72" s="14">
        <f t="shared" si="29"/>
        <v>91</v>
      </c>
      <c r="V72" s="14">
        <f t="shared" si="30"/>
        <v>182</v>
      </c>
      <c r="W72" s="14">
        <f t="shared" si="31"/>
        <v>91</v>
      </c>
      <c r="X72" s="14">
        <f t="shared" si="32"/>
        <v>182</v>
      </c>
      <c r="Y72" s="15">
        <f t="shared" si="33"/>
        <v>46282</v>
      </c>
      <c r="Z72" s="15">
        <f t="shared" si="34"/>
        <v>46282</v>
      </c>
      <c r="AA72" s="25">
        <f t="shared" si="35"/>
        <v>6.66</v>
      </c>
      <c r="AB72" s="25">
        <f t="shared" si="36"/>
        <v>6.9</v>
      </c>
      <c r="AC72" s="11" t="str">
        <f t="shared" si="37"/>
        <v>interpolación</v>
      </c>
      <c r="AD72" s="26">
        <f t="shared" si="38"/>
        <v>6.88945054945055</v>
      </c>
      <c r="AE72" s="26">
        <f t="shared" si="39"/>
        <v>9.6705765905946528</v>
      </c>
      <c r="AF72" s="19">
        <f t="shared" si="40"/>
        <v>9.6705766000000004</v>
      </c>
      <c r="AG72" s="11" t="str">
        <f t="shared" si="41"/>
        <v>46286|BI270318</v>
      </c>
    </row>
    <row r="73" spans="1:33" x14ac:dyDescent="0.3">
      <c r="A73" s="20">
        <v>46287</v>
      </c>
      <c r="B73" s="21" t="s">
        <v>139</v>
      </c>
      <c r="C73" s="15">
        <f>INDEX(Entradas!$F$40:$F$46,MATCH(B73,Entradas!$A$40:$A$46,0))</f>
        <v>46464</v>
      </c>
      <c r="D73" s="17">
        <f>INDEX(Entradas!$G$40:$G$46,MATCH(B73,Entradas!$A$40:$A$46,0))</f>
        <v>10</v>
      </c>
      <c r="E73" s="14">
        <f t="shared" si="28"/>
        <v>177</v>
      </c>
      <c r="F73" s="15">
        <f>_xlfn.MAXIFS(Tasas!$B$5:$B$36,Tasas!$A$5:$A$36,F$4,Tasas!$B$5:$B$36,"&lt;="&amp;$A73)</f>
        <v>46282</v>
      </c>
      <c r="G73" s="15">
        <f>_xlfn.MAXIFS(Tasas!$B$5:$B$36,Tasas!$A$5:$A$36,G$4,Tasas!$B$5:$B$36,"&lt;="&amp;$A73)</f>
        <v>46282</v>
      </c>
      <c r="H73" s="15">
        <f>_xlfn.MAXIFS(Tasas!$B$5:$B$36,Tasas!$A$5:$A$36,H$4,Tasas!$B$5:$B$36,"&lt;="&amp;$A73)</f>
        <v>46282</v>
      </c>
      <c r="I73" s="15">
        <f>_xlfn.MAXIFS(Tasas!$B$5:$B$36,Tasas!$A$5:$A$36,I$4,Tasas!$B$5:$B$36,"&lt;="&amp;$A73)</f>
        <v>46282</v>
      </c>
      <c r="J73" s="15">
        <f>_xlfn.MAXIFS(Tasas!$B$5:$B$36,Tasas!$A$5:$A$36,J$4,Tasas!$B$5:$B$36,"&lt;="&amp;$A73)</f>
        <v>46275</v>
      </c>
      <c r="K73" s="25">
        <f>SUMIFS(Tasas!$C$5:$C$36,Tasas!$A$5:$A$36,K$4,Tasas!$B$5:$B$36,F73)</f>
        <v>6.25</v>
      </c>
      <c r="L73" s="25">
        <f>SUMIFS(Tasas!$C$5:$C$36,Tasas!$A$5:$A$36,L$4,Tasas!$B$5:$B$36,G73)</f>
        <v>6.66</v>
      </c>
      <c r="M73" s="25">
        <f>SUMIFS(Tasas!$C$5:$C$36,Tasas!$A$5:$A$36,M$4,Tasas!$B$5:$B$36,H73)</f>
        <v>6.9</v>
      </c>
      <c r="N73" s="25">
        <f>SUMIFS(Tasas!$C$5:$C$36,Tasas!$A$5:$A$36,N$4,Tasas!$B$5:$B$36,I73)</f>
        <v>7.24</v>
      </c>
      <c r="O73" s="25">
        <f>SUMIFS(Tasas!$C$5:$C$36,Tasas!$A$5:$A$36,O$4,Tasas!$B$5:$B$36,J73)</f>
        <v>7.94</v>
      </c>
      <c r="P73" s="14">
        <f>SUMIFS(Tasas!$E$5:$E$36,Tasas!$A$5:$A$36,P$4,Tasas!$B$5:$B$36,F73)</f>
        <v>28</v>
      </c>
      <c r="Q73" s="14">
        <f>SUMIFS(Tasas!$E$5:$E$36,Tasas!$A$5:$A$36,Q$4,Tasas!$B$5:$B$36,G73)</f>
        <v>91</v>
      </c>
      <c r="R73" s="14">
        <f>SUMIFS(Tasas!$E$5:$E$36,Tasas!$A$5:$A$36,R$4,Tasas!$B$5:$B$36,H73)</f>
        <v>182</v>
      </c>
      <c r="S73" s="14">
        <f>SUMIFS(Tasas!$E$5:$E$36,Tasas!$A$5:$A$36,S$4,Tasas!$B$5:$B$36,I73)</f>
        <v>363</v>
      </c>
      <c r="T73" s="14">
        <f>SUMIFS(Tasas!$E$5:$E$36,Tasas!$A$5:$A$36,T$4,Tasas!$B$5:$B$36,J73)</f>
        <v>693</v>
      </c>
      <c r="U73" s="14">
        <f t="shared" si="29"/>
        <v>91</v>
      </c>
      <c r="V73" s="14">
        <f t="shared" si="30"/>
        <v>182</v>
      </c>
      <c r="W73" s="14">
        <f t="shared" si="31"/>
        <v>91</v>
      </c>
      <c r="X73" s="14">
        <f t="shared" si="32"/>
        <v>182</v>
      </c>
      <c r="Y73" s="15">
        <f t="shared" si="33"/>
        <v>46282</v>
      </c>
      <c r="Z73" s="15">
        <f t="shared" si="34"/>
        <v>46282</v>
      </c>
      <c r="AA73" s="25">
        <f t="shared" si="35"/>
        <v>6.66</v>
      </c>
      <c r="AB73" s="25">
        <f t="shared" si="36"/>
        <v>6.9</v>
      </c>
      <c r="AC73" s="11" t="str">
        <f t="shared" si="37"/>
        <v>interpolación</v>
      </c>
      <c r="AD73" s="26">
        <f t="shared" si="38"/>
        <v>6.8868131868131872</v>
      </c>
      <c r="AE73" s="26">
        <f t="shared" si="39"/>
        <v>9.6724879631999041</v>
      </c>
      <c r="AF73" s="19">
        <f t="shared" si="40"/>
        <v>9.6724879999999995</v>
      </c>
      <c r="AG73" s="11" t="str">
        <f t="shared" si="41"/>
        <v>46287|BI270318</v>
      </c>
    </row>
    <row r="74" spans="1:33" x14ac:dyDescent="0.3">
      <c r="A74" s="20">
        <v>46288</v>
      </c>
      <c r="B74" s="21" t="s">
        <v>139</v>
      </c>
      <c r="C74" s="15">
        <f>INDEX(Entradas!$F$40:$F$46,MATCH(B74,Entradas!$A$40:$A$46,0))</f>
        <v>46464</v>
      </c>
      <c r="D74" s="17">
        <f>INDEX(Entradas!$G$40:$G$46,MATCH(B74,Entradas!$A$40:$A$46,0))</f>
        <v>10</v>
      </c>
      <c r="E74" s="14">
        <f t="shared" si="28"/>
        <v>176</v>
      </c>
      <c r="F74" s="15">
        <f>_xlfn.MAXIFS(Tasas!$B$5:$B$36,Tasas!$A$5:$A$36,F$4,Tasas!$B$5:$B$36,"&lt;="&amp;$A74)</f>
        <v>46282</v>
      </c>
      <c r="G74" s="15">
        <f>_xlfn.MAXIFS(Tasas!$B$5:$B$36,Tasas!$A$5:$A$36,G$4,Tasas!$B$5:$B$36,"&lt;="&amp;$A74)</f>
        <v>46282</v>
      </c>
      <c r="H74" s="15">
        <f>_xlfn.MAXIFS(Tasas!$B$5:$B$36,Tasas!$A$5:$A$36,H$4,Tasas!$B$5:$B$36,"&lt;="&amp;$A74)</f>
        <v>46282</v>
      </c>
      <c r="I74" s="15">
        <f>_xlfn.MAXIFS(Tasas!$B$5:$B$36,Tasas!$A$5:$A$36,I$4,Tasas!$B$5:$B$36,"&lt;="&amp;$A74)</f>
        <v>46282</v>
      </c>
      <c r="J74" s="15">
        <f>_xlfn.MAXIFS(Tasas!$B$5:$B$36,Tasas!$A$5:$A$36,J$4,Tasas!$B$5:$B$36,"&lt;="&amp;$A74)</f>
        <v>46275</v>
      </c>
      <c r="K74" s="25">
        <f>SUMIFS(Tasas!$C$5:$C$36,Tasas!$A$5:$A$36,K$4,Tasas!$B$5:$B$36,F74)</f>
        <v>6.25</v>
      </c>
      <c r="L74" s="25">
        <f>SUMIFS(Tasas!$C$5:$C$36,Tasas!$A$5:$A$36,L$4,Tasas!$B$5:$B$36,G74)</f>
        <v>6.66</v>
      </c>
      <c r="M74" s="25">
        <f>SUMIFS(Tasas!$C$5:$C$36,Tasas!$A$5:$A$36,M$4,Tasas!$B$5:$B$36,H74)</f>
        <v>6.9</v>
      </c>
      <c r="N74" s="25">
        <f>SUMIFS(Tasas!$C$5:$C$36,Tasas!$A$5:$A$36,N$4,Tasas!$B$5:$B$36,I74)</f>
        <v>7.24</v>
      </c>
      <c r="O74" s="25">
        <f>SUMIFS(Tasas!$C$5:$C$36,Tasas!$A$5:$A$36,O$4,Tasas!$B$5:$B$36,J74)</f>
        <v>7.94</v>
      </c>
      <c r="P74" s="14">
        <f>SUMIFS(Tasas!$E$5:$E$36,Tasas!$A$5:$A$36,P$4,Tasas!$B$5:$B$36,F74)</f>
        <v>28</v>
      </c>
      <c r="Q74" s="14">
        <f>SUMIFS(Tasas!$E$5:$E$36,Tasas!$A$5:$A$36,Q$4,Tasas!$B$5:$B$36,G74)</f>
        <v>91</v>
      </c>
      <c r="R74" s="14">
        <f>SUMIFS(Tasas!$E$5:$E$36,Tasas!$A$5:$A$36,R$4,Tasas!$B$5:$B$36,H74)</f>
        <v>182</v>
      </c>
      <c r="S74" s="14">
        <f>SUMIFS(Tasas!$E$5:$E$36,Tasas!$A$5:$A$36,S$4,Tasas!$B$5:$B$36,I74)</f>
        <v>363</v>
      </c>
      <c r="T74" s="14">
        <f>SUMIFS(Tasas!$E$5:$E$36,Tasas!$A$5:$A$36,T$4,Tasas!$B$5:$B$36,J74)</f>
        <v>693</v>
      </c>
      <c r="U74" s="14">
        <f t="shared" si="29"/>
        <v>91</v>
      </c>
      <c r="V74" s="14">
        <f t="shared" si="30"/>
        <v>182</v>
      </c>
      <c r="W74" s="14">
        <f t="shared" si="31"/>
        <v>91</v>
      </c>
      <c r="X74" s="14">
        <f t="shared" si="32"/>
        <v>182</v>
      </c>
      <c r="Y74" s="15">
        <f t="shared" si="33"/>
        <v>46282</v>
      </c>
      <c r="Z74" s="15">
        <f t="shared" si="34"/>
        <v>46282</v>
      </c>
      <c r="AA74" s="25">
        <f t="shared" si="35"/>
        <v>6.66</v>
      </c>
      <c r="AB74" s="25">
        <f t="shared" si="36"/>
        <v>6.9</v>
      </c>
      <c r="AC74" s="11" t="str">
        <f t="shared" si="37"/>
        <v>interpolación</v>
      </c>
      <c r="AD74" s="26">
        <f t="shared" si="38"/>
        <v>6.8841758241758244</v>
      </c>
      <c r="AE74" s="26">
        <f t="shared" si="39"/>
        <v>9.6743987201727304</v>
      </c>
      <c r="AF74" s="19">
        <f t="shared" si="40"/>
        <v>9.6743986999999994</v>
      </c>
      <c r="AG74" s="11" t="str">
        <f t="shared" si="41"/>
        <v>46288|BI270318</v>
      </c>
    </row>
    <row r="75" spans="1:33" x14ac:dyDescent="0.3">
      <c r="A75" s="20">
        <v>46289</v>
      </c>
      <c r="B75" s="21" t="s">
        <v>139</v>
      </c>
      <c r="C75" s="15">
        <f>INDEX(Entradas!$F$40:$F$46,MATCH(B75,Entradas!$A$40:$A$46,0))</f>
        <v>46464</v>
      </c>
      <c r="D75" s="17">
        <f>INDEX(Entradas!$G$40:$G$46,MATCH(B75,Entradas!$A$40:$A$46,0))</f>
        <v>10</v>
      </c>
      <c r="E75" s="14">
        <f t="shared" si="28"/>
        <v>175</v>
      </c>
      <c r="F75" s="15">
        <f>_xlfn.MAXIFS(Tasas!$B$5:$B$36,Tasas!$A$5:$A$36,F$4,Tasas!$B$5:$B$36,"&lt;="&amp;$A75)</f>
        <v>46289</v>
      </c>
      <c r="G75" s="15">
        <f>_xlfn.MAXIFS(Tasas!$B$5:$B$36,Tasas!$A$5:$A$36,G$4,Tasas!$B$5:$B$36,"&lt;="&amp;$A75)</f>
        <v>46289</v>
      </c>
      <c r="H75" s="15">
        <f>_xlfn.MAXIFS(Tasas!$B$5:$B$36,Tasas!$A$5:$A$36,H$4,Tasas!$B$5:$B$36,"&lt;="&amp;$A75)</f>
        <v>46289</v>
      </c>
      <c r="I75" s="15">
        <f>_xlfn.MAXIFS(Tasas!$B$5:$B$36,Tasas!$A$5:$A$36,I$4,Tasas!$B$5:$B$36,"&lt;="&amp;$A75)</f>
        <v>46282</v>
      </c>
      <c r="J75" s="15">
        <f>_xlfn.MAXIFS(Tasas!$B$5:$B$36,Tasas!$A$5:$A$36,J$4,Tasas!$B$5:$B$36,"&lt;="&amp;$A75)</f>
        <v>46289</v>
      </c>
      <c r="K75" s="25">
        <f>SUMIFS(Tasas!$C$5:$C$36,Tasas!$A$5:$A$36,K$4,Tasas!$B$5:$B$36,F75)</f>
        <v>6.15</v>
      </c>
      <c r="L75" s="25">
        <f>SUMIFS(Tasas!$C$5:$C$36,Tasas!$A$5:$A$36,L$4,Tasas!$B$5:$B$36,G75)</f>
        <v>6.59</v>
      </c>
      <c r="M75" s="25">
        <f>SUMIFS(Tasas!$C$5:$C$36,Tasas!$A$5:$A$36,M$4,Tasas!$B$5:$B$36,H75)</f>
        <v>6.91</v>
      </c>
      <c r="N75" s="25">
        <f>SUMIFS(Tasas!$C$5:$C$36,Tasas!$A$5:$A$36,N$4,Tasas!$B$5:$B$36,I75)</f>
        <v>7.24</v>
      </c>
      <c r="O75" s="25">
        <f>SUMIFS(Tasas!$C$5:$C$36,Tasas!$A$5:$A$36,O$4,Tasas!$B$5:$B$36,J75)</f>
        <v>8.01</v>
      </c>
      <c r="P75" s="14">
        <f>SUMIFS(Tasas!$E$5:$E$36,Tasas!$A$5:$A$36,P$4,Tasas!$B$5:$B$36,F75)</f>
        <v>28</v>
      </c>
      <c r="Q75" s="14">
        <f>SUMIFS(Tasas!$E$5:$E$36,Tasas!$A$5:$A$36,Q$4,Tasas!$B$5:$B$36,G75)</f>
        <v>91</v>
      </c>
      <c r="R75" s="14">
        <f>SUMIFS(Tasas!$E$5:$E$36,Tasas!$A$5:$A$36,R$4,Tasas!$B$5:$B$36,H75)</f>
        <v>175</v>
      </c>
      <c r="S75" s="14">
        <f>SUMIFS(Tasas!$E$5:$E$36,Tasas!$A$5:$A$36,S$4,Tasas!$B$5:$B$36,I75)</f>
        <v>363</v>
      </c>
      <c r="T75" s="14">
        <f>SUMIFS(Tasas!$E$5:$E$36,Tasas!$A$5:$A$36,T$4,Tasas!$B$5:$B$36,J75)</f>
        <v>679</v>
      </c>
      <c r="U75" s="14">
        <f t="shared" si="29"/>
        <v>175</v>
      </c>
      <c r="V75" s="14">
        <f t="shared" si="30"/>
        <v>175</v>
      </c>
      <c r="W75" s="14">
        <f t="shared" si="31"/>
        <v>182</v>
      </c>
      <c r="X75" s="14">
        <f t="shared" si="32"/>
        <v>182</v>
      </c>
      <c r="Y75" s="15">
        <f t="shared" si="33"/>
        <v>46289</v>
      </c>
      <c r="Z75" s="15">
        <f t="shared" si="34"/>
        <v>46289</v>
      </c>
      <c r="AA75" s="25">
        <f t="shared" si="35"/>
        <v>6.91</v>
      </c>
      <c r="AB75" s="25">
        <f t="shared" si="36"/>
        <v>6.91</v>
      </c>
      <c r="AC75" s="11" t="str">
        <f t="shared" si="37"/>
        <v>nodo</v>
      </c>
      <c r="AD75" s="26">
        <f t="shared" si="38"/>
        <v>6.91</v>
      </c>
      <c r="AE75" s="26">
        <f t="shared" si="39"/>
        <v>9.6750136054878837</v>
      </c>
      <c r="AF75" s="19">
        <f t="shared" si="40"/>
        <v>9.6750135999999998</v>
      </c>
      <c r="AG75" s="11" t="str">
        <f t="shared" si="41"/>
        <v>46289|BI270318</v>
      </c>
    </row>
    <row r="76" spans="1:33" x14ac:dyDescent="0.3">
      <c r="A76" s="20">
        <v>46290</v>
      </c>
      <c r="B76" s="21" t="s">
        <v>139</v>
      </c>
      <c r="C76" s="15">
        <f>INDEX(Entradas!$F$40:$F$46,MATCH(B76,Entradas!$A$40:$A$46,0))</f>
        <v>46464</v>
      </c>
      <c r="D76" s="17">
        <f>INDEX(Entradas!$G$40:$G$46,MATCH(B76,Entradas!$A$40:$A$46,0))</f>
        <v>10</v>
      </c>
      <c r="E76" s="14">
        <f t="shared" si="28"/>
        <v>174</v>
      </c>
      <c r="F76" s="15">
        <f>_xlfn.MAXIFS(Tasas!$B$5:$B$36,Tasas!$A$5:$A$36,F$4,Tasas!$B$5:$B$36,"&lt;="&amp;$A76)</f>
        <v>46289</v>
      </c>
      <c r="G76" s="15">
        <f>_xlfn.MAXIFS(Tasas!$B$5:$B$36,Tasas!$A$5:$A$36,G$4,Tasas!$B$5:$B$36,"&lt;="&amp;$A76)</f>
        <v>46289</v>
      </c>
      <c r="H76" s="15">
        <f>_xlfn.MAXIFS(Tasas!$B$5:$B$36,Tasas!$A$5:$A$36,H$4,Tasas!$B$5:$B$36,"&lt;="&amp;$A76)</f>
        <v>46289</v>
      </c>
      <c r="I76" s="15">
        <f>_xlfn.MAXIFS(Tasas!$B$5:$B$36,Tasas!$A$5:$A$36,I$4,Tasas!$B$5:$B$36,"&lt;="&amp;$A76)</f>
        <v>46282</v>
      </c>
      <c r="J76" s="15">
        <f>_xlfn.MAXIFS(Tasas!$B$5:$B$36,Tasas!$A$5:$A$36,J$4,Tasas!$B$5:$B$36,"&lt;="&amp;$A76)</f>
        <v>46289</v>
      </c>
      <c r="K76" s="25">
        <f>SUMIFS(Tasas!$C$5:$C$36,Tasas!$A$5:$A$36,K$4,Tasas!$B$5:$B$36,F76)</f>
        <v>6.15</v>
      </c>
      <c r="L76" s="25">
        <f>SUMIFS(Tasas!$C$5:$C$36,Tasas!$A$5:$A$36,L$4,Tasas!$B$5:$B$36,G76)</f>
        <v>6.59</v>
      </c>
      <c r="M76" s="25">
        <f>SUMIFS(Tasas!$C$5:$C$36,Tasas!$A$5:$A$36,M$4,Tasas!$B$5:$B$36,H76)</f>
        <v>6.91</v>
      </c>
      <c r="N76" s="25">
        <f>SUMIFS(Tasas!$C$5:$C$36,Tasas!$A$5:$A$36,N$4,Tasas!$B$5:$B$36,I76)</f>
        <v>7.24</v>
      </c>
      <c r="O76" s="25">
        <f>SUMIFS(Tasas!$C$5:$C$36,Tasas!$A$5:$A$36,O$4,Tasas!$B$5:$B$36,J76)</f>
        <v>8.01</v>
      </c>
      <c r="P76" s="14">
        <f>SUMIFS(Tasas!$E$5:$E$36,Tasas!$A$5:$A$36,P$4,Tasas!$B$5:$B$36,F76)</f>
        <v>28</v>
      </c>
      <c r="Q76" s="14">
        <f>SUMIFS(Tasas!$E$5:$E$36,Tasas!$A$5:$A$36,Q$4,Tasas!$B$5:$B$36,G76)</f>
        <v>91</v>
      </c>
      <c r="R76" s="14">
        <f>SUMIFS(Tasas!$E$5:$E$36,Tasas!$A$5:$A$36,R$4,Tasas!$B$5:$B$36,H76)</f>
        <v>175</v>
      </c>
      <c r="S76" s="14">
        <f>SUMIFS(Tasas!$E$5:$E$36,Tasas!$A$5:$A$36,S$4,Tasas!$B$5:$B$36,I76)</f>
        <v>363</v>
      </c>
      <c r="T76" s="14">
        <f>SUMIFS(Tasas!$E$5:$E$36,Tasas!$A$5:$A$36,T$4,Tasas!$B$5:$B$36,J76)</f>
        <v>679</v>
      </c>
      <c r="U76" s="14">
        <f t="shared" si="29"/>
        <v>91</v>
      </c>
      <c r="V76" s="14">
        <f t="shared" si="30"/>
        <v>175</v>
      </c>
      <c r="W76" s="14">
        <f t="shared" si="31"/>
        <v>91</v>
      </c>
      <c r="X76" s="14">
        <f t="shared" si="32"/>
        <v>182</v>
      </c>
      <c r="Y76" s="15">
        <f t="shared" si="33"/>
        <v>46289</v>
      </c>
      <c r="Z76" s="15">
        <f t="shared" si="34"/>
        <v>46289</v>
      </c>
      <c r="AA76" s="25">
        <f t="shared" si="35"/>
        <v>6.59</v>
      </c>
      <c r="AB76" s="25">
        <f t="shared" si="36"/>
        <v>6.91</v>
      </c>
      <c r="AC76" s="11" t="str">
        <f t="shared" si="37"/>
        <v>interpolación</v>
      </c>
      <c r="AD76" s="26">
        <f t="shared" si="38"/>
        <v>6.906190476190476</v>
      </c>
      <c r="AE76" s="26">
        <f t="shared" si="39"/>
        <v>9.6769830730365687</v>
      </c>
      <c r="AF76" s="19">
        <f t="shared" si="40"/>
        <v>9.6769830999999993</v>
      </c>
      <c r="AG76" s="11" t="str">
        <f t="shared" si="41"/>
        <v>46290|BI270318</v>
      </c>
    </row>
    <row r="77" spans="1:33" x14ac:dyDescent="0.3">
      <c r="A77" s="20">
        <v>46291</v>
      </c>
      <c r="B77" s="21" t="s">
        <v>139</v>
      </c>
      <c r="C77" s="15">
        <f>INDEX(Entradas!$F$40:$F$46,MATCH(B77,Entradas!$A$40:$A$46,0))</f>
        <v>46464</v>
      </c>
      <c r="D77" s="17">
        <f>INDEX(Entradas!$G$40:$G$46,MATCH(B77,Entradas!$A$40:$A$46,0))</f>
        <v>10</v>
      </c>
      <c r="E77" s="14">
        <f t="shared" si="28"/>
        <v>173</v>
      </c>
      <c r="F77" s="15">
        <f>_xlfn.MAXIFS(Tasas!$B$5:$B$36,Tasas!$A$5:$A$36,F$4,Tasas!$B$5:$B$36,"&lt;="&amp;$A77)</f>
        <v>46289</v>
      </c>
      <c r="G77" s="15">
        <f>_xlfn.MAXIFS(Tasas!$B$5:$B$36,Tasas!$A$5:$A$36,G$4,Tasas!$B$5:$B$36,"&lt;="&amp;$A77)</f>
        <v>46289</v>
      </c>
      <c r="H77" s="15">
        <f>_xlfn.MAXIFS(Tasas!$B$5:$B$36,Tasas!$A$5:$A$36,H$4,Tasas!$B$5:$B$36,"&lt;="&amp;$A77)</f>
        <v>46289</v>
      </c>
      <c r="I77" s="15">
        <f>_xlfn.MAXIFS(Tasas!$B$5:$B$36,Tasas!$A$5:$A$36,I$4,Tasas!$B$5:$B$36,"&lt;="&amp;$A77)</f>
        <v>46282</v>
      </c>
      <c r="J77" s="15">
        <f>_xlfn.MAXIFS(Tasas!$B$5:$B$36,Tasas!$A$5:$A$36,J$4,Tasas!$B$5:$B$36,"&lt;="&amp;$A77)</f>
        <v>46289</v>
      </c>
      <c r="K77" s="25">
        <f>SUMIFS(Tasas!$C$5:$C$36,Tasas!$A$5:$A$36,K$4,Tasas!$B$5:$B$36,F77)</f>
        <v>6.15</v>
      </c>
      <c r="L77" s="25">
        <f>SUMIFS(Tasas!$C$5:$C$36,Tasas!$A$5:$A$36,L$4,Tasas!$B$5:$B$36,G77)</f>
        <v>6.59</v>
      </c>
      <c r="M77" s="25">
        <f>SUMIFS(Tasas!$C$5:$C$36,Tasas!$A$5:$A$36,M$4,Tasas!$B$5:$B$36,H77)</f>
        <v>6.91</v>
      </c>
      <c r="N77" s="25">
        <f>SUMIFS(Tasas!$C$5:$C$36,Tasas!$A$5:$A$36,N$4,Tasas!$B$5:$B$36,I77)</f>
        <v>7.24</v>
      </c>
      <c r="O77" s="25">
        <f>SUMIFS(Tasas!$C$5:$C$36,Tasas!$A$5:$A$36,O$4,Tasas!$B$5:$B$36,J77)</f>
        <v>8.01</v>
      </c>
      <c r="P77" s="14">
        <f>SUMIFS(Tasas!$E$5:$E$36,Tasas!$A$5:$A$36,P$4,Tasas!$B$5:$B$36,F77)</f>
        <v>28</v>
      </c>
      <c r="Q77" s="14">
        <f>SUMIFS(Tasas!$E$5:$E$36,Tasas!$A$5:$A$36,Q$4,Tasas!$B$5:$B$36,G77)</f>
        <v>91</v>
      </c>
      <c r="R77" s="14">
        <f>SUMIFS(Tasas!$E$5:$E$36,Tasas!$A$5:$A$36,R$4,Tasas!$B$5:$B$36,H77)</f>
        <v>175</v>
      </c>
      <c r="S77" s="14">
        <f>SUMIFS(Tasas!$E$5:$E$36,Tasas!$A$5:$A$36,S$4,Tasas!$B$5:$B$36,I77)</f>
        <v>363</v>
      </c>
      <c r="T77" s="14">
        <f>SUMIFS(Tasas!$E$5:$E$36,Tasas!$A$5:$A$36,T$4,Tasas!$B$5:$B$36,J77)</f>
        <v>679</v>
      </c>
      <c r="U77" s="14">
        <f t="shared" si="29"/>
        <v>91</v>
      </c>
      <c r="V77" s="14">
        <f t="shared" si="30"/>
        <v>175</v>
      </c>
      <c r="W77" s="14">
        <f t="shared" si="31"/>
        <v>91</v>
      </c>
      <c r="X77" s="14">
        <f t="shared" si="32"/>
        <v>182</v>
      </c>
      <c r="Y77" s="15">
        <f t="shared" si="33"/>
        <v>46289</v>
      </c>
      <c r="Z77" s="15">
        <f t="shared" si="34"/>
        <v>46289</v>
      </c>
      <c r="AA77" s="25">
        <f t="shared" si="35"/>
        <v>6.59</v>
      </c>
      <c r="AB77" s="25">
        <f t="shared" si="36"/>
        <v>6.91</v>
      </c>
      <c r="AC77" s="11" t="str">
        <f t="shared" si="37"/>
        <v>interpolación</v>
      </c>
      <c r="AD77" s="26">
        <f t="shared" si="38"/>
        <v>6.9023809523809527</v>
      </c>
      <c r="AE77" s="26">
        <f t="shared" si="39"/>
        <v>9.6789513598766632</v>
      </c>
      <c r="AF77" s="19">
        <f t="shared" si="40"/>
        <v>9.6789514000000008</v>
      </c>
      <c r="AG77" s="11" t="str">
        <f t="shared" si="41"/>
        <v>46291|BI270318</v>
      </c>
    </row>
    <row r="78" spans="1:33" x14ac:dyDescent="0.3">
      <c r="A78" s="20">
        <v>46292</v>
      </c>
      <c r="B78" s="21" t="s">
        <v>139</v>
      </c>
      <c r="C78" s="15">
        <f>INDEX(Entradas!$F$40:$F$46,MATCH(B78,Entradas!$A$40:$A$46,0))</f>
        <v>46464</v>
      </c>
      <c r="D78" s="17">
        <f>INDEX(Entradas!$G$40:$G$46,MATCH(B78,Entradas!$A$40:$A$46,0))</f>
        <v>10</v>
      </c>
      <c r="E78" s="14">
        <f t="shared" si="28"/>
        <v>172</v>
      </c>
      <c r="F78" s="15">
        <f>_xlfn.MAXIFS(Tasas!$B$5:$B$36,Tasas!$A$5:$A$36,F$4,Tasas!$B$5:$B$36,"&lt;="&amp;$A78)</f>
        <v>46289</v>
      </c>
      <c r="G78" s="15">
        <f>_xlfn.MAXIFS(Tasas!$B$5:$B$36,Tasas!$A$5:$A$36,G$4,Tasas!$B$5:$B$36,"&lt;="&amp;$A78)</f>
        <v>46289</v>
      </c>
      <c r="H78" s="15">
        <f>_xlfn.MAXIFS(Tasas!$B$5:$B$36,Tasas!$A$5:$A$36,H$4,Tasas!$B$5:$B$36,"&lt;="&amp;$A78)</f>
        <v>46289</v>
      </c>
      <c r="I78" s="15">
        <f>_xlfn.MAXIFS(Tasas!$B$5:$B$36,Tasas!$A$5:$A$36,I$4,Tasas!$B$5:$B$36,"&lt;="&amp;$A78)</f>
        <v>46282</v>
      </c>
      <c r="J78" s="15">
        <f>_xlfn.MAXIFS(Tasas!$B$5:$B$36,Tasas!$A$5:$A$36,J$4,Tasas!$B$5:$B$36,"&lt;="&amp;$A78)</f>
        <v>46289</v>
      </c>
      <c r="K78" s="25">
        <f>SUMIFS(Tasas!$C$5:$C$36,Tasas!$A$5:$A$36,K$4,Tasas!$B$5:$B$36,F78)</f>
        <v>6.15</v>
      </c>
      <c r="L78" s="25">
        <f>SUMIFS(Tasas!$C$5:$C$36,Tasas!$A$5:$A$36,L$4,Tasas!$B$5:$B$36,G78)</f>
        <v>6.59</v>
      </c>
      <c r="M78" s="25">
        <f>SUMIFS(Tasas!$C$5:$C$36,Tasas!$A$5:$A$36,M$4,Tasas!$B$5:$B$36,H78)</f>
        <v>6.91</v>
      </c>
      <c r="N78" s="25">
        <f>SUMIFS(Tasas!$C$5:$C$36,Tasas!$A$5:$A$36,N$4,Tasas!$B$5:$B$36,I78)</f>
        <v>7.24</v>
      </c>
      <c r="O78" s="25">
        <f>SUMIFS(Tasas!$C$5:$C$36,Tasas!$A$5:$A$36,O$4,Tasas!$B$5:$B$36,J78)</f>
        <v>8.01</v>
      </c>
      <c r="P78" s="14">
        <f>SUMIFS(Tasas!$E$5:$E$36,Tasas!$A$5:$A$36,P$4,Tasas!$B$5:$B$36,F78)</f>
        <v>28</v>
      </c>
      <c r="Q78" s="14">
        <f>SUMIFS(Tasas!$E$5:$E$36,Tasas!$A$5:$A$36,Q$4,Tasas!$B$5:$B$36,G78)</f>
        <v>91</v>
      </c>
      <c r="R78" s="14">
        <f>SUMIFS(Tasas!$E$5:$E$36,Tasas!$A$5:$A$36,R$4,Tasas!$B$5:$B$36,H78)</f>
        <v>175</v>
      </c>
      <c r="S78" s="14">
        <f>SUMIFS(Tasas!$E$5:$E$36,Tasas!$A$5:$A$36,S$4,Tasas!$B$5:$B$36,I78)</f>
        <v>363</v>
      </c>
      <c r="T78" s="14">
        <f>SUMIFS(Tasas!$E$5:$E$36,Tasas!$A$5:$A$36,T$4,Tasas!$B$5:$B$36,J78)</f>
        <v>679</v>
      </c>
      <c r="U78" s="14">
        <f t="shared" si="29"/>
        <v>91</v>
      </c>
      <c r="V78" s="14">
        <f t="shared" si="30"/>
        <v>175</v>
      </c>
      <c r="W78" s="14">
        <f t="shared" si="31"/>
        <v>91</v>
      </c>
      <c r="X78" s="14">
        <f t="shared" si="32"/>
        <v>182</v>
      </c>
      <c r="Y78" s="15">
        <f t="shared" si="33"/>
        <v>46289</v>
      </c>
      <c r="Z78" s="15">
        <f t="shared" si="34"/>
        <v>46289</v>
      </c>
      <c r="AA78" s="25">
        <f t="shared" si="35"/>
        <v>6.59</v>
      </c>
      <c r="AB78" s="25">
        <f t="shared" si="36"/>
        <v>6.91</v>
      </c>
      <c r="AC78" s="11" t="str">
        <f t="shared" si="37"/>
        <v>interpolación</v>
      </c>
      <c r="AD78" s="26">
        <f t="shared" si="38"/>
        <v>6.8985714285714286</v>
      </c>
      <c r="AE78" s="26">
        <f t="shared" si="39"/>
        <v>9.6809184640777222</v>
      </c>
      <c r="AF78" s="19">
        <f t="shared" si="40"/>
        <v>9.6809185000000006</v>
      </c>
      <c r="AG78" s="11" t="str">
        <f t="shared" si="41"/>
        <v>46292|BI270318</v>
      </c>
    </row>
    <row r="79" spans="1:33" x14ac:dyDescent="0.3">
      <c r="A79" s="20">
        <v>46293</v>
      </c>
      <c r="B79" s="21" t="s">
        <v>139</v>
      </c>
      <c r="C79" s="15">
        <f>INDEX(Entradas!$F$40:$F$46,MATCH(B79,Entradas!$A$40:$A$46,0))</f>
        <v>46464</v>
      </c>
      <c r="D79" s="17">
        <f>INDEX(Entradas!$G$40:$G$46,MATCH(B79,Entradas!$A$40:$A$46,0))</f>
        <v>10</v>
      </c>
      <c r="E79" s="14">
        <f t="shared" si="28"/>
        <v>171</v>
      </c>
      <c r="F79" s="15">
        <f>_xlfn.MAXIFS(Tasas!$B$5:$B$36,Tasas!$A$5:$A$36,F$4,Tasas!$B$5:$B$36,"&lt;="&amp;$A79)</f>
        <v>46289</v>
      </c>
      <c r="G79" s="15">
        <f>_xlfn.MAXIFS(Tasas!$B$5:$B$36,Tasas!$A$5:$A$36,G$4,Tasas!$B$5:$B$36,"&lt;="&amp;$A79)</f>
        <v>46289</v>
      </c>
      <c r="H79" s="15">
        <f>_xlfn.MAXIFS(Tasas!$B$5:$B$36,Tasas!$A$5:$A$36,H$4,Tasas!$B$5:$B$36,"&lt;="&amp;$A79)</f>
        <v>46289</v>
      </c>
      <c r="I79" s="15">
        <f>_xlfn.MAXIFS(Tasas!$B$5:$B$36,Tasas!$A$5:$A$36,I$4,Tasas!$B$5:$B$36,"&lt;="&amp;$A79)</f>
        <v>46282</v>
      </c>
      <c r="J79" s="15">
        <f>_xlfn.MAXIFS(Tasas!$B$5:$B$36,Tasas!$A$5:$A$36,J$4,Tasas!$B$5:$B$36,"&lt;="&amp;$A79)</f>
        <v>46289</v>
      </c>
      <c r="K79" s="25">
        <f>SUMIFS(Tasas!$C$5:$C$36,Tasas!$A$5:$A$36,K$4,Tasas!$B$5:$B$36,F79)</f>
        <v>6.15</v>
      </c>
      <c r="L79" s="25">
        <f>SUMIFS(Tasas!$C$5:$C$36,Tasas!$A$5:$A$36,L$4,Tasas!$B$5:$B$36,G79)</f>
        <v>6.59</v>
      </c>
      <c r="M79" s="25">
        <f>SUMIFS(Tasas!$C$5:$C$36,Tasas!$A$5:$A$36,M$4,Tasas!$B$5:$B$36,H79)</f>
        <v>6.91</v>
      </c>
      <c r="N79" s="25">
        <f>SUMIFS(Tasas!$C$5:$C$36,Tasas!$A$5:$A$36,N$4,Tasas!$B$5:$B$36,I79)</f>
        <v>7.24</v>
      </c>
      <c r="O79" s="25">
        <f>SUMIFS(Tasas!$C$5:$C$36,Tasas!$A$5:$A$36,O$4,Tasas!$B$5:$B$36,J79)</f>
        <v>8.01</v>
      </c>
      <c r="P79" s="14">
        <f>SUMIFS(Tasas!$E$5:$E$36,Tasas!$A$5:$A$36,P$4,Tasas!$B$5:$B$36,F79)</f>
        <v>28</v>
      </c>
      <c r="Q79" s="14">
        <f>SUMIFS(Tasas!$E$5:$E$36,Tasas!$A$5:$A$36,Q$4,Tasas!$B$5:$B$36,G79)</f>
        <v>91</v>
      </c>
      <c r="R79" s="14">
        <f>SUMIFS(Tasas!$E$5:$E$36,Tasas!$A$5:$A$36,R$4,Tasas!$B$5:$B$36,H79)</f>
        <v>175</v>
      </c>
      <c r="S79" s="14">
        <f>SUMIFS(Tasas!$E$5:$E$36,Tasas!$A$5:$A$36,S$4,Tasas!$B$5:$B$36,I79)</f>
        <v>363</v>
      </c>
      <c r="T79" s="14">
        <f>SUMIFS(Tasas!$E$5:$E$36,Tasas!$A$5:$A$36,T$4,Tasas!$B$5:$B$36,J79)</f>
        <v>679</v>
      </c>
      <c r="U79" s="14">
        <f t="shared" si="29"/>
        <v>91</v>
      </c>
      <c r="V79" s="14">
        <f t="shared" si="30"/>
        <v>175</v>
      </c>
      <c r="W79" s="14">
        <f t="shared" si="31"/>
        <v>91</v>
      </c>
      <c r="X79" s="14">
        <f t="shared" si="32"/>
        <v>182</v>
      </c>
      <c r="Y79" s="15">
        <f t="shared" si="33"/>
        <v>46289</v>
      </c>
      <c r="Z79" s="15">
        <f t="shared" si="34"/>
        <v>46289</v>
      </c>
      <c r="AA79" s="25">
        <f t="shared" si="35"/>
        <v>6.59</v>
      </c>
      <c r="AB79" s="25">
        <f t="shared" si="36"/>
        <v>6.91</v>
      </c>
      <c r="AC79" s="11" t="str">
        <f t="shared" si="37"/>
        <v>interpolación</v>
      </c>
      <c r="AD79" s="26">
        <f t="shared" si="38"/>
        <v>6.8947619047619053</v>
      </c>
      <c r="AE79" s="26">
        <f t="shared" si="39"/>
        <v>9.682884383709192</v>
      </c>
      <c r="AF79" s="19">
        <f t="shared" si="40"/>
        <v>9.6828844000000007</v>
      </c>
      <c r="AG79" s="11" t="str">
        <f t="shared" si="41"/>
        <v>46293|BI270318</v>
      </c>
    </row>
    <row r="80" spans="1:33" x14ac:dyDescent="0.3">
      <c r="A80" s="20">
        <v>46294</v>
      </c>
      <c r="B80" s="21" t="s">
        <v>139</v>
      </c>
      <c r="C80" s="15">
        <f>INDEX(Entradas!$F$40:$F$46,MATCH(B80,Entradas!$A$40:$A$46,0))</f>
        <v>46464</v>
      </c>
      <c r="D80" s="17">
        <f>INDEX(Entradas!$G$40:$G$46,MATCH(B80,Entradas!$A$40:$A$46,0))</f>
        <v>10</v>
      </c>
      <c r="E80" s="14">
        <f t="shared" si="28"/>
        <v>170</v>
      </c>
      <c r="F80" s="15">
        <f>_xlfn.MAXIFS(Tasas!$B$5:$B$36,Tasas!$A$5:$A$36,F$4,Tasas!$B$5:$B$36,"&lt;="&amp;$A80)</f>
        <v>46289</v>
      </c>
      <c r="G80" s="15">
        <f>_xlfn.MAXIFS(Tasas!$B$5:$B$36,Tasas!$A$5:$A$36,G$4,Tasas!$B$5:$B$36,"&lt;="&amp;$A80)</f>
        <v>46289</v>
      </c>
      <c r="H80" s="15">
        <f>_xlfn.MAXIFS(Tasas!$B$5:$B$36,Tasas!$A$5:$A$36,H$4,Tasas!$B$5:$B$36,"&lt;="&amp;$A80)</f>
        <v>46289</v>
      </c>
      <c r="I80" s="15">
        <f>_xlfn.MAXIFS(Tasas!$B$5:$B$36,Tasas!$A$5:$A$36,I$4,Tasas!$B$5:$B$36,"&lt;="&amp;$A80)</f>
        <v>46282</v>
      </c>
      <c r="J80" s="15">
        <f>_xlfn.MAXIFS(Tasas!$B$5:$B$36,Tasas!$A$5:$A$36,J$4,Tasas!$B$5:$B$36,"&lt;="&amp;$A80)</f>
        <v>46289</v>
      </c>
      <c r="K80" s="25">
        <f>SUMIFS(Tasas!$C$5:$C$36,Tasas!$A$5:$A$36,K$4,Tasas!$B$5:$B$36,F80)</f>
        <v>6.15</v>
      </c>
      <c r="L80" s="25">
        <f>SUMIFS(Tasas!$C$5:$C$36,Tasas!$A$5:$A$36,L$4,Tasas!$B$5:$B$36,G80)</f>
        <v>6.59</v>
      </c>
      <c r="M80" s="25">
        <f>SUMIFS(Tasas!$C$5:$C$36,Tasas!$A$5:$A$36,M$4,Tasas!$B$5:$B$36,H80)</f>
        <v>6.91</v>
      </c>
      <c r="N80" s="25">
        <f>SUMIFS(Tasas!$C$5:$C$36,Tasas!$A$5:$A$36,N$4,Tasas!$B$5:$B$36,I80)</f>
        <v>7.24</v>
      </c>
      <c r="O80" s="25">
        <f>SUMIFS(Tasas!$C$5:$C$36,Tasas!$A$5:$A$36,O$4,Tasas!$B$5:$B$36,J80)</f>
        <v>8.01</v>
      </c>
      <c r="P80" s="14">
        <f>SUMIFS(Tasas!$E$5:$E$36,Tasas!$A$5:$A$36,P$4,Tasas!$B$5:$B$36,F80)</f>
        <v>28</v>
      </c>
      <c r="Q80" s="14">
        <f>SUMIFS(Tasas!$E$5:$E$36,Tasas!$A$5:$A$36,Q$4,Tasas!$B$5:$B$36,G80)</f>
        <v>91</v>
      </c>
      <c r="R80" s="14">
        <f>SUMIFS(Tasas!$E$5:$E$36,Tasas!$A$5:$A$36,R$4,Tasas!$B$5:$B$36,H80)</f>
        <v>175</v>
      </c>
      <c r="S80" s="14">
        <f>SUMIFS(Tasas!$E$5:$E$36,Tasas!$A$5:$A$36,S$4,Tasas!$B$5:$B$36,I80)</f>
        <v>363</v>
      </c>
      <c r="T80" s="14">
        <f>SUMIFS(Tasas!$E$5:$E$36,Tasas!$A$5:$A$36,T$4,Tasas!$B$5:$B$36,J80)</f>
        <v>679</v>
      </c>
      <c r="U80" s="14">
        <f t="shared" si="29"/>
        <v>91</v>
      </c>
      <c r="V80" s="14">
        <f t="shared" si="30"/>
        <v>175</v>
      </c>
      <c r="W80" s="14">
        <f t="shared" si="31"/>
        <v>91</v>
      </c>
      <c r="X80" s="14">
        <f t="shared" si="32"/>
        <v>182</v>
      </c>
      <c r="Y80" s="15">
        <f t="shared" si="33"/>
        <v>46289</v>
      </c>
      <c r="Z80" s="15">
        <f t="shared" si="34"/>
        <v>46289</v>
      </c>
      <c r="AA80" s="25">
        <f t="shared" si="35"/>
        <v>6.59</v>
      </c>
      <c r="AB80" s="25">
        <f t="shared" si="36"/>
        <v>6.91</v>
      </c>
      <c r="AC80" s="11" t="str">
        <f t="shared" si="37"/>
        <v>interpolación</v>
      </c>
      <c r="AD80" s="26">
        <f t="shared" si="38"/>
        <v>6.8909523809523812</v>
      </c>
      <c r="AE80" s="26">
        <f t="shared" si="39"/>
        <v>9.6848491168404021</v>
      </c>
      <c r="AF80" s="19">
        <f t="shared" si="40"/>
        <v>9.6848490999999992</v>
      </c>
      <c r="AG80" s="11" t="str">
        <f t="shared" si="41"/>
        <v>46294|BI270318</v>
      </c>
    </row>
    <row r="81" spans="1:33" x14ac:dyDescent="0.3">
      <c r="A81" s="20">
        <v>46295</v>
      </c>
      <c r="B81" s="21" t="s">
        <v>139</v>
      </c>
      <c r="C81" s="15">
        <f>INDEX(Entradas!$F$40:$F$46,MATCH(B81,Entradas!$A$40:$A$46,0))</f>
        <v>46464</v>
      </c>
      <c r="D81" s="17">
        <f>INDEX(Entradas!$G$40:$G$46,MATCH(B81,Entradas!$A$40:$A$46,0))</f>
        <v>10</v>
      </c>
      <c r="E81" s="14">
        <f t="shared" si="28"/>
        <v>169</v>
      </c>
      <c r="F81" s="15">
        <f>_xlfn.MAXIFS(Tasas!$B$5:$B$36,Tasas!$A$5:$A$36,F$4,Tasas!$B$5:$B$36,"&lt;="&amp;$A81)</f>
        <v>46289</v>
      </c>
      <c r="G81" s="15">
        <f>_xlfn.MAXIFS(Tasas!$B$5:$B$36,Tasas!$A$5:$A$36,G$4,Tasas!$B$5:$B$36,"&lt;="&amp;$A81)</f>
        <v>46289</v>
      </c>
      <c r="H81" s="15">
        <f>_xlfn.MAXIFS(Tasas!$B$5:$B$36,Tasas!$A$5:$A$36,H$4,Tasas!$B$5:$B$36,"&lt;="&amp;$A81)</f>
        <v>46289</v>
      </c>
      <c r="I81" s="15">
        <f>_xlfn.MAXIFS(Tasas!$B$5:$B$36,Tasas!$A$5:$A$36,I$4,Tasas!$B$5:$B$36,"&lt;="&amp;$A81)</f>
        <v>46282</v>
      </c>
      <c r="J81" s="15">
        <f>_xlfn.MAXIFS(Tasas!$B$5:$B$36,Tasas!$A$5:$A$36,J$4,Tasas!$B$5:$B$36,"&lt;="&amp;$A81)</f>
        <v>46289</v>
      </c>
      <c r="K81" s="25">
        <f>SUMIFS(Tasas!$C$5:$C$36,Tasas!$A$5:$A$36,K$4,Tasas!$B$5:$B$36,F81)</f>
        <v>6.15</v>
      </c>
      <c r="L81" s="25">
        <f>SUMIFS(Tasas!$C$5:$C$36,Tasas!$A$5:$A$36,L$4,Tasas!$B$5:$B$36,G81)</f>
        <v>6.59</v>
      </c>
      <c r="M81" s="25">
        <f>SUMIFS(Tasas!$C$5:$C$36,Tasas!$A$5:$A$36,M$4,Tasas!$B$5:$B$36,H81)</f>
        <v>6.91</v>
      </c>
      <c r="N81" s="25">
        <f>SUMIFS(Tasas!$C$5:$C$36,Tasas!$A$5:$A$36,N$4,Tasas!$B$5:$B$36,I81)</f>
        <v>7.24</v>
      </c>
      <c r="O81" s="25">
        <f>SUMIFS(Tasas!$C$5:$C$36,Tasas!$A$5:$A$36,O$4,Tasas!$B$5:$B$36,J81)</f>
        <v>8.01</v>
      </c>
      <c r="P81" s="14">
        <f>SUMIFS(Tasas!$E$5:$E$36,Tasas!$A$5:$A$36,P$4,Tasas!$B$5:$B$36,F81)</f>
        <v>28</v>
      </c>
      <c r="Q81" s="14">
        <f>SUMIFS(Tasas!$E$5:$E$36,Tasas!$A$5:$A$36,Q$4,Tasas!$B$5:$B$36,G81)</f>
        <v>91</v>
      </c>
      <c r="R81" s="14">
        <f>SUMIFS(Tasas!$E$5:$E$36,Tasas!$A$5:$A$36,R$4,Tasas!$B$5:$B$36,H81)</f>
        <v>175</v>
      </c>
      <c r="S81" s="14">
        <f>SUMIFS(Tasas!$E$5:$E$36,Tasas!$A$5:$A$36,S$4,Tasas!$B$5:$B$36,I81)</f>
        <v>363</v>
      </c>
      <c r="T81" s="14">
        <f>SUMIFS(Tasas!$E$5:$E$36,Tasas!$A$5:$A$36,T$4,Tasas!$B$5:$B$36,J81)</f>
        <v>679</v>
      </c>
      <c r="U81" s="14">
        <f t="shared" si="29"/>
        <v>91</v>
      </c>
      <c r="V81" s="14">
        <f t="shared" si="30"/>
        <v>175</v>
      </c>
      <c r="W81" s="14">
        <f t="shared" si="31"/>
        <v>91</v>
      </c>
      <c r="X81" s="14">
        <f t="shared" si="32"/>
        <v>182</v>
      </c>
      <c r="Y81" s="15">
        <f t="shared" si="33"/>
        <v>46289</v>
      </c>
      <c r="Z81" s="15">
        <f t="shared" si="34"/>
        <v>46289</v>
      </c>
      <c r="AA81" s="25">
        <f t="shared" si="35"/>
        <v>6.59</v>
      </c>
      <c r="AB81" s="25">
        <f t="shared" si="36"/>
        <v>6.91</v>
      </c>
      <c r="AC81" s="11" t="str">
        <f t="shared" si="37"/>
        <v>interpolación</v>
      </c>
      <c r="AD81" s="26">
        <f t="shared" si="38"/>
        <v>6.887142857142857</v>
      </c>
      <c r="AE81" s="26">
        <f t="shared" si="39"/>
        <v>9.6868126615405732</v>
      </c>
      <c r="AF81" s="19">
        <f t="shared" si="40"/>
        <v>9.6868127000000008</v>
      </c>
      <c r="AG81" s="11" t="str">
        <f t="shared" si="41"/>
        <v>46295|BI270318</v>
      </c>
    </row>
    <row r="82" spans="1:33" x14ac:dyDescent="0.3">
      <c r="A82" s="20">
        <v>46296</v>
      </c>
      <c r="B82" s="21" t="s">
        <v>139</v>
      </c>
      <c r="C82" s="15">
        <f>INDEX(Entradas!$F$40:$F$46,MATCH(B82,Entradas!$A$40:$A$46,0))</f>
        <v>46464</v>
      </c>
      <c r="D82" s="17">
        <f>INDEX(Entradas!$G$40:$G$46,MATCH(B82,Entradas!$A$40:$A$46,0))</f>
        <v>10</v>
      </c>
      <c r="E82" s="14">
        <f t="shared" si="28"/>
        <v>168</v>
      </c>
      <c r="F82" s="15">
        <f>_xlfn.MAXIFS(Tasas!$B$5:$B$36,Tasas!$A$5:$A$36,F$4,Tasas!$B$5:$B$36,"&lt;="&amp;$A82)</f>
        <v>46296</v>
      </c>
      <c r="G82" s="15">
        <f>_xlfn.MAXIFS(Tasas!$B$5:$B$36,Tasas!$A$5:$A$36,G$4,Tasas!$B$5:$B$36,"&lt;="&amp;$A82)</f>
        <v>46296</v>
      </c>
      <c r="H82" s="15">
        <f>_xlfn.MAXIFS(Tasas!$B$5:$B$36,Tasas!$A$5:$A$36,H$4,Tasas!$B$5:$B$36,"&lt;="&amp;$A82)</f>
        <v>46296</v>
      </c>
      <c r="I82" s="15">
        <f>_xlfn.MAXIFS(Tasas!$B$5:$B$36,Tasas!$A$5:$A$36,I$4,Tasas!$B$5:$B$36,"&lt;="&amp;$A82)</f>
        <v>46296</v>
      </c>
      <c r="J82" s="15">
        <f>_xlfn.MAXIFS(Tasas!$B$5:$B$36,Tasas!$A$5:$A$36,J$4,Tasas!$B$5:$B$36,"&lt;="&amp;$A82)</f>
        <v>46289</v>
      </c>
      <c r="K82" s="25">
        <f>SUMIFS(Tasas!$C$5:$C$36,Tasas!$A$5:$A$36,K$4,Tasas!$B$5:$B$36,F82)</f>
        <v>6.01</v>
      </c>
      <c r="L82" s="25">
        <f>SUMIFS(Tasas!$C$5:$C$36,Tasas!$A$5:$A$36,L$4,Tasas!$B$5:$B$36,G82)</f>
        <v>6.73</v>
      </c>
      <c r="M82" s="25">
        <f>SUMIFS(Tasas!$C$5:$C$36,Tasas!$A$5:$A$36,M$4,Tasas!$B$5:$B$36,H82)</f>
        <v>7.01</v>
      </c>
      <c r="N82" s="25">
        <f>SUMIFS(Tasas!$C$5:$C$36,Tasas!$A$5:$A$36,N$4,Tasas!$B$5:$B$36,I82)</f>
        <v>7.44</v>
      </c>
      <c r="O82" s="25">
        <f>SUMIFS(Tasas!$C$5:$C$36,Tasas!$A$5:$A$36,O$4,Tasas!$B$5:$B$36,J82)</f>
        <v>8.01</v>
      </c>
      <c r="P82" s="14">
        <f>SUMIFS(Tasas!$E$5:$E$36,Tasas!$A$5:$A$36,P$4,Tasas!$B$5:$B$36,F82)</f>
        <v>28</v>
      </c>
      <c r="Q82" s="14">
        <f>SUMIFS(Tasas!$E$5:$E$36,Tasas!$A$5:$A$36,Q$4,Tasas!$B$5:$B$36,G82)</f>
        <v>91</v>
      </c>
      <c r="R82" s="14">
        <f>SUMIFS(Tasas!$E$5:$E$36,Tasas!$A$5:$A$36,R$4,Tasas!$B$5:$B$36,H82)</f>
        <v>182</v>
      </c>
      <c r="S82" s="14">
        <f>SUMIFS(Tasas!$E$5:$E$36,Tasas!$A$5:$A$36,S$4,Tasas!$B$5:$B$36,I82)</f>
        <v>349</v>
      </c>
      <c r="T82" s="14">
        <f>SUMIFS(Tasas!$E$5:$E$36,Tasas!$A$5:$A$36,T$4,Tasas!$B$5:$B$36,J82)</f>
        <v>679</v>
      </c>
      <c r="U82" s="14">
        <f t="shared" si="29"/>
        <v>91</v>
      </c>
      <c r="V82" s="14">
        <f t="shared" si="30"/>
        <v>182</v>
      </c>
      <c r="W82" s="14">
        <f t="shared" si="31"/>
        <v>91</v>
      </c>
      <c r="X82" s="14">
        <f t="shared" si="32"/>
        <v>182</v>
      </c>
      <c r="Y82" s="15">
        <f t="shared" si="33"/>
        <v>46296</v>
      </c>
      <c r="Z82" s="15">
        <f t="shared" si="34"/>
        <v>46296</v>
      </c>
      <c r="AA82" s="25">
        <f t="shared" si="35"/>
        <v>6.73</v>
      </c>
      <c r="AB82" s="25">
        <f t="shared" si="36"/>
        <v>7.01</v>
      </c>
      <c r="AC82" s="11" t="str">
        <f t="shared" si="37"/>
        <v>interpolación</v>
      </c>
      <c r="AD82" s="26">
        <f t="shared" si="38"/>
        <v>6.9669230769230772</v>
      </c>
      <c r="AE82" s="26">
        <f t="shared" si="39"/>
        <v>9.6851145749054215</v>
      </c>
      <c r="AF82" s="19">
        <f t="shared" si="40"/>
        <v>9.6851146000000004</v>
      </c>
      <c r="AG82" s="11" t="str">
        <f t="shared" si="41"/>
        <v>46296|BI270318</v>
      </c>
    </row>
    <row r="83" spans="1:33" x14ac:dyDescent="0.3">
      <c r="A83" s="20">
        <v>46297</v>
      </c>
      <c r="B83" s="21" t="s">
        <v>139</v>
      </c>
      <c r="C83" s="15">
        <f>INDEX(Entradas!$F$40:$F$46,MATCH(B83,Entradas!$A$40:$A$46,0))</f>
        <v>46464</v>
      </c>
      <c r="D83" s="17">
        <f>INDEX(Entradas!$G$40:$G$46,MATCH(B83,Entradas!$A$40:$A$46,0))</f>
        <v>10</v>
      </c>
      <c r="E83" s="14">
        <f t="shared" si="28"/>
        <v>167</v>
      </c>
      <c r="F83" s="15">
        <f>_xlfn.MAXIFS(Tasas!$B$5:$B$36,Tasas!$A$5:$A$36,F$4,Tasas!$B$5:$B$36,"&lt;="&amp;$A83)</f>
        <v>46296</v>
      </c>
      <c r="G83" s="15">
        <f>_xlfn.MAXIFS(Tasas!$B$5:$B$36,Tasas!$A$5:$A$36,G$4,Tasas!$B$5:$B$36,"&lt;="&amp;$A83)</f>
        <v>46296</v>
      </c>
      <c r="H83" s="15">
        <f>_xlfn.MAXIFS(Tasas!$B$5:$B$36,Tasas!$A$5:$A$36,H$4,Tasas!$B$5:$B$36,"&lt;="&amp;$A83)</f>
        <v>46296</v>
      </c>
      <c r="I83" s="15">
        <f>_xlfn.MAXIFS(Tasas!$B$5:$B$36,Tasas!$A$5:$A$36,I$4,Tasas!$B$5:$B$36,"&lt;="&amp;$A83)</f>
        <v>46296</v>
      </c>
      <c r="J83" s="15">
        <f>_xlfn.MAXIFS(Tasas!$B$5:$B$36,Tasas!$A$5:$A$36,J$4,Tasas!$B$5:$B$36,"&lt;="&amp;$A83)</f>
        <v>46289</v>
      </c>
      <c r="K83" s="25">
        <f>SUMIFS(Tasas!$C$5:$C$36,Tasas!$A$5:$A$36,K$4,Tasas!$B$5:$B$36,F83)</f>
        <v>6.01</v>
      </c>
      <c r="L83" s="25">
        <f>SUMIFS(Tasas!$C$5:$C$36,Tasas!$A$5:$A$36,L$4,Tasas!$B$5:$B$36,G83)</f>
        <v>6.73</v>
      </c>
      <c r="M83" s="25">
        <f>SUMIFS(Tasas!$C$5:$C$36,Tasas!$A$5:$A$36,M$4,Tasas!$B$5:$B$36,H83)</f>
        <v>7.01</v>
      </c>
      <c r="N83" s="25">
        <f>SUMIFS(Tasas!$C$5:$C$36,Tasas!$A$5:$A$36,N$4,Tasas!$B$5:$B$36,I83)</f>
        <v>7.44</v>
      </c>
      <c r="O83" s="25">
        <f>SUMIFS(Tasas!$C$5:$C$36,Tasas!$A$5:$A$36,O$4,Tasas!$B$5:$B$36,J83)</f>
        <v>8.01</v>
      </c>
      <c r="P83" s="14">
        <f>SUMIFS(Tasas!$E$5:$E$36,Tasas!$A$5:$A$36,P$4,Tasas!$B$5:$B$36,F83)</f>
        <v>28</v>
      </c>
      <c r="Q83" s="14">
        <f>SUMIFS(Tasas!$E$5:$E$36,Tasas!$A$5:$A$36,Q$4,Tasas!$B$5:$B$36,G83)</f>
        <v>91</v>
      </c>
      <c r="R83" s="14">
        <f>SUMIFS(Tasas!$E$5:$E$36,Tasas!$A$5:$A$36,R$4,Tasas!$B$5:$B$36,H83)</f>
        <v>182</v>
      </c>
      <c r="S83" s="14">
        <f>SUMIFS(Tasas!$E$5:$E$36,Tasas!$A$5:$A$36,S$4,Tasas!$B$5:$B$36,I83)</f>
        <v>349</v>
      </c>
      <c r="T83" s="14">
        <f>SUMIFS(Tasas!$E$5:$E$36,Tasas!$A$5:$A$36,T$4,Tasas!$B$5:$B$36,J83)</f>
        <v>679</v>
      </c>
      <c r="U83" s="14">
        <f t="shared" si="29"/>
        <v>91</v>
      </c>
      <c r="V83" s="14">
        <f t="shared" si="30"/>
        <v>182</v>
      </c>
      <c r="W83" s="14">
        <f t="shared" si="31"/>
        <v>91</v>
      </c>
      <c r="X83" s="14">
        <f t="shared" si="32"/>
        <v>182</v>
      </c>
      <c r="Y83" s="15">
        <f t="shared" si="33"/>
        <v>46296</v>
      </c>
      <c r="Z83" s="15">
        <f t="shared" si="34"/>
        <v>46296</v>
      </c>
      <c r="AA83" s="25">
        <f t="shared" si="35"/>
        <v>6.73</v>
      </c>
      <c r="AB83" s="25">
        <f t="shared" si="36"/>
        <v>7.01</v>
      </c>
      <c r="AC83" s="11" t="str">
        <f t="shared" si="37"/>
        <v>interpolación</v>
      </c>
      <c r="AD83" s="26">
        <f t="shared" si="38"/>
        <v>6.9638461538461538</v>
      </c>
      <c r="AE83" s="26">
        <f t="shared" si="39"/>
        <v>9.6870641532654158</v>
      </c>
      <c r="AF83" s="19">
        <f t="shared" si="40"/>
        <v>9.6870642</v>
      </c>
      <c r="AG83" s="11" t="str">
        <f t="shared" si="41"/>
        <v>46297|BI270318</v>
      </c>
    </row>
    <row r="84" spans="1:33" x14ac:dyDescent="0.3">
      <c r="A84" s="20">
        <v>46298</v>
      </c>
      <c r="B84" s="21" t="s">
        <v>139</v>
      </c>
      <c r="C84" s="15">
        <f>INDEX(Entradas!$F$40:$F$46,MATCH(B84,Entradas!$A$40:$A$46,0))</f>
        <v>46464</v>
      </c>
      <c r="D84" s="17">
        <f>INDEX(Entradas!$G$40:$G$46,MATCH(B84,Entradas!$A$40:$A$46,0))</f>
        <v>10</v>
      </c>
      <c r="E84" s="14">
        <f t="shared" si="28"/>
        <v>166</v>
      </c>
      <c r="F84" s="15">
        <f>_xlfn.MAXIFS(Tasas!$B$5:$B$36,Tasas!$A$5:$A$36,F$4,Tasas!$B$5:$B$36,"&lt;="&amp;$A84)</f>
        <v>46296</v>
      </c>
      <c r="G84" s="15">
        <f>_xlfn.MAXIFS(Tasas!$B$5:$B$36,Tasas!$A$5:$A$36,G$4,Tasas!$B$5:$B$36,"&lt;="&amp;$A84)</f>
        <v>46296</v>
      </c>
      <c r="H84" s="15">
        <f>_xlfn.MAXIFS(Tasas!$B$5:$B$36,Tasas!$A$5:$A$36,H$4,Tasas!$B$5:$B$36,"&lt;="&amp;$A84)</f>
        <v>46296</v>
      </c>
      <c r="I84" s="15">
        <f>_xlfn.MAXIFS(Tasas!$B$5:$B$36,Tasas!$A$5:$A$36,I$4,Tasas!$B$5:$B$36,"&lt;="&amp;$A84)</f>
        <v>46296</v>
      </c>
      <c r="J84" s="15">
        <f>_xlfn.MAXIFS(Tasas!$B$5:$B$36,Tasas!$A$5:$A$36,J$4,Tasas!$B$5:$B$36,"&lt;="&amp;$A84)</f>
        <v>46289</v>
      </c>
      <c r="K84" s="25">
        <f>SUMIFS(Tasas!$C$5:$C$36,Tasas!$A$5:$A$36,K$4,Tasas!$B$5:$B$36,F84)</f>
        <v>6.01</v>
      </c>
      <c r="L84" s="25">
        <f>SUMIFS(Tasas!$C$5:$C$36,Tasas!$A$5:$A$36,L$4,Tasas!$B$5:$B$36,G84)</f>
        <v>6.73</v>
      </c>
      <c r="M84" s="25">
        <f>SUMIFS(Tasas!$C$5:$C$36,Tasas!$A$5:$A$36,M$4,Tasas!$B$5:$B$36,H84)</f>
        <v>7.01</v>
      </c>
      <c r="N84" s="25">
        <f>SUMIFS(Tasas!$C$5:$C$36,Tasas!$A$5:$A$36,N$4,Tasas!$B$5:$B$36,I84)</f>
        <v>7.44</v>
      </c>
      <c r="O84" s="25">
        <f>SUMIFS(Tasas!$C$5:$C$36,Tasas!$A$5:$A$36,O$4,Tasas!$B$5:$B$36,J84)</f>
        <v>8.01</v>
      </c>
      <c r="P84" s="14">
        <f>SUMIFS(Tasas!$E$5:$E$36,Tasas!$A$5:$A$36,P$4,Tasas!$B$5:$B$36,F84)</f>
        <v>28</v>
      </c>
      <c r="Q84" s="14">
        <f>SUMIFS(Tasas!$E$5:$E$36,Tasas!$A$5:$A$36,Q$4,Tasas!$B$5:$B$36,G84)</f>
        <v>91</v>
      </c>
      <c r="R84" s="14">
        <f>SUMIFS(Tasas!$E$5:$E$36,Tasas!$A$5:$A$36,R$4,Tasas!$B$5:$B$36,H84)</f>
        <v>182</v>
      </c>
      <c r="S84" s="14">
        <f>SUMIFS(Tasas!$E$5:$E$36,Tasas!$A$5:$A$36,S$4,Tasas!$B$5:$B$36,I84)</f>
        <v>349</v>
      </c>
      <c r="T84" s="14">
        <f>SUMIFS(Tasas!$E$5:$E$36,Tasas!$A$5:$A$36,T$4,Tasas!$B$5:$B$36,J84)</f>
        <v>679</v>
      </c>
      <c r="U84" s="14">
        <f t="shared" si="29"/>
        <v>91</v>
      </c>
      <c r="V84" s="14">
        <f t="shared" si="30"/>
        <v>182</v>
      </c>
      <c r="W84" s="14">
        <f t="shared" si="31"/>
        <v>91</v>
      </c>
      <c r="X84" s="14">
        <f t="shared" si="32"/>
        <v>182</v>
      </c>
      <c r="Y84" s="15">
        <f t="shared" si="33"/>
        <v>46296</v>
      </c>
      <c r="Z84" s="15">
        <f t="shared" si="34"/>
        <v>46296</v>
      </c>
      <c r="AA84" s="25">
        <f t="shared" si="35"/>
        <v>6.73</v>
      </c>
      <c r="AB84" s="25">
        <f t="shared" si="36"/>
        <v>7.01</v>
      </c>
      <c r="AC84" s="11" t="str">
        <f t="shared" si="37"/>
        <v>interpolación</v>
      </c>
      <c r="AD84" s="26">
        <f t="shared" si="38"/>
        <v>6.9607692307692304</v>
      </c>
      <c r="AE84" s="26">
        <f t="shared" si="39"/>
        <v>9.6890129119346984</v>
      </c>
      <c r="AF84" s="19">
        <f t="shared" si="40"/>
        <v>9.6890128999999998</v>
      </c>
      <c r="AG84" s="11" t="str">
        <f t="shared" si="41"/>
        <v>46298|BI270318</v>
      </c>
    </row>
    <row r="85" spans="1:33" x14ac:dyDescent="0.3">
      <c r="A85" s="20">
        <v>46299</v>
      </c>
      <c r="B85" s="21" t="s">
        <v>139</v>
      </c>
      <c r="C85" s="15">
        <f>INDEX(Entradas!$F$40:$F$46,MATCH(B85,Entradas!$A$40:$A$46,0))</f>
        <v>46464</v>
      </c>
      <c r="D85" s="17">
        <f>INDEX(Entradas!$G$40:$G$46,MATCH(B85,Entradas!$A$40:$A$46,0))</f>
        <v>10</v>
      </c>
      <c r="E85" s="14">
        <f t="shared" si="28"/>
        <v>165</v>
      </c>
      <c r="F85" s="15">
        <f>_xlfn.MAXIFS(Tasas!$B$5:$B$36,Tasas!$A$5:$A$36,F$4,Tasas!$B$5:$B$36,"&lt;="&amp;$A85)</f>
        <v>46296</v>
      </c>
      <c r="G85" s="15">
        <f>_xlfn.MAXIFS(Tasas!$B$5:$B$36,Tasas!$A$5:$A$36,G$4,Tasas!$B$5:$B$36,"&lt;="&amp;$A85)</f>
        <v>46296</v>
      </c>
      <c r="H85" s="15">
        <f>_xlfn.MAXIFS(Tasas!$B$5:$B$36,Tasas!$A$5:$A$36,H$4,Tasas!$B$5:$B$36,"&lt;="&amp;$A85)</f>
        <v>46296</v>
      </c>
      <c r="I85" s="15">
        <f>_xlfn.MAXIFS(Tasas!$B$5:$B$36,Tasas!$A$5:$A$36,I$4,Tasas!$B$5:$B$36,"&lt;="&amp;$A85)</f>
        <v>46296</v>
      </c>
      <c r="J85" s="15">
        <f>_xlfn.MAXIFS(Tasas!$B$5:$B$36,Tasas!$A$5:$A$36,J$4,Tasas!$B$5:$B$36,"&lt;="&amp;$A85)</f>
        <v>46289</v>
      </c>
      <c r="K85" s="25">
        <f>SUMIFS(Tasas!$C$5:$C$36,Tasas!$A$5:$A$36,K$4,Tasas!$B$5:$B$36,F85)</f>
        <v>6.01</v>
      </c>
      <c r="L85" s="25">
        <f>SUMIFS(Tasas!$C$5:$C$36,Tasas!$A$5:$A$36,L$4,Tasas!$B$5:$B$36,G85)</f>
        <v>6.73</v>
      </c>
      <c r="M85" s="25">
        <f>SUMIFS(Tasas!$C$5:$C$36,Tasas!$A$5:$A$36,M$4,Tasas!$B$5:$B$36,H85)</f>
        <v>7.01</v>
      </c>
      <c r="N85" s="25">
        <f>SUMIFS(Tasas!$C$5:$C$36,Tasas!$A$5:$A$36,N$4,Tasas!$B$5:$B$36,I85)</f>
        <v>7.44</v>
      </c>
      <c r="O85" s="25">
        <f>SUMIFS(Tasas!$C$5:$C$36,Tasas!$A$5:$A$36,O$4,Tasas!$B$5:$B$36,J85)</f>
        <v>8.01</v>
      </c>
      <c r="P85" s="14">
        <f>SUMIFS(Tasas!$E$5:$E$36,Tasas!$A$5:$A$36,P$4,Tasas!$B$5:$B$36,F85)</f>
        <v>28</v>
      </c>
      <c r="Q85" s="14">
        <f>SUMIFS(Tasas!$E$5:$E$36,Tasas!$A$5:$A$36,Q$4,Tasas!$B$5:$B$36,G85)</f>
        <v>91</v>
      </c>
      <c r="R85" s="14">
        <f>SUMIFS(Tasas!$E$5:$E$36,Tasas!$A$5:$A$36,R$4,Tasas!$B$5:$B$36,H85)</f>
        <v>182</v>
      </c>
      <c r="S85" s="14">
        <f>SUMIFS(Tasas!$E$5:$E$36,Tasas!$A$5:$A$36,S$4,Tasas!$B$5:$B$36,I85)</f>
        <v>349</v>
      </c>
      <c r="T85" s="14">
        <f>SUMIFS(Tasas!$E$5:$E$36,Tasas!$A$5:$A$36,T$4,Tasas!$B$5:$B$36,J85)</f>
        <v>679</v>
      </c>
      <c r="U85" s="14">
        <f t="shared" si="29"/>
        <v>91</v>
      </c>
      <c r="V85" s="14">
        <f t="shared" si="30"/>
        <v>182</v>
      </c>
      <c r="W85" s="14">
        <f t="shared" si="31"/>
        <v>91</v>
      </c>
      <c r="X85" s="14">
        <f t="shared" si="32"/>
        <v>182</v>
      </c>
      <c r="Y85" s="15">
        <f t="shared" si="33"/>
        <v>46296</v>
      </c>
      <c r="Z85" s="15">
        <f t="shared" si="34"/>
        <v>46296</v>
      </c>
      <c r="AA85" s="25">
        <f t="shared" si="35"/>
        <v>6.73</v>
      </c>
      <c r="AB85" s="25">
        <f t="shared" si="36"/>
        <v>7.01</v>
      </c>
      <c r="AC85" s="11" t="str">
        <f t="shared" si="37"/>
        <v>interpolación</v>
      </c>
      <c r="AD85" s="26">
        <f t="shared" si="38"/>
        <v>6.9576923076923078</v>
      </c>
      <c r="AE85" s="26">
        <f t="shared" si="39"/>
        <v>9.6909608494499917</v>
      </c>
      <c r="AF85" s="19">
        <f t="shared" si="40"/>
        <v>9.6909607999999992</v>
      </c>
      <c r="AG85" s="11" t="str">
        <f t="shared" si="41"/>
        <v>46299|BI270318</v>
      </c>
    </row>
    <row r="86" spans="1:33" x14ac:dyDescent="0.3">
      <c r="A86" s="20">
        <v>46300</v>
      </c>
      <c r="B86" s="21" t="s">
        <v>139</v>
      </c>
      <c r="C86" s="15">
        <f>INDEX(Entradas!$F$40:$F$46,MATCH(B86,Entradas!$A$40:$A$46,0))</f>
        <v>46464</v>
      </c>
      <c r="D86" s="17">
        <f>INDEX(Entradas!$G$40:$G$46,MATCH(B86,Entradas!$A$40:$A$46,0))</f>
        <v>10</v>
      </c>
      <c r="E86" s="14">
        <f t="shared" si="28"/>
        <v>164</v>
      </c>
      <c r="F86" s="15">
        <f>_xlfn.MAXIFS(Tasas!$B$5:$B$36,Tasas!$A$5:$A$36,F$4,Tasas!$B$5:$B$36,"&lt;="&amp;$A86)</f>
        <v>46296</v>
      </c>
      <c r="G86" s="15">
        <f>_xlfn.MAXIFS(Tasas!$B$5:$B$36,Tasas!$A$5:$A$36,G$4,Tasas!$B$5:$B$36,"&lt;="&amp;$A86)</f>
        <v>46296</v>
      </c>
      <c r="H86" s="15">
        <f>_xlfn.MAXIFS(Tasas!$B$5:$B$36,Tasas!$A$5:$A$36,H$4,Tasas!$B$5:$B$36,"&lt;="&amp;$A86)</f>
        <v>46296</v>
      </c>
      <c r="I86" s="15">
        <f>_xlfn.MAXIFS(Tasas!$B$5:$B$36,Tasas!$A$5:$A$36,I$4,Tasas!$B$5:$B$36,"&lt;="&amp;$A86)</f>
        <v>46296</v>
      </c>
      <c r="J86" s="15">
        <f>_xlfn.MAXIFS(Tasas!$B$5:$B$36,Tasas!$A$5:$A$36,J$4,Tasas!$B$5:$B$36,"&lt;="&amp;$A86)</f>
        <v>46289</v>
      </c>
      <c r="K86" s="25">
        <f>SUMIFS(Tasas!$C$5:$C$36,Tasas!$A$5:$A$36,K$4,Tasas!$B$5:$B$36,F86)</f>
        <v>6.01</v>
      </c>
      <c r="L86" s="25">
        <f>SUMIFS(Tasas!$C$5:$C$36,Tasas!$A$5:$A$36,L$4,Tasas!$B$5:$B$36,G86)</f>
        <v>6.73</v>
      </c>
      <c r="M86" s="25">
        <f>SUMIFS(Tasas!$C$5:$C$36,Tasas!$A$5:$A$36,M$4,Tasas!$B$5:$B$36,H86)</f>
        <v>7.01</v>
      </c>
      <c r="N86" s="25">
        <f>SUMIFS(Tasas!$C$5:$C$36,Tasas!$A$5:$A$36,N$4,Tasas!$B$5:$B$36,I86)</f>
        <v>7.44</v>
      </c>
      <c r="O86" s="25">
        <f>SUMIFS(Tasas!$C$5:$C$36,Tasas!$A$5:$A$36,O$4,Tasas!$B$5:$B$36,J86)</f>
        <v>8.01</v>
      </c>
      <c r="P86" s="14">
        <f>SUMIFS(Tasas!$E$5:$E$36,Tasas!$A$5:$A$36,P$4,Tasas!$B$5:$B$36,F86)</f>
        <v>28</v>
      </c>
      <c r="Q86" s="14">
        <f>SUMIFS(Tasas!$E$5:$E$36,Tasas!$A$5:$A$36,Q$4,Tasas!$B$5:$B$36,G86)</f>
        <v>91</v>
      </c>
      <c r="R86" s="14">
        <f>SUMIFS(Tasas!$E$5:$E$36,Tasas!$A$5:$A$36,R$4,Tasas!$B$5:$B$36,H86)</f>
        <v>182</v>
      </c>
      <c r="S86" s="14">
        <f>SUMIFS(Tasas!$E$5:$E$36,Tasas!$A$5:$A$36,S$4,Tasas!$B$5:$B$36,I86)</f>
        <v>349</v>
      </c>
      <c r="T86" s="14">
        <f>SUMIFS(Tasas!$E$5:$E$36,Tasas!$A$5:$A$36,T$4,Tasas!$B$5:$B$36,J86)</f>
        <v>679</v>
      </c>
      <c r="U86" s="14">
        <f t="shared" si="29"/>
        <v>91</v>
      </c>
      <c r="V86" s="14">
        <f t="shared" si="30"/>
        <v>182</v>
      </c>
      <c r="W86" s="14">
        <f t="shared" si="31"/>
        <v>91</v>
      </c>
      <c r="X86" s="14">
        <f t="shared" si="32"/>
        <v>182</v>
      </c>
      <c r="Y86" s="15">
        <f t="shared" si="33"/>
        <v>46296</v>
      </c>
      <c r="Z86" s="15">
        <f t="shared" si="34"/>
        <v>46296</v>
      </c>
      <c r="AA86" s="25">
        <f t="shared" si="35"/>
        <v>6.73</v>
      </c>
      <c r="AB86" s="25">
        <f t="shared" si="36"/>
        <v>7.01</v>
      </c>
      <c r="AC86" s="11" t="str">
        <f t="shared" si="37"/>
        <v>interpolación</v>
      </c>
      <c r="AD86" s="26">
        <f t="shared" si="38"/>
        <v>6.9546153846153844</v>
      </c>
      <c r="AE86" s="26">
        <f t="shared" si="39"/>
        <v>9.692907964347663</v>
      </c>
      <c r="AF86" s="19">
        <f t="shared" si="40"/>
        <v>9.6929079999999992</v>
      </c>
      <c r="AG86" s="11" t="str">
        <f t="shared" si="41"/>
        <v>46300|BI270318</v>
      </c>
    </row>
    <row r="87" spans="1:33" x14ac:dyDescent="0.3">
      <c r="A87" s="20">
        <v>46301</v>
      </c>
      <c r="B87" s="21" t="s">
        <v>139</v>
      </c>
      <c r="C87" s="15">
        <f>INDEX(Entradas!$F$40:$F$46,MATCH(B87,Entradas!$A$40:$A$46,0))</f>
        <v>46464</v>
      </c>
      <c r="D87" s="17">
        <f>INDEX(Entradas!$G$40:$G$46,MATCH(B87,Entradas!$A$40:$A$46,0))</f>
        <v>10</v>
      </c>
      <c r="E87" s="14">
        <f t="shared" si="28"/>
        <v>163</v>
      </c>
      <c r="F87" s="15">
        <f>_xlfn.MAXIFS(Tasas!$B$5:$B$36,Tasas!$A$5:$A$36,F$4,Tasas!$B$5:$B$36,"&lt;="&amp;$A87)</f>
        <v>46296</v>
      </c>
      <c r="G87" s="15">
        <f>_xlfn.MAXIFS(Tasas!$B$5:$B$36,Tasas!$A$5:$A$36,G$4,Tasas!$B$5:$B$36,"&lt;="&amp;$A87)</f>
        <v>46296</v>
      </c>
      <c r="H87" s="15">
        <f>_xlfn.MAXIFS(Tasas!$B$5:$B$36,Tasas!$A$5:$A$36,H$4,Tasas!$B$5:$B$36,"&lt;="&amp;$A87)</f>
        <v>46296</v>
      </c>
      <c r="I87" s="15">
        <f>_xlfn.MAXIFS(Tasas!$B$5:$B$36,Tasas!$A$5:$A$36,I$4,Tasas!$B$5:$B$36,"&lt;="&amp;$A87)</f>
        <v>46296</v>
      </c>
      <c r="J87" s="15">
        <f>_xlfn.MAXIFS(Tasas!$B$5:$B$36,Tasas!$A$5:$A$36,J$4,Tasas!$B$5:$B$36,"&lt;="&amp;$A87)</f>
        <v>46289</v>
      </c>
      <c r="K87" s="25">
        <f>SUMIFS(Tasas!$C$5:$C$36,Tasas!$A$5:$A$36,K$4,Tasas!$B$5:$B$36,F87)</f>
        <v>6.01</v>
      </c>
      <c r="L87" s="25">
        <f>SUMIFS(Tasas!$C$5:$C$36,Tasas!$A$5:$A$36,L$4,Tasas!$B$5:$B$36,G87)</f>
        <v>6.73</v>
      </c>
      <c r="M87" s="25">
        <f>SUMIFS(Tasas!$C$5:$C$36,Tasas!$A$5:$A$36,M$4,Tasas!$B$5:$B$36,H87)</f>
        <v>7.01</v>
      </c>
      <c r="N87" s="25">
        <f>SUMIFS(Tasas!$C$5:$C$36,Tasas!$A$5:$A$36,N$4,Tasas!$B$5:$B$36,I87)</f>
        <v>7.44</v>
      </c>
      <c r="O87" s="25">
        <f>SUMIFS(Tasas!$C$5:$C$36,Tasas!$A$5:$A$36,O$4,Tasas!$B$5:$B$36,J87)</f>
        <v>8.01</v>
      </c>
      <c r="P87" s="14">
        <f>SUMIFS(Tasas!$E$5:$E$36,Tasas!$A$5:$A$36,P$4,Tasas!$B$5:$B$36,F87)</f>
        <v>28</v>
      </c>
      <c r="Q87" s="14">
        <f>SUMIFS(Tasas!$E$5:$E$36,Tasas!$A$5:$A$36,Q$4,Tasas!$B$5:$B$36,G87)</f>
        <v>91</v>
      </c>
      <c r="R87" s="14">
        <f>SUMIFS(Tasas!$E$5:$E$36,Tasas!$A$5:$A$36,R$4,Tasas!$B$5:$B$36,H87)</f>
        <v>182</v>
      </c>
      <c r="S87" s="14">
        <f>SUMIFS(Tasas!$E$5:$E$36,Tasas!$A$5:$A$36,S$4,Tasas!$B$5:$B$36,I87)</f>
        <v>349</v>
      </c>
      <c r="T87" s="14">
        <f>SUMIFS(Tasas!$E$5:$E$36,Tasas!$A$5:$A$36,T$4,Tasas!$B$5:$B$36,J87)</f>
        <v>679</v>
      </c>
      <c r="U87" s="14">
        <f t="shared" si="29"/>
        <v>91</v>
      </c>
      <c r="V87" s="14">
        <f t="shared" si="30"/>
        <v>182</v>
      </c>
      <c r="W87" s="14">
        <f t="shared" si="31"/>
        <v>91</v>
      </c>
      <c r="X87" s="14">
        <f t="shared" si="32"/>
        <v>182</v>
      </c>
      <c r="Y87" s="15">
        <f t="shared" si="33"/>
        <v>46296</v>
      </c>
      <c r="Z87" s="15">
        <f t="shared" si="34"/>
        <v>46296</v>
      </c>
      <c r="AA87" s="25">
        <f t="shared" si="35"/>
        <v>6.73</v>
      </c>
      <c r="AB87" s="25">
        <f t="shared" si="36"/>
        <v>7.01</v>
      </c>
      <c r="AC87" s="11" t="str">
        <f t="shared" si="37"/>
        <v>interpolación</v>
      </c>
      <c r="AD87" s="26">
        <f t="shared" si="38"/>
        <v>6.9515384615384619</v>
      </c>
      <c r="AE87" s="26">
        <f t="shared" si="39"/>
        <v>9.6948542551637154</v>
      </c>
      <c r="AF87" s="19">
        <f t="shared" si="40"/>
        <v>9.6948542999999994</v>
      </c>
      <c r="AG87" s="11" t="str">
        <f t="shared" si="41"/>
        <v>46301|BI270318</v>
      </c>
    </row>
    <row r="88" spans="1:33" x14ac:dyDescent="0.3">
      <c r="A88" s="20">
        <v>46302</v>
      </c>
      <c r="B88" s="21" t="s">
        <v>139</v>
      </c>
      <c r="C88" s="15">
        <f>INDEX(Entradas!$F$40:$F$46,MATCH(B88,Entradas!$A$40:$A$46,0))</f>
        <v>46464</v>
      </c>
      <c r="D88" s="17">
        <f>INDEX(Entradas!$G$40:$G$46,MATCH(B88,Entradas!$A$40:$A$46,0))</f>
        <v>10</v>
      </c>
      <c r="E88" s="14">
        <f t="shared" si="28"/>
        <v>162</v>
      </c>
      <c r="F88" s="15">
        <f>_xlfn.MAXIFS(Tasas!$B$5:$B$36,Tasas!$A$5:$A$36,F$4,Tasas!$B$5:$B$36,"&lt;="&amp;$A88)</f>
        <v>46296</v>
      </c>
      <c r="G88" s="15">
        <f>_xlfn.MAXIFS(Tasas!$B$5:$B$36,Tasas!$A$5:$A$36,G$4,Tasas!$B$5:$B$36,"&lt;="&amp;$A88)</f>
        <v>46296</v>
      </c>
      <c r="H88" s="15">
        <f>_xlfn.MAXIFS(Tasas!$B$5:$B$36,Tasas!$A$5:$A$36,H$4,Tasas!$B$5:$B$36,"&lt;="&amp;$A88)</f>
        <v>46296</v>
      </c>
      <c r="I88" s="15">
        <f>_xlfn.MAXIFS(Tasas!$B$5:$B$36,Tasas!$A$5:$A$36,I$4,Tasas!$B$5:$B$36,"&lt;="&amp;$A88)</f>
        <v>46296</v>
      </c>
      <c r="J88" s="15">
        <f>_xlfn.MAXIFS(Tasas!$B$5:$B$36,Tasas!$A$5:$A$36,J$4,Tasas!$B$5:$B$36,"&lt;="&amp;$A88)</f>
        <v>46289</v>
      </c>
      <c r="K88" s="25">
        <f>SUMIFS(Tasas!$C$5:$C$36,Tasas!$A$5:$A$36,K$4,Tasas!$B$5:$B$36,F88)</f>
        <v>6.01</v>
      </c>
      <c r="L88" s="25">
        <f>SUMIFS(Tasas!$C$5:$C$36,Tasas!$A$5:$A$36,L$4,Tasas!$B$5:$B$36,G88)</f>
        <v>6.73</v>
      </c>
      <c r="M88" s="25">
        <f>SUMIFS(Tasas!$C$5:$C$36,Tasas!$A$5:$A$36,M$4,Tasas!$B$5:$B$36,H88)</f>
        <v>7.01</v>
      </c>
      <c r="N88" s="25">
        <f>SUMIFS(Tasas!$C$5:$C$36,Tasas!$A$5:$A$36,N$4,Tasas!$B$5:$B$36,I88)</f>
        <v>7.44</v>
      </c>
      <c r="O88" s="25">
        <f>SUMIFS(Tasas!$C$5:$C$36,Tasas!$A$5:$A$36,O$4,Tasas!$B$5:$B$36,J88)</f>
        <v>8.01</v>
      </c>
      <c r="P88" s="14">
        <f>SUMIFS(Tasas!$E$5:$E$36,Tasas!$A$5:$A$36,P$4,Tasas!$B$5:$B$36,F88)</f>
        <v>28</v>
      </c>
      <c r="Q88" s="14">
        <f>SUMIFS(Tasas!$E$5:$E$36,Tasas!$A$5:$A$36,Q$4,Tasas!$B$5:$B$36,G88)</f>
        <v>91</v>
      </c>
      <c r="R88" s="14">
        <f>SUMIFS(Tasas!$E$5:$E$36,Tasas!$A$5:$A$36,R$4,Tasas!$B$5:$B$36,H88)</f>
        <v>182</v>
      </c>
      <c r="S88" s="14">
        <f>SUMIFS(Tasas!$E$5:$E$36,Tasas!$A$5:$A$36,S$4,Tasas!$B$5:$B$36,I88)</f>
        <v>349</v>
      </c>
      <c r="T88" s="14">
        <f>SUMIFS(Tasas!$E$5:$E$36,Tasas!$A$5:$A$36,T$4,Tasas!$B$5:$B$36,J88)</f>
        <v>679</v>
      </c>
      <c r="U88" s="14">
        <f t="shared" si="29"/>
        <v>91</v>
      </c>
      <c r="V88" s="14">
        <f t="shared" si="30"/>
        <v>182</v>
      </c>
      <c r="W88" s="14">
        <f t="shared" si="31"/>
        <v>91</v>
      </c>
      <c r="X88" s="14">
        <f t="shared" si="32"/>
        <v>182</v>
      </c>
      <c r="Y88" s="15">
        <f t="shared" si="33"/>
        <v>46296</v>
      </c>
      <c r="Z88" s="15">
        <f t="shared" si="34"/>
        <v>46296</v>
      </c>
      <c r="AA88" s="25">
        <f t="shared" si="35"/>
        <v>6.73</v>
      </c>
      <c r="AB88" s="25">
        <f t="shared" si="36"/>
        <v>7.01</v>
      </c>
      <c r="AC88" s="11" t="str">
        <f t="shared" si="37"/>
        <v>interpolación</v>
      </c>
      <c r="AD88" s="26">
        <f t="shared" si="38"/>
        <v>6.9484615384615385</v>
      </c>
      <c r="AE88" s="26">
        <f t="shared" si="39"/>
        <v>9.6967997204338054</v>
      </c>
      <c r="AF88" s="19">
        <f t="shared" si="40"/>
        <v>9.6967996999999997</v>
      </c>
      <c r="AG88" s="11" t="str">
        <f t="shared" si="41"/>
        <v>46302|BI270318</v>
      </c>
    </row>
    <row r="89" spans="1:33" x14ac:dyDescent="0.3">
      <c r="A89" s="20">
        <v>46303</v>
      </c>
      <c r="B89" s="21" t="s">
        <v>139</v>
      </c>
      <c r="C89" s="15">
        <f>INDEX(Entradas!$F$40:$F$46,MATCH(B89,Entradas!$A$40:$A$46,0))</f>
        <v>46464</v>
      </c>
      <c r="D89" s="17">
        <f>INDEX(Entradas!$G$40:$G$46,MATCH(B89,Entradas!$A$40:$A$46,0))</f>
        <v>10</v>
      </c>
      <c r="E89" s="14">
        <f t="shared" si="28"/>
        <v>161</v>
      </c>
      <c r="F89" s="15">
        <f>_xlfn.MAXIFS(Tasas!$B$5:$B$36,Tasas!$A$5:$A$36,F$4,Tasas!$B$5:$B$36,"&lt;="&amp;$A89)</f>
        <v>46303</v>
      </c>
      <c r="G89" s="15">
        <f>_xlfn.MAXIFS(Tasas!$B$5:$B$36,Tasas!$A$5:$A$36,G$4,Tasas!$B$5:$B$36,"&lt;="&amp;$A89)</f>
        <v>46303</v>
      </c>
      <c r="H89" s="15">
        <f>_xlfn.MAXIFS(Tasas!$B$5:$B$36,Tasas!$A$5:$A$36,H$4,Tasas!$B$5:$B$36,"&lt;="&amp;$A89)</f>
        <v>46303</v>
      </c>
      <c r="I89" s="15">
        <f>_xlfn.MAXIFS(Tasas!$B$5:$B$36,Tasas!$A$5:$A$36,I$4,Tasas!$B$5:$B$36,"&lt;="&amp;$A89)</f>
        <v>46296</v>
      </c>
      <c r="J89" s="15">
        <f>_xlfn.MAXIFS(Tasas!$B$5:$B$36,Tasas!$A$5:$A$36,J$4,Tasas!$B$5:$B$36,"&lt;="&amp;$A89)</f>
        <v>46303</v>
      </c>
      <c r="K89" s="25">
        <f>SUMIFS(Tasas!$C$5:$C$36,Tasas!$A$5:$A$36,K$4,Tasas!$B$5:$B$36,F89)</f>
        <v>6.09</v>
      </c>
      <c r="L89" s="25">
        <f>SUMIFS(Tasas!$C$5:$C$36,Tasas!$A$5:$A$36,L$4,Tasas!$B$5:$B$36,G89)</f>
        <v>6.78</v>
      </c>
      <c r="M89" s="25">
        <f>SUMIFS(Tasas!$C$5:$C$36,Tasas!$A$5:$A$36,M$4,Tasas!$B$5:$B$36,H89)</f>
        <v>6.91</v>
      </c>
      <c r="N89" s="25">
        <f>SUMIFS(Tasas!$C$5:$C$36,Tasas!$A$5:$A$36,N$4,Tasas!$B$5:$B$36,I89)</f>
        <v>7.44</v>
      </c>
      <c r="O89" s="25">
        <f>SUMIFS(Tasas!$C$5:$C$36,Tasas!$A$5:$A$36,O$4,Tasas!$B$5:$B$36,J89)</f>
        <v>7.98</v>
      </c>
      <c r="P89" s="14">
        <f>SUMIFS(Tasas!$E$5:$E$36,Tasas!$A$5:$A$36,P$4,Tasas!$B$5:$B$36,F89)</f>
        <v>28</v>
      </c>
      <c r="Q89" s="14">
        <f>SUMIFS(Tasas!$E$5:$E$36,Tasas!$A$5:$A$36,Q$4,Tasas!$B$5:$B$36,G89)</f>
        <v>91</v>
      </c>
      <c r="R89" s="14">
        <f>SUMIFS(Tasas!$E$5:$E$36,Tasas!$A$5:$A$36,R$4,Tasas!$B$5:$B$36,H89)</f>
        <v>175</v>
      </c>
      <c r="S89" s="14">
        <f>SUMIFS(Tasas!$E$5:$E$36,Tasas!$A$5:$A$36,S$4,Tasas!$B$5:$B$36,I89)</f>
        <v>349</v>
      </c>
      <c r="T89" s="14">
        <f>SUMIFS(Tasas!$E$5:$E$36,Tasas!$A$5:$A$36,T$4,Tasas!$B$5:$B$36,J89)</f>
        <v>721</v>
      </c>
      <c r="U89" s="14">
        <f t="shared" si="29"/>
        <v>91</v>
      </c>
      <c r="V89" s="14">
        <f t="shared" si="30"/>
        <v>175</v>
      </c>
      <c r="W89" s="14">
        <f t="shared" si="31"/>
        <v>91</v>
      </c>
      <c r="X89" s="14">
        <f t="shared" si="32"/>
        <v>182</v>
      </c>
      <c r="Y89" s="15">
        <f t="shared" si="33"/>
        <v>46303</v>
      </c>
      <c r="Z89" s="15">
        <f t="shared" si="34"/>
        <v>46303</v>
      </c>
      <c r="AA89" s="25">
        <f t="shared" si="35"/>
        <v>6.78</v>
      </c>
      <c r="AB89" s="25">
        <f t="shared" si="36"/>
        <v>6.91</v>
      </c>
      <c r="AC89" s="11" t="str">
        <f t="shared" si="37"/>
        <v>interpolación</v>
      </c>
      <c r="AD89" s="26">
        <f t="shared" si="38"/>
        <v>6.8883333333333336</v>
      </c>
      <c r="AE89" s="26">
        <f t="shared" si="39"/>
        <v>9.7011450000949893</v>
      </c>
      <c r="AF89" s="19">
        <f t="shared" si="40"/>
        <v>9.7011450000000004</v>
      </c>
      <c r="AG89" s="11" t="str">
        <f t="shared" si="41"/>
        <v>46303|BI270318</v>
      </c>
    </row>
    <row r="90" spans="1:33" x14ac:dyDescent="0.3">
      <c r="A90" s="20">
        <v>46304</v>
      </c>
      <c r="B90" s="21" t="s">
        <v>139</v>
      </c>
      <c r="C90" s="15">
        <f>INDEX(Entradas!$F$40:$F$46,MATCH(B90,Entradas!$A$40:$A$46,0))</f>
        <v>46464</v>
      </c>
      <c r="D90" s="17">
        <f>INDEX(Entradas!$G$40:$G$46,MATCH(B90,Entradas!$A$40:$A$46,0))</f>
        <v>10</v>
      </c>
      <c r="E90" s="14">
        <f t="shared" si="28"/>
        <v>160</v>
      </c>
      <c r="F90" s="15">
        <f>_xlfn.MAXIFS(Tasas!$B$5:$B$36,Tasas!$A$5:$A$36,F$4,Tasas!$B$5:$B$36,"&lt;="&amp;$A90)</f>
        <v>46303</v>
      </c>
      <c r="G90" s="15">
        <f>_xlfn.MAXIFS(Tasas!$B$5:$B$36,Tasas!$A$5:$A$36,G$4,Tasas!$B$5:$B$36,"&lt;="&amp;$A90)</f>
        <v>46303</v>
      </c>
      <c r="H90" s="15">
        <f>_xlfn.MAXIFS(Tasas!$B$5:$B$36,Tasas!$A$5:$A$36,H$4,Tasas!$B$5:$B$36,"&lt;="&amp;$A90)</f>
        <v>46303</v>
      </c>
      <c r="I90" s="15">
        <f>_xlfn.MAXIFS(Tasas!$B$5:$B$36,Tasas!$A$5:$A$36,I$4,Tasas!$B$5:$B$36,"&lt;="&amp;$A90)</f>
        <v>46296</v>
      </c>
      <c r="J90" s="15">
        <f>_xlfn.MAXIFS(Tasas!$B$5:$B$36,Tasas!$A$5:$A$36,J$4,Tasas!$B$5:$B$36,"&lt;="&amp;$A90)</f>
        <v>46303</v>
      </c>
      <c r="K90" s="25">
        <f>SUMIFS(Tasas!$C$5:$C$36,Tasas!$A$5:$A$36,K$4,Tasas!$B$5:$B$36,F90)</f>
        <v>6.09</v>
      </c>
      <c r="L90" s="25">
        <f>SUMIFS(Tasas!$C$5:$C$36,Tasas!$A$5:$A$36,L$4,Tasas!$B$5:$B$36,G90)</f>
        <v>6.78</v>
      </c>
      <c r="M90" s="25">
        <f>SUMIFS(Tasas!$C$5:$C$36,Tasas!$A$5:$A$36,M$4,Tasas!$B$5:$B$36,H90)</f>
        <v>6.91</v>
      </c>
      <c r="N90" s="25">
        <f>SUMIFS(Tasas!$C$5:$C$36,Tasas!$A$5:$A$36,N$4,Tasas!$B$5:$B$36,I90)</f>
        <v>7.44</v>
      </c>
      <c r="O90" s="25">
        <f>SUMIFS(Tasas!$C$5:$C$36,Tasas!$A$5:$A$36,O$4,Tasas!$B$5:$B$36,J90)</f>
        <v>7.98</v>
      </c>
      <c r="P90" s="14">
        <f>SUMIFS(Tasas!$E$5:$E$36,Tasas!$A$5:$A$36,P$4,Tasas!$B$5:$B$36,F90)</f>
        <v>28</v>
      </c>
      <c r="Q90" s="14">
        <f>SUMIFS(Tasas!$E$5:$E$36,Tasas!$A$5:$A$36,Q$4,Tasas!$B$5:$B$36,G90)</f>
        <v>91</v>
      </c>
      <c r="R90" s="14">
        <f>SUMIFS(Tasas!$E$5:$E$36,Tasas!$A$5:$A$36,R$4,Tasas!$B$5:$B$36,H90)</f>
        <v>175</v>
      </c>
      <c r="S90" s="14">
        <f>SUMIFS(Tasas!$E$5:$E$36,Tasas!$A$5:$A$36,S$4,Tasas!$B$5:$B$36,I90)</f>
        <v>349</v>
      </c>
      <c r="T90" s="14">
        <f>SUMIFS(Tasas!$E$5:$E$36,Tasas!$A$5:$A$36,T$4,Tasas!$B$5:$B$36,J90)</f>
        <v>721</v>
      </c>
      <c r="U90" s="14">
        <f t="shared" si="29"/>
        <v>91</v>
      </c>
      <c r="V90" s="14">
        <f t="shared" si="30"/>
        <v>175</v>
      </c>
      <c r="W90" s="14">
        <f t="shared" si="31"/>
        <v>91</v>
      </c>
      <c r="X90" s="14">
        <f t="shared" si="32"/>
        <v>182</v>
      </c>
      <c r="Y90" s="15">
        <f t="shared" si="33"/>
        <v>46303</v>
      </c>
      <c r="Z90" s="15">
        <f t="shared" si="34"/>
        <v>46303</v>
      </c>
      <c r="AA90" s="25">
        <f t="shared" si="35"/>
        <v>6.78</v>
      </c>
      <c r="AB90" s="25">
        <f t="shared" si="36"/>
        <v>6.91</v>
      </c>
      <c r="AC90" s="11" t="str">
        <f t="shared" si="37"/>
        <v>interpolación</v>
      </c>
      <c r="AD90" s="26">
        <f t="shared" si="38"/>
        <v>6.8867857142857147</v>
      </c>
      <c r="AE90" s="26">
        <f t="shared" si="39"/>
        <v>9.7030108596713607</v>
      </c>
      <c r="AF90" s="19">
        <f t="shared" si="40"/>
        <v>9.7030109000000007</v>
      </c>
      <c r="AG90" s="11" t="str">
        <f t="shared" si="41"/>
        <v>46304|BI270318</v>
      </c>
    </row>
    <row r="91" spans="1:33" x14ac:dyDescent="0.3">
      <c r="A91" s="20">
        <v>46305</v>
      </c>
      <c r="B91" s="21" t="s">
        <v>139</v>
      </c>
      <c r="C91" s="15">
        <f>INDEX(Entradas!$F$40:$F$46,MATCH(B91,Entradas!$A$40:$A$46,0))</f>
        <v>46464</v>
      </c>
      <c r="D91" s="17">
        <f>INDEX(Entradas!$G$40:$G$46,MATCH(B91,Entradas!$A$40:$A$46,0))</f>
        <v>10</v>
      </c>
      <c r="E91" s="14">
        <f t="shared" si="28"/>
        <v>159</v>
      </c>
      <c r="F91" s="15">
        <f>_xlfn.MAXIFS(Tasas!$B$5:$B$36,Tasas!$A$5:$A$36,F$4,Tasas!$B$5:$B$36,"&lt;="&amp;$A91)</f>
        <v>46303</v>
      </c>
      <c r="G91" s="15">
        <f>_xlfn.MAXIFS(Tasas!$B$5:$B$36,Tasas!$A$5:$A$36,G$4,Tasas!$B$5:$B$36,"&lt;="&amp;$A91)</f>
        <v>46303</v>
      </c>
      <c r="H91" s="15">
        <f>_xlfn.MAXIFS(Tasas!$B$5:$B$36,Tasas!$A$5:$A$36,H$4,Tasas!$B$5:$B$36,"&lt;="&amp;$A91)</f>
        <v>46303</v>
      </c>
      <c r="I91" s="15">
        <f>_xlfn.MAXIFS(Tasas!$B$5:$B$36,Tasas!$A$5:$A$36,I$4,Tasas!$B$5:$B$36,"&lt;="&amp;$A91)</f>
        <v>46296</v>
      </c>
      <c r="J91" s="15">
        <f>_xlfn.MAXIFS(Tasas!$B$5:$B$36,Tasas!$A$5:$A$36,J$4,Tasas!$B$5:$B$36,"&lt;="&amp;$A91)</f>
        <v>46303</v>
      </c>
      <c r="K91" s="25">
        <f>SUMIFS(Tasas!$C$5:$C$36,Tasas!$A$5:$A$36,K$4,Tasas!$B$5:$B$36,F91)</f>
        <v>6.09</v>
      </c>
      <c r="L91" s="25">
        <f>SUMIFS(Tasas!$C$5:$C$36,Tasas!$A$5:$A$36,L$4,Tasas!$B$5:$B$36,G91)</f>
        <v>6.78</v>
      </c>
      <c r="M91" s="25">
        <f>SUMIFS(Tasas!$C$5:$C$36,Tasas!$A$5:$A$36,M$4,Tasas!$B$5:$B$36,H91)</f>
        <v>6.91</v>
      </c>
      <c r="N91" s="25">
        <f>SUMIFS(Tasas!$C$5:$C$36,Tasas!$A$5:$A$36,N$4,Tasas!$B$5:$B$36,I91)</f>
        <v>7.44</v>
      </c>
      <c r="O91" s="25">
        <f>SUMIFS(Tasas!$C$5:$C$36,Tasas!$A$5:$A$36,O$4,Tasas!$B$5:$B$36,J91)</f>
        <v>7.98</v>
      </c>
      <c r="P91" s="14">
        <f>SUMIFS(Tasas!$E$5:$E$36,Tasas!$A$5:$A$36,P$4,Tasas!$B$5:$B$36,F91)</f>
        <v>28</v>
      </c>
      <c r="Q91" s="14">
        <f>SUMIFS(Tasas!$E$5:$E$36,Tasas!$A$5:$A$36,Q$4,Tasas!$B$5:$B$36,G91)</f>
        <v>91</v>
      </c>
      <c r="R91" s="14">
        <f>SUMIFS(Tasas!$E$5:$E$36,Tasas!$A$5:$A$36,R$4,Tasas!$B$5:$B$36,H91)</f>
        <v>175</v>
      </c>
      <c r="S91" s="14">
        <f>SUMIFS(Tasas!$E$5:$E$36,Tasas!$A$5:$A$36,S$4,Tasas!$B$5:$B$36,I91)</f>
        <v>349</v>
      </c>
      <c r="T91" s="14">
        <f>SUMIFS(Tasas!$E$5:$E$36,Tasas!$A$5:$A$36,T$4,Tasas!$B$5:$B$36,J91)</f>
        <v>721</v>
      </c>
      <c r="U91" s="14">
        <f t="shared" si="29"/>
        <v>91</v>
      </c>
      <c r="V91" s="14">
        <f t="shared" si="30"/>
        <v>175</v>
      </c>
      <c r="W91" s="14">
        <f t="shared" si="31"/>
        <v>91</v>
      </c>
      <c r="X91" s="14">
        <f t="shared" si="32"/>
        <v>182</v>
      </c>
      <c r="Y91" s="15">
        <f t="shared" si="33"/>
        <v>46303</v>
      </c>
      <c r="Z91" s="15">
        <f t="shared" si="34"/>
        <v>46303</v>
      </c>
      <c r="AA91" s="25">
        <f t="shared" si="35"/>
        <v>6.78</v>
      </c>
      <c r="AB91" s="25">
        <f t="shared" si="36"/>
        <v>6.91</v>
      </c>
      <c r="AC91" s="11" t="str">
        <f t="shared" si="37"/>
        <v>interpolación</v>
      </c>
      <c r="AD91" s="26">
        <f t="shared" si="38"/>
        <v>6.8852380952380958</v>
      </c>
      <c r="AE91" s="26">
        <f t="shared" si="39"/>
        <v>9.7048766273335474</v>
      </c>
      <c r="AF91" s="19">
        <f t="shared" si="40"/>
        <v>9.7048766000000004</v>
      </c>
      <c r="AG91" s="11" t="str">
        <f t="shared" si="41"/>
        <v>46305|BI270318</v>
      </c>
    </row>
    <row r="92" spans="1:33" x14ac:dyDescent="0.3">
      <c r="A92" s="20">
        <v>46306</v>
      </c>
      <c r="B92" s="21" t="s">
        <v>139</v>
      </c>
      <c r="C92" s="15">
        <f>INDEX(Entradas!$F$40:$F$46,MATCH(B92,Entradas!$A$40:$A$46,0))</f>
        <v>46464</v>
      </c>
      <c r="D92" s="17">
        <f>INDEX(Entradas!$G$40:$G$46,MATCH(B92,Entradas!$A$40:$A$46,0))</f>
        <v>10</v>
      </c>
      <c r="E92" s="14">
        <f t="shared" si="28"/>
        <v>158</v>
      </c>
      <c r="F92" s="15">
        <f>_xlfn.MAXIFS(Tasas!$B$5:$B$36,Tasas!$A$5:$A$36,F$4,Tasas!$B$5:$B$36,"&lt;="&amp;$A92)</f>
        <v>46303</v>
      </c>
      <c r="G92" s="15">
        <f>_xlfn.MAXIFS(Tasas!$B$5:$B$36,Tasas!$A$5:$A$36,G$4,Tasas!$B$5:$B$36,"&lt;="&amp;$A92)</f>
        <v>46303</v>
      </c>
      <c r="H92" s="15">
        <f>_xlfn.MAXIFS(Tasas!$B$5:$B$36,Tasas!$A$5:$A$36,H$4,Tasas!$B$5:$B$36,"&lt;="&amp;$A92)</f>
        <v>46303</v>
      </c>
      <c r="I92" s="15">
        <f>_xlfn.MAXIFS(Tasas!$B$5:$B$36,Tasas!$A$5:$A$36,I$4,Tasas!$B$5:$B$36,"&lt;="&amp;$A92)</f>
        <v>46296</v>
      </c>
      <c r="J92" s="15">
        <f>_xlfn.MAXIFS(Tasas!$B$5:$B$36,Tasas!$A$5:$A$36,J$4,Tasas!$B$5:$B$36,"&lt;="&amp;$A92)</f>
        <v>46303</v>
      </c>
      <c r="K92" s="25">
        <f>SUMIFS(Tasas!$C$5:$C$36,Tasas!$A$5:$A$36,K$4,Tasas!$B$5:$B$36,F92)</f>
        <v>6.09</v>
      </c>
      <c r="L92" s="25">
        <f>SUMIFS(Tasas!$C$5:$C$36,Tasas!$A$5:$A$36,L$4,Tasas!$B$5:$B$36,G92)</f>
        <v>6.78</v>
      </c>
      <c r="M92" s="25">
        <f>SUMIFS(Tasas!$C$5:$C$36,Tasas!$A$5:$A$36,M$4,Tasas!$B$5:$B$36,H92)</f>
        <v>6.91</v>
      </c>
      <c r="N92" s="25">
        <f>SUMIFS(Tasas!$C$5:$C$36,Tasas!$A$5:$A$36,N$4,Tasas!$B$5:$B$36,I92)</f>
        <v>7.44</v>
      </c>
      <c r="O92" s="25">
        <f>SUMIFS(Tasas!$C$5:$C$36,Tasas!$A$5:$A$36,O$4,Tasas!$B$5:$B$36,J92)</f>
        <v>7.98</v>
      </c>
      <c r="P92" s="14">
        <f>SUMIFS(Tasas!$E$5:$E$36,Tasas!$A$5:$A$36,P$4,Tasas!$B$5:$B$36,F92)</f>
        <v>28</v>
      </c>
      <c r="Q92" s="14">
        <f>SUMIFS(Tasas!$E$5:$E$36,Tasas!$A$5:$A$36,Q$4,Tasas!$B$5:$B$36,G92)</f>
        <v>91</v>
      </c>
      <c r="R92" s="14">
        <f>SUMIFS(Tasas!$E$5:$E$36,Tasas!$A$5:$A$36,R$4,Tasas!$B$5:$B$36,H92)</f>
        <v>175</v>
      </c>
      <c r="S92" s="14">
        <f>SUMIFS(Tasas!$E$5:$E$36,Tasas!$A$5:$A$36,S$4,Tasas!$B$5:$B$36,I92)</f>
        <v>349</v>
      </c>
      <c r="T92" s="14">
        <f>SUMIFS(Tasas!$E$5:$E$36,Tasas!$A$5:$A$36,T$4,Tasas!$B$5:$B$36,J92)</f>
        <v>721</v>
      </c>
      <c r="U92" s="14">
        <f t="shared" si="29"/>
        <v>91</v>
      </c>
      <c r="V92" s="14">
        <f t="shared" si="30"/>
        <v>175</v>
      </c>
      <c r="W92" s="14">
        <f t="shared" si="31"/>
        <v>91</v>
      </c>
      <c r="X92" s="14">
        <f t="shared" si="32"/>
        <v>182</v>
      </c>
      <c r="Y92" s="15">
        <f t="shared" si="33"/>
        <v>46303</v>
      </c>
      <c r="Z92" s="15">
        <f t="shared" si="34"/>
        <v>46303</v>
      </c>
      <c r="AA92" s="25">
        <f t="shared" si="35"/>
        <v>6.78</v>
      </c>
      <c r="AB92" s="25">
        <f t="shared" si="36"/>
        <v>6.91</v>
      </c>
      <c r="AC92" s="11" t="str">
        <f t="shared" si="37"/>
        <v>interpolación</v>
      </c>
      <c r="AD92" s="26">
        <f t="shared" si="38"/>
        <v>6.883690476190476</v>
      </c>
      <c r="AE92" s="26">
        <f t="shared" si="39"/>
        <v>9.7067423025613788</v>
      </c>
      <c r="AF92" s="19">
        <f t="shared" si="40"/>
        <v>9.7067423000000002</v>
      </c>
      <c r="AG92" s="11" t="str">
        <f t="shared" si="41"/>
        <v>46306|BI270318</v>
      </c>
    </row>
    <row r="93" spans="1:33" x14ac:dyDescent="0.3">
      <c r="A93" s="20">
        <v>46307</v>
      </c>
      <c r="B93" s="21" t="s">
        <v>139</v>
      </c>
      <c r="C93" s="15">
        <f>INDEX(Entradas!$F$40:$F$46,MATCH(B93,Entradas!$A$40:$A$46,0))</f>
        <v>46464</v>
      </c>
      <c r="D93" s="17">
        <f>INDEX(Entradas!$G$40:$G$46,MATCH(B93,Entradas!$A$40:$A$46,0))</f>
        <v>10</v>
      </c>
      <c r="E93" s="14">
        <f t="shared" si="28"/>
        <v>157</v>
      </c>
      <c r="F93" s="15">
        <f>_xlfn.MAXIFS(Tasas!$B$5:$B$36,Tasas!$A$5:$A$36,F$4,Tasas!$B$5:$B$36,"&lt;="&amp;$A93)</f>
        <v>46303</v>
      </c>
      <c r="G93" s="15">
        <f>_xlfn.MAXIFS(Tasas!$B$5:$B$36,Tasas!$A$5:$A$36,G$4,Tasas!$B$5:$B$36,"&lt;="&amp;$A93)</f>
        <v>46303</v>
      </c>
      <c r="H93" s="15">
        <f>_xlfn.MAXIFS(Tasas!$B$5:$B$36,Tasas!$A$5:$A$36,H$4,Tasas!$B$5:$B$36,"&lt;="&amp;$A93)</f>
        <v>46303</v>
      </c>
      <c r="I93" s="15">
        <f>_xlfn.MAXIFS(Tasas!$B$5:$B$36,Tasas!$A$5:$A$36,I$4,Tasas!$B$5:$B$36,"&lt;="&amp;$A93)</f>
        <v>46296</v>
      </c>
      <c r="J93" s="15">
        <f>_xlfn.MAXIFS(Tasas!$B$5:$B$36,Tasas!$A$5:$A$36,J$4,Tasas!$B$5:$B$36,"&lt;="&amp;$A93)</f>
        <v>46303</v>
      </c>
      <c r="K93" s="25">
        <f>SUMIFS(Tasas!$C$5:$C$36,Tasas!$A$5:$A$36,K$4,Tasas!$B$5:$B$36,F93)</f>
        <v>6.09</v>
      </c>
      <c r="L93" s="25">
        <f>SUMIFS(Tasas!$C$5:$C$36,Tasas!$A$5:$A$36,L$4,Tasas!$B$5:$B$36,G93)</f>
        <v>6.78</v>
      </c>
      <c r="M93" s="25">
        <f>SUMIFS(Tasas!$C$5:$C$36,Tasas!$A$5:$A$36,M$4,Tasas!$B$5:$B$36,H93)</f>
        <v>6.91</v>
      </c>
      <c r="N93" s="25">
        <f>SUMIFS(Tasas!$C$5:$C$36,Tasas!$A$5:$A$36,N$4,Tasas!$B$5:$B$36,I93)</f>
        <v>7.44</v>
      </c>
      <c r="O93" s="25">
        <f>SUMIFS(Tasas!$C$5:$C$36,Tasas!$A$5:$A$36,O$4,Tasas!$B$5:$B$36,J93)</f>
        <v>7.98</v>
      </c>
      <c r="P93" s="14">
        <f>SUMIFS(Tasas!$E$5:$E$36,Tasas!$A$5:$A$36,P$4,Tasas!$B$5:$B$36,F93)</f>
        <v>28</v>
      </c>
      <c r="Q93" s="14">
        <f>SUMIFS(Tasas!$E$5:$E$36,Tasas!$A$5:$A$36,Q$4,Tasas!$B$5:$B$36,G93)</f>
        <v>91</v>
      </c>
      <c r="R93" s="14">
        <f>SUMIFS(Tasas!$E$5:$E$36,Tasas!$A$5:$A$36,R$4,Tasas!$B$5:$B$36,H93)</f>
        <v>175</v>
      </c>
      <c r="S93" s="14">
        <f>SUMIFS(Tasas!$E$5:$E$36,Tasas!$A$5:$A$36,S$4,Tasas!$B$5:$B$36,I93)</f>
        <v>349</v>
      </c>
      <c r="T93" s="14">
        <f>SUMIFS(Tasas!$E$5:$E$36,Tasas!$A$5:$A$36,T$4,Tasas!$B$5:$B$36,J93)</f>
        <v>721</v>
      </c>
      <c r="U93" s="14">
        <f t="shared" si="29"/>
        <v>91</v>
      </c>
      <c r="V93" s="14">
        <f t="shared" si="30"/>
        <v>175</v>
      </c>
      <c r="W93" s="14">
        <f t="shared" si="31"/>
        <v>91</v>
      </c>
      <c r="X93" s="14">
        <f t="shared" si="32"/>
        <v>182</v>
      </c>
      <c r="Y93" s="15">
        <f t="shared" si="33"/>
        <v>46303</v>
      </c>
      <c r="Z93" s="15">
        <f t="shared" si="34"/>
        <v>46303</v>
      </c>
      <c r="AA93" s="25">
        <f t="shared" si="35"/>
        <v>6.78</v>
      </c>
      <c r="AB93" s="25">
        <f t="shared" si="36"/>
        <v>6.91</v>
      </c>
      <c r="AC93" s="11" t="str">
        <f t="shared" si="37"/>
        <v>interpolación</v>
      </c>
      <c r="AD93" s="26">
        <f t="shared" si="38"/>
        <v>6.8821428571428571</v>
      </c>
      <c r="AE93" s="26">
        <f t="shared" si="39"/>
        <v>9.7086078848343362</v>
      </c>
      <c r="AF93" s="19">
        <f t="shared" si="40"/>
        <v>9.7086079000000005</v>
      </c>
      <c r="AG93" s="11" t="str">
        <f t="shared" si="41"/>
        <v>46307|BI270318</v>
      </c>
    </row>
    <row r="94" spans="1:33" x14ac:dyDescent="0.3">
      <c r="A94" s="20">
        <v>46308</v>
      </c>
      <c r="B94" s="21" t="s">
        <v>139</v>
      </c>
      <c r="C94" s="15">
        <f>INDEX(Entradas!$F$40:$F$46,MATCH(B94,Entradas!$A$40:$A$46,0))</f>
        <v>46464</v>
      </c>
      <c r="D94" s="17">
        <f>INDEX(Entradas!$G$40:$G$46,MATCH(B94,Entradas!$A$40:$A$46,0))</f>
        <v>10</v>
      </c>
      <c r="E94" s="14">
        <f t="shared" si="28"/>
        <v>156</v>
      </c>
      <c r="F94" s="15">
        <f>_xlfn.MAXIFS(Tasas!$B$5:$B$36,Tasas!$A$5:$A$36,F$4,Tasas!$B$5:$B$36,"&lt;="&amp;$A94)</f>
        <v>46303</v>
      </c>
      <c r="G94" s="15">
        <f>_xlfn.MAXIFS(Tasas!$B$5:$B$36,Tasas!$A$5:$A$36,G$4,Tasas!$B$5:$B$36,"&lt;="&amp;$A94)</f>
        <v>46303</v>
      </c>
      <c r="H94" s="15">
        <f>_xlfn.MAXIFS(Tasas!$B$5:$B$36,Tasas!$A$5:$A$36,H$4,Tasas!$B$5:$B$36,"&lt;="&amp;$A94)</f>
        <v>46303</v>
      </c>
      <c r="I94" s="15">
        <f>_xlfn.MAXIFS(Tasas!$B$5:$B$36,Tasas!$A$5:$A$36,I$4,Tasas!$B$5:$B$36,"&lt;="&amp;$A94)</f>
        <v>46296</v>
      </c>
      <c r="J94" s="15">
        <f>_xlfn.MAXIFS(Tasas!$B$5:$B$36,Tasas!$A$5:$A$36,J$4,Tasas!$B$5:$B$36,"&lt;="&amp;$A94)</f>
        <v>46303</v>
      </c>
      <c r="K94" s="25">
        <f>SUMIFS(Tasas!$C$5:$C$36,Tasas!$A$5:$A$36,K$4,Tasas!$B$5:$B$36,F94)</f>
        <v>6.09</v>
      </c>
      <c r="L94" s="25">
        <f>SUMIFS(Tasas!$C$5:$C$36,Tasas!$A$5:$A$36,L$4,Tasas!$B$5:$B$36,G94)</f>
        <v>6.78</v>
      </c>
      <c r="M94" s="25">
        <f>SUMIFS(Tasas!$C$5:$C$36,Tasas!$A$5:$A$36,M$4,Tasas!$B$5:$B$36,H94)</f>
        <v>6.91</v>
      </c>
      <c r="N94" s="25">
        <f>SUMIFS(Tasas!$C$5:$C$36,Tasas!$A$5:$A$36,N$4,Tasas!$B$5:$B$36,I94)</f>
        <v>7.44</v>
      </c>
      <c r="O94" s="25">
        <f>SUMIFS(Tasas!$C$5:$C$36,Tasas!$A$5:$A$36,O$4,Tasas!$B$5:$B$36,J94)</f>
        <v>7.98</v>
      </c>
      <c r="P94" s="14">
        <f>SUMIFS(Tasas!$E$5:$E$36,Tasas!$A$5:$A$36,P$4,Tasas!$B$5:$B$36,F94)</f>
        <v>28</v>
      </c>
      <c r="Q94" s="14">
        <f>SUMIFS(Tasas!$E$5:$E$36,Tasas!$A$5:$A$36,Q$4,Tasas!$B$5:$B$36,G94)</f>
        <v>91</v>
      </c>
      <c r="R94" s="14">
        <f>SUMIFS(Tasas!$E$5:$E$36,Tasas!$A$5:$A$36,R$4,Tasas!$B$5:$B$36,H94)</f>
        <v>175</v>
      </c>
      <c r="S94" s="14">
        <f>SUMIFS(Tasas!$E$5:$E$36,Tasas!$A$5:$A$36,S$4,Tasas!$B$5:$B$36,I94)</f>
        <v>349</v>
      </c>
      <c r="T94" s="14">
        <f>SUMIFS(Tasas!$E$5:$E$36,Tasas!$A$5:$A$36,T$4,Tasas!$B$5:$B$36,J94)</f>
        <v>721</v>
      </c>
      <c r="U94" s="14">
        <f t="shared" si="29"/>
        <v>91</v>
      </c>
      <c r="V94" s="14">
        <f t="shared" si="30"/>
        <v>175</v>
      </c>
      <c r="W94" s="14">
        <f t="shared" si="31"/>
        <v>91</v>
      </c>
      <c r="X94" s="14">
        <f t="shared" si="32"/>
        <v>182</v>
      </c>
      <c r="Y94" s="15">
        <f t="shared" si="33"/>
        <v>46303</v>
      </c>
      <c r="Z94" s="15">
        <f t="shared" si="34"/>
        <v>46303</v>
      </c>
      <c r="AA94" s="25">
        <f t="shared" si="35"/>
        <v>6.78</v>
      </c>
      <c r="AB94" s="25">
        <f t="shared" si="36"/>
        <v>6.91</v>
      </c>
      <c r="AC94" s="11" t="str">
        <f t="shared" si="37"/>
        <v>interpolación</v>
      </c>
      <c r="AD94" s="26">
        <f t="shared" si="38"/>
        <v>6.8805952380952382</v>
      </c>
      <c r="AE94" s="26">
        <f t="shared" si="39"/>
        <v>9.7104733736315403</v>
      </c>
      <c r="AF94" s="19">
        <f t="shared" si="40"/>
        <v>9.7104733999999997</v>
      </c>
      <c r="AG94" s="11" t="str">
        <f t="shared" si="41"/>
        <v>46308|BI270318</v>
      </c>
    </row>
    <row r="95" spans="1:33" x14ac:dyDescent="0.3">
      <c r="A95" s="20">
        <v>46309</v>
      </c>
      <c r="B95" s="21" t="s">
        <v>139</v>
      </c>
      <c r="C95" s="15">
        <f>INDEX(Entradas!$F$40:$F$46,MATCH(B95,Entradas!$A$40:$A$46,0))</f>
        <v>46464</v>
      </c>
      <c r="D95" s="17">
        <f>INDEX(Entradas!$G$40:$G$46,MATCH(B95,Entradas!$A$40:$A$46,0))</f>
        <v>10</v>
      </c>
      <c r="E95" s="14">
        <f t="shared" si="28"/>
        <v>155</v>
      </c>
      <c r="F95" s="15">
        <f>_xlfn.MAXIFS(Tasas!$B$5:$B$36,Tasas!$A$5:$A$36,F$4,Tasas!$B$5:$B$36,"&lt;="&amp;$A95)</f>
        <v>46303</v>
      </c>
      <c r="G95" s="15">
        <f>_xlfn.MAXIFS(Tasas!$B$5:$B$36,Tasas!$A$5:$A$36,G$4,Tasas!$B$5:$B$36,"&lt;="&amp;$A95)</f>
        <v>46303</v>
      </c>
      <c r="H95" s="15">
        <f>_xlfn.MAXIFS(Tasas!$B$5:$B$36,Tasas!$A$5:$A$36,H$4,Tasas!$B$5:$B$36,"&lt;="&amp;$A95)</f>
        <v>46303</v>
      </c>
      <c r="I95" s="15">
        <f>_xlfn.MAXIFS(Tasas!$B$5:$B$36,Tasas!$A$5:$A$36,I$4,Tasas!$B$5:$B$36,"&lt;="&amp;$A95)</f>
        <v>46296</v>
      </c>
      <c r="J95" s="15">
        <f>_xlfn.MAXIFS(Tasas!$B$5:$B$36,Tasas!$A$5:$A$36,J$4,Tasas!$B$5:$B$36,"&lt;="&amp;$A95)</f>
        <v>46303</v>
      </c>
      <c r="K95" s="25">
        <f>SUMIFS(Tasas!$C$5:$C$36,Tasas!$A$5:$A$36,K$4,Tasas!$B$5:$B$36,F95)</f>
        <v>6.09</v>
      </c>
      <c r="L95" s="25">
        <f>SUMIFS(Tasas!$C$5:$C$36,Tasas!$A$5:$A$36,L$4,Tasas!$B$5:$B$36,G95)</f>
        <v>6.78</v>
      </c>
      <c r="M95" s="25">
        <f>SUMIFS(Tasas!$C$5:$C$36,Tasas!$A$5:$A$36,M$4,Tasas!$B$5:$B$36,H95)</f>
        <v>6.91</v>
      </c>
      <c r="N95" s="25">
        <f>SUMIFS(Tasas!$C$5:$C$36,Tasas!$A$5:$A$36,N$4,Tasas!$B$5:$B$36,I95)</f>
        <v>7.44</v>
      </c>
      <c r="O95" s="25">
        <f>SUMIFS(Tasas!$C$5:$C$36,Tasas!$A$5:$A$36,O$4,Tasas!$B$5:$B$36,J95)</f>
        <v>7.98</v>
      </c>
      <c r="P95" s="14">
        <f>SUMIFS(Tasas!$E$5:$E$36,Tasas!$A$5:$A$36,P$4,Tasas!$B$5:$B$36,F95)</f>
        <v>28</v>
      </c>
      <c r="Q95" s="14">
        <f>SUMIFS(Tasas!$E$5:$E$36,Tasas!$A$5:$A$36,Q$4,Tasas!$B$5:$B$36,G95)</f>
        <v>91</v>
      </c>
      <c r="R95" s="14">
        <f>SUMIFS(Tasas!$E$5:$E$36,Tasas!$A$5:$A$36,R$4,Tasas!$B$5:$B$36,H95)</f>
        <v>175</v>
      </c>
      <c r="S95" s="14">
        <f>SUMIFS(Tasas!$E$5:$E$36,Tasas!$A$5:$A$36,S$4,Tasas!$B$5:$B$36,I95)</f>
        <v>349</v>
      </c>
      <c r="T95" s="14">
        <f>SUMIFS(Tasas!$E$5:$E$36,Tasas!$A$5:$A$36,T$4,Tasas!$B$5:$B$36,J95)</f>
        <v>721</v>
      </c>
      <c r="U95" s="14">
        <f t="shared" si="29"/>
        <v>91</v>
      </c>
      <c r="V95" s="14">
        <f t="shared" si="30"/>
        <v>175</v>
      </c>
      <c r="W95" s="14">
        <f t="shared" si="31"/>
        <v>91</v>
      </c>
      <c r="X95" s="14">
        <f t="shared" si="32"/>
        <v>182</v>
      </c>
      <c r="Y95" s="15">
        <f t="shared" si="33"/>
        <v>46303</v>
      </c>
      <c r="Z95" s="15">
        <f t="shared" si="34"/>
        <v>46303</v>
      </c>
      <c r="AA95" s="25">
        <f t="shared" si="35"/>
        <v>6.78</v>
      </c>
      <c r="AB95" s="25">
        <f t="shared" si="36"/>
        <v>6.91</v>
      </c>
      <c r="AC95" s="11" t="str">
        <f t="shared" si="37"/>
        <v>interpolación</v>
      </c>
      <c r="AD95" s="26">
        <f t="shared" si="38"/>
        <v>6.8790476190476193</v>
      </c>
      <c r="AE95" s="26">
        <f t="shared" si="39"/>
        <v>9.7123387684317635</v>
      </c>
      <c r="AF95" s="19">
        <f t="shared" si="40"/>
        <v>9.7123387999999995</v>
      </c>
      <c r="AG95" s="11" t="str">
        <f t="shared" si="41"/>
        <v>46309|BI270318</v>
      </c>
    </row>
  </sheetData>
  <mergeCells count="3">
    <mergeCell ref="K3:O3"/>
    <mergeCell ref="F3:J3"/>
    <mergeCell ref="P3:T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54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1" customWidth="1"/>
    <col min="3" max="3" width="10" customWidth="1"/>
    <col min="4" max="4" width="8" customWidth="1"/>
    <col min="5" max="5" width="26" customWidth="1"/>
    <col min="6" max="6" width="8" customWidth="1"/>
    <col min="7" max="7" width="11" customWidth="1"/>
    <col min="8" max="9" width="8" customWidth="1"/>
    <col min="10" max="10" width="11" customWidth="1"/>
    <col min="11" max="12" width="13" customWidth="1"/>
    <col min="13" max="13" width="11" customWidth="1"/>
    <col min="14" max="14" width="12" customWidth="1"/>
    <col min="15" max="15" width="13" customWidth="1"/>
    <col min="16" max="16" width="12" customWidth="1"/>
    <col min="17" max="17" width="13" customWidth="1"/>
    <col min="18" max="18" width="7" customWidth="1"/>
    <col min="19" max="19" width="32" customWidth="1"/>
  </cols>
  <sheetData>
    <row r="1" spans="1:19" ht="17.399999999999999" x14ac:dyDescent="0.3">
      <c r="A1" s="5" t="s">
        <v>317</v>
      </c>
    </row>
    <row r="2" spans="1:19" x14ac:dyDescent="0.3">
      <c r="A2" s="6" t="s">
        <v>318</v>
      </c>
    </row>
    <row r="4" spans="1:19" ht="52.8" x14ac:dyDescent="0.3">
      <c r="A4" s="8" t="s">
        <v>177</v>
      </c>
      <c r="B4" s="8" t="s">
        <v>319</v>
      </c>
      <c r="C4" s="8" t="s">
        <v>320</v>
      </c>
      <c r="D4" s="8" t="s">
        <v>321</v>
      </c>
      <c r="E4" s="8" t="s">
        <v>216</v>
      </c>
      <c r="F4" s="8" t="s">
        <v>116</v>
      </c>
      <c r="G4" s="8" t="s">
        <v>119</v>
      </c>
      <c r="H4" s="8" t="s">
        <v>302</v>
      </c>
      <c r="I4" s="8" t="s">
        <v>322</v>
      </c>
      <c r="J4" s="8" t="s">
        <v>323</v>
      </c>
      <c r="K4" s="8" t="s">
        <v>324</v>
      </c>
      <c r="L4" s="8" t="s">
        <v>325</v>
      </c>
      <c r="M4" s="8" t="s">
        <v>326</v>
      </c>
      <c r="N4" s="8" t="s">
        <v>327</v>
      </c>
      <c r="O4" s="8" t="s">
        <v>328</v>
      </c>
      <c r="P4" s="8" t="s">
        <v>329</v>
      </c>
      <c r="Q4" s="8" t="s">
        <v>330</v>
      </c>
      <c r="R4" s="8" t="s">
        <v>331</v>
      </c>
      <c r="S4" s="8" t="s">
        <v>332</v>
      </c>
    </row>
    <row r="5" spans="1:19" x14ac:dyDescent="0.3">
      <c r="A5" s="20">
        <v>46275</v>
      </c>
      <c r="B5" s="21" t="s">
        <v>94</v>
      </c>
      <c r="C5" s="21" t="s">
        <v>123</v>
      </c>
      <c r="D5" s="21" t="s">
        <v>112</v>
      </c>
      <c r="E5" s="11" t="str">
        <f t="shared" ref="E5:E68" si="0">B5&amp;"|"&amp;C5&amp;"|"&amp;D5</f>
        <v>Principal|DEMOACC|Casa A</v>
      </c>
      <c r="F5" s="11" t="str">
        <f>INDEX(Entradas!$C$40:$C$46,MATCH(C5,Entradas!$A$40:$A$46,0))</f>
        <v>accion</v>
      </c>
      <c r="G5" s="15" t="str">
        <f>IF(F5="cetes",INDEX(Entradas!$F$40:$F$46,MATCH(C5,Entradas!$A$40:$A$46,0)),"")</f>
        <v/>
      </c>
      <c r="H5" s="17" t="str">
        <f>IF(F5="cetes",INDEX(Entradas!$G$40:$G$46,MATCH(C5,Entradas!$A$40:$A$46,0)),"")</f>
        <v/>
      </c>
      <c r="I5" s="14">
        <f>IF(F5="cetes",IF(A5&gt;=G5,0,SUMIFS(Transacciones!$N$5:$N$20,Transacciones!$T$5:$T$20,E5,Transacciones!$F$5:$F$20,"&lt;="&amp;A5)),SUMIFS(Transacciones!$N$5:$N$20,Transacciones!$T$5:$T$20,E5,Transacciones!$F$5:$F$20,"&lt;="&amp;A5))</f>
        <v>200</v>
      </c>
      <c r="J5" s="14">
        <f>_xlfn.MAXIFS(Transacciones!$U$5:$U$20,Transacciones!$T$5:$T$20,E5,Transacciones!$F$5:$F$20,"&lt;="&amp;A5)</f>
        <v>46275001</v>
      </c>
      <c r="K5" s="18">
        <f>IF(I5=0,0,INDEX(Transacciones!$Z$5:$Z$20,MATCH(J5,Transacciones!$U$5:$U$20,0)))</f>
        <v>100.23985</v>
      </c>
      <c r="L5" s="17">
        <f t="shared" ref="L5:L68" si="1">I5*K5</f>
        <v>20047.97</v>
      </c>
      <c r="M5" s="15">
        <f>IF(F5="cetes",IF(COUNTIFS(CETES!$A$5:$A$95,A5,CETES!$B$5:$B$95,C5)=0,"",A5),SUMIFS(Precios!$K$5:$K$109,Precios!$I$5:$I$109,A5,Precios!$J$5:$J$109,C5))</f>
        <v>46275</v>
      </c>
      <c r="N5" s="18">
        <f>IF(F5="cetes",IF(COUNTIFS(CETES!$A$5:$A$95,A5,CETES!$B$5:$B$95,C5)=0,"",SUMIFS(CETES!$AF$5:$AF$95,CETES!$A$5:$A$95,A5,CETES!$B$5:$B$95,C5)),SUMIFS(Precios!$L$5:$L$109,Precios!$I$5:$I$109,A5,Precios!$J$5:$J$109,C5))</f>
        <v>100.2</v>
      </c>
      <c r="O5" s="17">
        <f t="shared" ref="O5:O68" si="2">IF(I5=0,0,I5*N5)</f>
        <v>20040</v>
      </c>
      <c r="P5" s="17">
        <f t="shared" ref="P5:P68" si="3">O5-L5</f>
        <v>-7.9700000000011642</v>
      </c>
      <c r="Q5" s="17">
        <f>IF(F5="cetes",IF(A5=G5,SUMIFS(Transacciones!$N$5:$N$20,Transacciones!$T$5:$T$20,E5,Transacciones!$F$5:$F$20,"&lt;"&amp;A5)*H5,0),0)</f>
        <v>0</v>
      </c>
      <c r="R5" s="11" t="str">
        <f>IF(COUNTIF(Entradas!$A$14:$A$17,A5)&gt;0,"sí","")</f>
        <v/>
      </c>
      <c r="S5" s="11" t="str">
        <f t="shared" ref="S5:S68" si="4">A5&amp;"|"&amp;E5</f>
        <v>46275|Principal|DEMOACC|Casa A</v>
      </c>
    </row>
    <row r="6" spans="1:19" x14ac:dyDescent="0.3">
      <c r="A6" s="20">
        <v>46275</v>
      </c>
      <c r="B6" s="21" t="s">
        <v>94</v>
      </c>
      <c r="C6" s="21" t="s">
        <v>123</v>
      </c>
      <c r="D6" s="21" t="s">
        <v>113</v>
      </c>
      <c r="E6" s="11" t="str">
        <f t="shared" si="0"/>
        <v>Principal|DEMOACC|Casa B</v>
      </c>
      <c r="F6" s="11" t="str">
        <f>INDEX(Entradas!$C$40:$C$46,MATCH(C6,Entradas!$A$40:$A$46,0))</f>
        <v>accion</v>
      </c>
      <c r="G6" s="15" t="str">
        <f>IF(F6="cetes",INDEX(Entradas!$F$40:$F$46,MATCH(C6,Entradas!$A$40:$A$46,0)),"")</f>
        <v/>
      </c>
      <c r="H6" s="17" t="str">
        <f>IF(F6="cetes",INDEX(Entradas!$G$40:$G$46,MATCH(C6,Entradas!$A$40:$A$46,0)),"")</f>
        <v/>
      </c>
      <c r="I6" s="14">
        <f>IF(F6="cetes",IF(A6&gt;=G6,0,SUMIFS(Transacciones!$N$5:$N$20,Transacciones!$T$5:$T$20,E6,Transacciones!$F$5:$F$20,"&lt;="&amp;A6)),SUMIFS(Transacciones!$N$5:$N$20,Transacciones!$T$5:$T$20,E6,Transacciones!$F$5:$F$20,"&lt;="&amp;A6))</f>
        <v>0</v>
      </c>
      <c r="J6" s="14">
        <f>_xlfn.MAXIFS(Transacciones!$U$5:$U$20,Transacciones!$T$5:$T$20,E6,Transacciones!$F$5:$F$20,"&lt;="&amp;A6)</f>
        <v>0</v>
      </c>
      <c r="K6" s="18">
        <f>IF(I6=0,0,INDEX(Transacciones!$Z$5:$Z$20,MATCH(J6,Transacciones!$U$5:$U$20,0)))</f>
        <v>0</v>
      </c>
      <c r="L6" s="17">
        <f t="shared" si="1"/>
        <v>0</v>
      </c>
      <c r="M6" s="15">
        <f>IF(F6="cetes",IF(COUNTIFS(CETES!$A$5:$A$95,A6,CETES!$B$5:$B$95,C6)=0,"",A6),SUMIFS(Precios!$K$5:$K$109,Precios!$I$5:$I$109,A6,Precios!$J$5:$J$109,C6))</f>
        <v>46275</v>
      </c>
      <c r="N6" s="18">
        <f>IF(F6="cetes",IF(COUNTIFS(CETES!$A$5:$A$95,A6,CETES!$B$5:$B$95,C6)=0,"",SUMIFS(CETES!$AF$5:$AF$95,CETES!$A$5:$A$95,A6,CETES!$B$5:$B$95,C6)),SUMIFS(Precios!$L$5:$L$109,Precios!$I$5:$I$109,A6,Precios!$J$5:$J$109,C6))</f>
        <v>100.2</v>
      </c>
      <c r="O6" s="17">
        <f t="shared" si="2"/>
        <v>0</v>
      </c>
      <c r="P6" s="17">
        <f t="shared" si="3"/>
        <v>0</v>
      </c>
      <c r="Q6" s="17">
        <f>IF(F6="cetes",IF(A6=G6,SUMIFS(Transacciones!$N$5:$N$20,Transacciones!$T$5:$T$20,E6,Transacciones!$F$5:$F$20,"&lt;"&amp;A6)*H6,0),0)</f>
        <v>0</v>
      </c>
      <c r="R6" s="11" t="str">
        <f>IF(COUNTIF(Entradas!$A$14:$A$17,A6)&gt;0,"sí","")</f>
        <v/>
      </c>
      <c r="S6" s="11" t="str">
        <f t="shared" si="4"/>
        <v>46275|Principal|DEMOACC|Casa B</v>
      </c>
    </row>
    <row r="7" spans="1:19" x14ac:dyDescent="0.3">
      <c r="A7" s="20">
        <v>46275</v>
      </c>
      <c r="B7" s="21" t="s">
        <v>94</v>
      </c>
      <c r="C7" s="21" t="s">
        <v>126</v>
      </c>
      <c r="D7" s="21" t="s">
        <v>113</v>
      </c>
      <c r="E7" s="11" t="str">
        <f t="shared" si="0"/>
        <v>Principal|DEMOETF|Casa B</v>
      </c>
      <c r="F7" s="11" t="str">
        <f>INDEX(Entradas!$C$40:$C$46,MATCH(C7,Entradas!$A$40:$A$46,0))</f>
        <v>etf</v>
      </c>
      <c r="G7" s="15" t="str">
        <f>IF(F7="cetes",INDEX(Entradas!$F$40:$F$46,MATCH(C7,Entradas!$A$40:$A$46,0)),"")</f>
        <v/>
      </c>
      <c r="H7" s="17" t="str">
        <f>IF(F7="cetes",INDEX(Entradas!$G$40:$G$46,MATCH(C7,Entradas!$A$40:$A$46,0)),"")</f>
        <v/>
      </c>
      <c r="I7" s="14">
        <f>IF(F7="cetes",IF(A7&gt;=G7,0,SUMIFS(Transacciones!$N$5:$N$20,Transacciones!$T$5:$T$20,E7,Transacciones!$F$5:$F$20,"&lt;="&amp;A7)),SUMIFS(Transacciones!$N$5:$N$20,Transacciones!$T$5:$T$20,E7,Transacciones!$F$5:$F$20,"&lt;="&amp;A7))</f>
        <v>100</v>
      </c>
      <c r="J7" s="14">
        <f>_xlfn.MAXIFS(Transacciones!$U$5:$U$20,Transacciones!$T$5:$T$20,E7,Transacciones!$F$5:$F$20,"&lt;="&amp;A7)</f>
        <v>46275002</v>
      </c>
      <c r="K7" s="18">
        <f>IF(I7=0,0,INDEX(Transacciones!$Z$5:$Z$20,MATCH(J7,Transacciones!$U$5:$U$20,0)))</f>
        <v>50.195100000000004</v>
      </c>
      <c r="L7" s="17">
        <f t="shared" si="1"/>
        <v>5019.51</v>
      </c>
      <c r="M7" s="15">
        <f>IF(F7="cetes",IF(COUNTIFS(CETES!$A$5:$A$95,A7,CETES!$B$5:$B$95,C7)=0,"",A7),SUMIFS(Precios!$K$5:$K$109,Precios!$I$5:$I$109,A7,Precios!$J$5:$J$109,C7))</f>
        <v>46275</v>
      </c>
      <c r="N7" s="18">
        <f>IF(F7="cetes",IF(COUNTIFS(CETES!$A$5:$A$95,A7,CETES!$B$5:$B$95,C7)=0,"",SUMIFS(CETES!$AF$5:$AF$95,CETES!$A$5:$A$95,A7,CETES!$B$5:$B$95,C7)),SUMIFS(Precios!$L$5:$L$109,Precios!$I$5:$I$109,A7,Precios!$J$5:$J$109,C7))</f>
        <v>50.1</v>
      </c>
      <c r="O7" s="17">
        <f t="shared" si="2"/>
        <v>5010</v>
      </c>
      <c r="P7" s="17">
        <f t="shared" si="3"/>
        <v>-9.5100000000002183</v>
      </c>
      <c r="Q7" s="17">
        <f>IF(F7="cetes",IF(A7=G7,SUMIFS(Transacciones!$N$5:$N$20,Transacciones!$T$5:$T$20,E7,Transacciones!$F$5:$F$20,"&lt;"&amp;A7)*H7,0),0)</f>
        <v>0</v>
      </c>
      <c r="R7" s="11" t="str">
        <f>IF(COUNTIF(Entradas!$A$14:$A$17,A7)&gt;0,"sí","")</f>
        <v/>
      </c>
      <c r="S7" s="11" t="str">
        <f t="shared" si="4"/>
        <v>46275|Principal|DEMOETF|Casa B</v>
      </c>
    </row>
    <row r="8" spans="1:19" x14ac:dyDescent="0.3">
      <c r="A8" s="20">
        <v>46275</v>
      </c>
      <c r="B8" s="21" t="s">
        <v>94</v>
      </c>
      <c r="C8" s="21" t="s">
        <v>129</v>
      </c>
      <c r="D8" s="21" t="s">
        <v>112</v>
      </c>
      <c r="E8" s="11" t="str">
        <f t="shared" si="0"/>
        <v>Principal|DEMOFIB|Casa A</v>
      </c>
      <c r="F8" s="11" t="str">
        <f>INDEX(Entradas!$C$40:$C$46,MATCH(C8,Entradas!$A$40:$A$46,0))</f>
        <v>fibra</v>
      </c>
      <c r="G8" s="15" t="str">
        <f>IF(F8="cetes",INDEX(Entradas!$F$40:$F$46,MATCH(C8,Entradas!$A$40:$A$46,0)),"")</f>
        <v/>
      </c>
      <c r="H8" s="17" t="str">
        <f>IF(F8="cetes",INDEX(Entradas!$G$40:$G$46,MATCH(C8,Entradas!$A$40:$A$46,0)),"")</f>
        <v/>
      </c>
      <c r="I8" s="14">
        <f>IF(F8="cetes",IF(A8&gt;=G8,0,SUMIFS(Transacciones!$N$5:$N$20,Transacciones!$T$5:$T$20,E8,Transacciones!$F$5:$F$20,"&lt;="&amp;A8)),SUMIFS(Transacciones!$N$5:$N$20,Transacciones!$T$5:$T$20,E8,Transacciones!$F$5:$F$20,"&lt;="&amp;A8))</f>
        <v>0</v>
      </c>
      <c r="J8" s="14">
        <f>_xlfn.MAXIFS(Transacciones!$U$5:$U$20,Transacciones!$T$5:$T$20,E8,Transacciones!$F$5:$F$20,"&lt;="&amp;A8)</f>
        <v>0</v>
      </c>
      <c r="K8" s="18">
        <f>IF(I8=0,0,INDEX(Transacciones!$Z$5:$Z$20,MATCH(J8,Transacciones!$U$5:$U$20,0)))</f>
        <v>0</v>
      </c>
      <c r="L8" s="17">
        <f t="shared" si="1"/>
        <v>0</v>
      </c>
      <c r="M8" s="15">
        <f>IF(F8="cetes",IF(COUNTIFS(CETES!$A$5:$A$95,A8,CETES!$B$5:$B$95,C8)=0,"",A8),SUMIFS(Precios!$K$5:$K$109,Precios!$I$5:$I$109,A8,Precios!$J$5:$J$109,C8))</f>
        <v>46275</v>
      </c>
      <c r="N8" s="18">
        <f>IF(F8="cetes",IF(COUNTIFS(CETES!$A$5:$A$95,A8,CETES!$B$5:$B$95,C8)=0,"",SUMIFS(CETES!$AF$5:$AF$95,CETES!$A$5:$A$95,A8,CETES!$B$5:$B$95,C8)),SUMIFS(Precios!$L$5:$L$109,Precios!$I$5:$I$109,A8,Precios!$J$5:$J$109,C8))</f>
        <v>24.8</v>
      </c>
      <c r="O8" s="17">
        <f t="shared" si="2"/>
        <v>0</v>
      </c>
      <c r="P8" s="17">
        <f t="shared" si="3"/>
        <v>0</v>
      </c>
      <c r="Q8" s="17">
        <f>IF(F8="cetes",IF(A8=G8,SUMIFS(Transacciones!$N$5:$N$20,Transacciones!$T$5:$T$20,E8,Transacciones!$F$5:$F$20,"&lt;"&amp;A8)*H8,0),0)</f>
        <v>0</v>
      </c>
      <c r="R8" s="11" t="str">
        <f>IF(COUNTIF(Entradas!$A$14:$A$17,A8)&gt;0,"sí","")</f>
        <v/>
      </c>
      <c r="S8" s="11" t="str">
        <f t="shared" si="4"/>
        <v>46275|Principal|DEMOFIB|Casa A</v>
      </c>
    </row>
    <row r="9" spans="1:19" x14ac:dyDescent="0.3">
      <c r="A9" s="20">
        <v>46275</v>
      </c>
      <c r="B9" s="21" t="s">
        <v>94</v>
      </c>
      <c r="C9" s="21" t="s">
        <v>132</v>
      </c>
      <c r="D9" s="21" t="s">
        <v>112</v>
      </c>
      <c r="E9" s="11" t="str">
        <f t="shared" si="0"/>
        <v>Principal|BI261008|Casa A</v>
      </c>
      <c r="F9" s="11" t="str">
        <f>INDEX(Entradas!$C$40:$C$46,MATCH(C9,Entradas!$A$40:$A$46,0))</f>
        <v>cetes</v>
      </c>
      <c r="G9" s="15">
        <f>IF(F9="cetes",INDEX(Entradas!$F$40:$F$46,MATCH(C9,Entradas!$A$40:$A$46,0)),"")</f>
        <v>46303</v>
      </c>
      <c r="H9" s="17">
        <f>IF(F9="cetes",INDEX(Entradas!$G$40:$G$46,MATCH(C9,Entradas!$A$40:$A$46,0)),"")</f>
        <v>10</v>
      </c>
      <c r="I9" s="14">
        <f>IF(F9="cetes",IF(A9&gt;=G9,0,SUMIFS(Transacciones!$N$5:$N$20,Transacciones!$T$5:$T$20,E9,Transacciones!$F$5:$F$20,"&lt;="&amp;A9)),SUMIFS(Transacciones!$N$5:$N$20,Transacciones!$T$5:$T$20,E9,Transacciones!$F$5:$F$20,"&lt;="&amp;A9))</f>
        <v>1500</v>
      </c>
      <c r="J9" s="14">
        <f>_xlfn.MAXIFS(Transacciones!$U$5:$U$20,Transacciones!$T$5:$T$20,E9,Transacciones!$F$5:$F$20,"&lt;="&amp;A9)</f>
        <v>46275003</v>
      </c>
      <c r="K9" s="18">
        <f>IF(I9=0,0,INDEX(Transacciones!$Z$5:$Z$20,MATCH(J9,Transacciones!$U$5:$U$20,0)))</f>
        <v>9.9516240000000007</v>
      </c>
      <c r="L9" s="17">
        <f t="shared" si="1"/>
        <v>14927.436000000002</v>
      </c>
      <c r="M9" s="15">
        <f>IF(F9="cetes",IF(COUNTIFS(CETES!$A$5:$A$95,A9,CETES!$B$5:$B$95,C9)=0,"",A9),SUMIFS(Precios!$K$5:$K$109,Precios!$I$5:$I$109,A9,Precios!$J$5:$J$109,C9))</f>
        <v>46275</v>
      </c>
      <c r="N9" s="18">
        <f>IF(F9="cetes",IF(COUNTIFS(CETES!$A$5:$A$95,A9,CETES!$B$5:$B$95,C9)=0,"",SUMIFS(CETES!$AF$5:$AF$95,CETES!$A$5:$A$95,A9,CETES!$B$5:$B$95,C9)),SUMIFS(Precios!$L$5:$L$109,Precios!$I$5:$I$109,A9,Precios!$J$5:$J$109,C9))</f>
        <v>9.9516240000000007</v>
      </c>
      <c r="O9" s="17">
        <f t="shared" si="2"/>
        <v>14927.436000000002</v>
      </c>
      <c r="P9" s="17">
        <f t="shared" si="3"/>
        <v>0</v>
      </c>
      <c r="Q9" s="17">
        <f>IF(F9="cetes",IF(A9=G9,SUMIFS(Transacciones!$N$5:$N$20,Transacciones!$T$5:$T$20,E9,Transacciones!$F$5:$F$20,"&lt;"&amp;A9)*H9,0),0)</f>
        <v>0</v>
      </c>
      <c r="R9" s="11" t="str">
        <f>IF(COUNTIF(Entradas!$A$14:$A$17,A9)&gt;0,"sí","")</f>
        <v/>
      </c>
      <c r="S9" s="11" t="str">
        <f t="shared" si="4"/>
        <v>46275|Principal|BI261008|Casa A</v>
      </c>
    </row>
    <row r="10" spans="1:19" x14ac:dyDescent="0.3">
      <c r="A10" s="20">
        <v>46275</v>
      </c>
      <c r="B10" s="21" t="s">
        <v>94</v>
      </c>
      <c r="C10" s="21" t="s">
        <v>132</v>
      </c>
      <c r="D10" s="21" t="s">
        <v>113</v>
      </c>
      <c r="E10" s="11" t="str">
        <f t="shared" si="0"/>
        <v>Principal|BI261008|Casa B</v>
      </c>
      <c r="F10" s="11" t="str">
        <f>INDEX(Entradas!$C$40:$C$46,MATCH(C10,Entradas!$A$40:$A$46,0))</f>
        <v>cetes</v>
      </c>
      <c r="G10" s="15">
        <f>IF(F10="cetes",INDEX(Entradas!$F$40:$F$46,MATCH(C10,Entradas!$A$40:$A$46,0)),"")</f>
        <v>46303</v>
      </c>
      <c r="H10" s="17">
        <f>IF(F10="cetes",INDEX(Entradas!$G$40:$G$46,MATCH(C10,Entradas!$A$40:$A$46,0)),"")</f>
        <v>10</v>
      </c>
      <c r="I10" s="14">
        <f>IF(F10="cetes",IF(A10&gt;=G10,0,SUMIFS(Transacciones!$N$5:$N$20,Transacciones!$T$5:$T$20,E10,Transacciones!$F$5:$F$20,"&lt;="&amp;A10)),SUMIFS(Transacciones!$N$5:$N$20,Transacciones!$T$5:$T$20,E10,Transacciones!$F$5:$F$20,"&lt;="&amp;A10))</f>
        <v>1000</v>
      </c>
      <c r="J10" s="14">
        <f>_xlfn.MAXIFS(Transacciones!$U$5:$U$20,Transacciones!$T$5:$T$20,E10,Transacciones!$F$5:$F$20,"&lt;="&amp;A10)</f>
        <v>46275004</v>
      </c>
      <c r="K10" s="18">
        <f>IF(I10=0,0,INDEX(Transacciones!$Z$5:$Z$20,MATCH(J10,Transacciones!$U$5:$U$20,0)))</f>
        <v>9.9516239999999989</v>
      </c>
      <c r="L10" s="17">
        <f t="shared" si="1"/>
        <v>9951.6239999999998</v>
      </c>
      <c r="M10" s="15">
        <f>IF(F10="cetes",IF(COUNTIFS(CETES!$A$5:$A$95,A10,CETES!$B$5:$B$95,C10)=0,"",A10),SUMIFS(Precios!$K$5:$K$109,Precios!$I$5:$I$109,A10,Precios!$J$5:$J$109,C10))</f>
        <v>46275</v>
      </c>
      <c r="N10" s="18">
        <f>IF(F10="cetes",IF(COUNTIFS(CETES!$A$5:$A$95,A10,CETES!$B$5:$B$95,C10)=0,"",SUMIFS(CETES!$AF$5:$AF$95,CETES!$A$5:$A$95,A10,CETES!$B$5:$B$95,C10)),SUMIFS(Precios!$L$5:$L$109,Precios!$I$5:$I$109,A10,Precios!$J$5:$J$109,C10))</f>
        <v>9.9516240000000007</v>
      </c>
      <c r="O10" s="17">
        <f t="shared" si="2"/>
        <v>9951.6239999999998</v>
      </c>
      <c r="P10" s="17">
        <f t="shared" si="3"/>
        <v>0</v>
      </c>
      <c r="Q10" s="17">
        <f>IF(F10="cetes",IF(A10=G10,SUMIFS(Transacciones!$N$5:$N$20,Transacciones!$T$5:$T$20,E10,Transacciones!$F$5:$F$20,"&lt;"&amp;A10)*H10,0),0)</f>
        <v>0</v>
      </c>
      <c r="R10" s="11" t="str">
        <f>IF(COUNTIF(Entradas!$A$14:$A$17,A10)&gt;0,"sí","")</f>
        <v/>
      </c>
      <c r="S10" s="11" t="str">
        <f t="shared" si="4"/>
        <v>46275|Principal|BI261008|Casa B</v>
      </c>
    </row>
    <row r="11" spans="1:19" x14ac:dyDescent="0.3">
      <c r="A11" s="20">
        <v>46275</v>
      </c>
      <c r="B11" s="21" t="s">
        <v>94</v>
      </c>
      <c r="C11" s="21" t="s">
        <v>135</v>
      </c>
      <c r="D11" s="21" t="s">
        <v>113</v>
      </c>
      <c r="E11" s="11" t="str">
        <f t="shared" si="0"/>
        <v>Principal|BI261105|Casa B</v>
      </c>
      <c r="F11" s="11" t="str">
        <f>INDEX(Entradas!$C$40:$C$46,MATCH(C11,Entradas!$A$40:$A$46,0))</f>
        <v>cetes</v>
      </c>
      <c r="G11" s="15">
        <f>IF(F11="cetes",INDEX(Entradas!$F$40:$F$46,MATCH(C11,Entradas!$A$40:$A$46,0)),"")</f>
        <v>46331</v>
      </c>
      <c r="H11" s="17">
        <f>IF(F11="cetes",INDEX(Entradas!$G$40:$G$46,MATCH(C11,Entradas!$A$40:$A$46,0)),"")</f>
        <v>10</v>
      </c>
      <c r="I11" s="14">
        <f>IF(F11="cetes",IF(A11&gt;=G11,0,SUMIFS(Transacciones!$N$5:$N$20,Transacciones!$T$5:$T$20,E11,Transacciones!$F$5:$F$20,"&lt;="&amp;A11)),SUMIFS(Transacciones!$N$5:$N$20,Transacciones!$T$5:$T$20,E11,Transacciones!$F$5:$F$20,"&lt;="&amp;A11))</f>
        <v>0</v>
      </c>
      <c r="J11" s="14">
        <f>_xlfn.MAXIFS(Transacciones!$U$5:$U$20,Transacciones!$T$5:$T$20,E11,Transacciones!$F$5:$F$20,"&lt;="&amp;A11)</f>
        <v>0</v>
      </c>
      <c r="K11" s="18">
        <f>IF(I11=0,0,INDEX(Transacciones!$Z$5:$Z$20,MATCH(J11,Transacciones!$U$5:$U$20,0)))</f>
        <v>0</v>
      </c>
      <c r="L11" s="17">
        <f t="shared" si="1"/>
        <v>0</v>
      </c>
      <c r="M11" s="15" t="str">
        <f>IF(F11="cetes",IF(COUNTIFS(CETES!$A$5:$A$95,A11,CETES!$B$5:$B$95,C11)=0,"",A11),SUMIFS(Precios!$K$5:$K$109,Precios!$I$5:$I$109,A11,Precios!$J$5:$J$109,C11))</f>
        <v/>
      </c>
      <c r="N11" s="18" t="str">
        <f>IF(F11="cetes",IF(COUNTIFS(CETES!$A$5:$A$95,A11,CETES!$B$5:$B$95,C11)=0,"",SUMIFS(CETES!$AF$5:$AF$95,CETES!$A$5:$A$95,A11,CETES!$B$5:$B$95,C11)),SUMIFS(Precios!$L$5:$L$109,Precios!$I$5:$I$109,A11,Precios!$J$5:$J$109,C11))</f>
        <v/>
      </c>
      <c r="O11" s="17">
        <f t="shared" si="2"/>
        <v>0</v>
      </c>
      <c r="P11" s="17">
        <f t="shared" si="3"/>
        <v>0</v>
      </c>
      <c r="Q11" s="17">
        <f>IF(F11="cetes",IF(A11=G11,SUMIFS(Transacciones!$N$5:$N$20,Transacciones!$T$5:$T$20,E11,Transacciones!$F$5:$F$20,"&lt;"&amp;A11)*H11,0),0)</f>
        <v>0</v>
      </c>
      <c r="R11" s="11" t="str">
        <f>IF(COUNTIF(Entradas!$A$14:$A$17,A11)&gt;0,"sí","")</f>
        <v/>
      </c>
      <c r="S11" s="11" t="str">
        <f t="shared" si="4"/>
        <v>46275|Principal|BI261105|Casa B</v>
      </c>
    </row>
    <row r="12" spans="1:19" x14ac:dyDescent="0.3">
      <c r="A12" s="20">
        <v>46275</v>
      </c>
      <c r="B12" s="21" t="s">
        <v>94</v>
      </c>
      <c r="C12" s="21" t="s">
        <v>137</v>
      </c>
      <c r="D12" s="21" t="s">
        <v>112</v>
      </c>
      <c r="E12" s="11" t="str">
        <f t="shared" si="0"/>
        <v>Principal|BI261217|Casa A</v>
      </c>
      <c r="F12" s="11" t="str">
        <f>INDEX(Entradas!$C$40:$C$46,MATCH(C12,Entradas!$A$40:$A$46,0))</f>
        <v>cetes</v>
      </c>
      <c r="G12" s="15">
        <f>IF(F12="cetes",INDEX(Entradas!$F$40:$F$46,MATCH(C12,Entradas!$A$40:$A$46,0)),"")</f>
        <v>46373</v>
      </c>
      <c r="H12" s="17">
        <f>IF(F12="cetes",INDEX(Entradas!$G$40:$G$46,MATCH(C12,Entradas!$A$40:$A$46,0)),"")</f>
        <v>10</v>
      </c>
      <c r="I12" s="14">
        <f>IF(F12="cetes",IF(A12&gt;=G12,0,SUMIFS(Transacciones!$N$5:$N$20,Transacciones!$T$5:$T$20,E12,Transacciones!$F$5:$F$20,"&lt;="&amp;A12)),SUMIFS(Transacciones!$N$5:$N$20,Transacciones!$T$5:$T$20,E12,Transacciones!$F$5:$F$20,"&lt;="&amp;A12))</f>
        <v>0</v>
      </c>
      <c r="J12" s="14">
        <f>_xlfn.MAXIFS(Transacciones!$U$5:$U$20,Transacciones!$T$5:$T$20,E12,Transacciones!$F$5:$F$20,"&lt;="&amp;A12)</f>
        <v>0</v>
      </c>
      <c r="K12" s="18">
        <f>IF(I12=0,0,INDEX(Transacciones!$Z$5:$Z$20,MATCH(J12,Transacciones!$U$5:$U$20,0)))</f>
        <v>0</v>
      </c>
      <c r="L12" s="17">
        <f t="shared" si="1"/>
        <v>0</v>
      </c>
      <c r="M12" s="15" t="str">
        <f>IF(F12="cetes",IF(COUNTIFS(CETES!$A$5:$A$95,A12,CETES!$B$5:$B$95,C12)=0,"",A12),SUMIFS(Precios!$K$5:$K$109,Precios!$I$5:$I$109,A12,Precios!$J$5:$J$109,C12))</f>
        <v/>
      </c>
      <c r="N12" s="18" t="str">
        <f>IF(F12="cetes",IF(COUNTIFS(CETES!$A$5:$A$95,A12,CETES!$B$5:$B$95,C12)=0,"",SUMIFS(CETES!$AF$5:$AF$95,CETES!$A$5:$A$95,A12,CETES!$B$5:$B$95,C12)),SUMIFS(Precios!$L$5:$L$109,Precios!$I$5:$I$109,A12,Precios!$J$5:$J$109,C12))</f>
        <v/>
      </c>
      <c r="O12" s="17">
        <f t="shared" si="2"/>
        <v>0</v>
      </c>
      <c r="P12" s="17">
        <f t="shared" si="3"/>
        <v>0</v>
      </c>
      <c r="Q12" s="17">
        <f>IF(F12="cetes",IF(A12=G12,SUMIFS(Transacciones!$N$5:$N$20,Transacciones!$T$5:$T$20,E12,Transacciones!$F$5:$F$20,"&lt;"&amp;A12)*H12,0),0)</f>
        <v>0</v>
      </c>
      <c r="R12" s="11" t="str">
        <f>IF(COUNTIF(Entradas!$A$14:$A$17,A12)&gt;0,"sí","")</f>
        <v/>
      </c>
      <c r="S12" s="11" t="str">
        <f t="shared" si="4"/>
        <v>46275|Principal|BI261217|Casa A</v>
      </c>
    </row>
    <row r="13" spans="1:19" x14ac:dyDescent="0.3">
      <c r="A13" s="20">
        <v>46275</v>
      </c>
      <c r="B13" s="21" t="s">
        <v>94</v>
      </c>
      <c r="C13" s="21" t="s">
        <v>139</v>
      </c>
      <c r="D13" s="21" t="s">
        <v>113</v>
      </c>
      <c r="E13" s="11" t="str">
        <f t="shared" si="0"/>
        <v>Principal|BI270318|Casa B</v>
      </c>
      <c r="F13" s="11" t="str">
        <f>INDEX(Entradas!$C$40:$C$46,MATCH(C13,Entradas!$A$40:$A$46,0))</f>
        <v>cetes</v>
      </c>
      <c r="G13" s="15">
        <f>IF(F13="cetes",INDEX(Entradas!$F$40:$F$46,MATCH(C13,Entradas!$A$40:$A$46,0)),"")</f>
        <v>46464</v>
      </c>
      <c r="H13" s="17">
        <f>IF(F13="cetes",INDEX(Entradas!$G$40:$G$46,MATCH(C13,Entradas!$A$40:$A$46,0)),"")</f>
        <v>10</v>
      </c>
      <c r="I13" s="14">
        <f>IF(F13="cetes",IF(A13&gt;=G13,0,SUMIFS(Transacciones!$N$5:$N$20,Transacciones!$T$5:$T$20,E13,Transacciones!$F$5:$F$20,"&lt;="&amp;A13)),SUMIFS(Transacciones!$N$5:$N$20,Transacciones!$T$5:$T$20,E13,Transacciones!$F$5:$F$20,"&lt;="&amp;A13))</f>
        <v>0</v>
      </c>
      <c r="J13" s="14">
        <f>_xlfn.MAXIFS(Transacciones!$U$5:$U$20,Transacciones!$T$5:$T$20,E13,Transacciones!$F$5:$F$20,"&lt;="&amp;A13)</f>
        <v>0</v>
      </c>
      <c r="K13" s="18">
        <f>IF(I13=0,0,INDEX(Transacciones!$Z$5:$Z$20,MATCH(J13,Transacciones!$U$5:$U$20,0)))</f>
        <v>0</v>
      </c>
      <c r="L13" s="17">
        <f t="shared" si="1"/>
        <v>0</v>
      </c>
      <c r="M13" s="15" t="str">
        <f>IF(F13="cetes",IF(COUNTIFS(CETES!$A$5:$A$95,A13,CETES!$B$5:$B$95,C13)=0,"",A13),SUMIFS(Precios!$K$5:$K$109,Precios!$I$5:$I$109,A13,Precios!$J$5:$J$109,C13))</f>
        <v/>
      </c>
      <c r="N13" s="18" t="str">
        <f>IF(F13="cetes",IF(COUNTIFS(CETES!$A$5:$A$95,A13,CETES!$B$5:$B$95,C13)=0,"",SUMIFS(CETES!$AF$5:$AF$95,CETES!$A$5:$A$95,A13,CETES!$B$5:$B$95,C13)),SUMIFS(Precios!$L$5:$L$109,Precios!$I$5:$I$109,A13,Precios!$J$5:$J$109,C13))</f>
        <v/>
      </c>
      <c r="O13" s="17">
        <f t="shared" si="2"/>
        <v>0</v>
      </c>
      <c r="P13" s="17">
        <f t="shared" si="3"/>
        <v>0</v>
      </c>
      <c r="Q13" s="17">
        <f>IF(F13="cetes",IF(A13=G13,SUMIFS(Transacciones!$N$5:$N$20,Transacciones!$T$5:$T$20,E13,Transacciones!$F$5:$F$20,"&lt;"&amp;A13)*H13,0),0)</f>
        <v>0</v>
      </c>
      <c r="R13" s="11" t="str">
        <f>IF(COUNTIF(Entradas!$A$14:$A$17,A13)&gt;0,"sí","")</f>
        <v/>
      </c>
      <c r="S13" s="11" t="str">
        <f t="shared" si="4"/>
        <v>46275|Principal|BI270318|Casa B</v>
      </c>
    </row>
    <row r="14" spans="1:19" x14ac:dyDescent="0.3">
      <c r="A14" s="20">
        <v>46275</v>
      </c>
      <c r="B14" s="21" t="s">
        <v>103</v>
      </c>
      <c r="C14" s="21" t="s">
        <v>123</v>
      </c>
      <c r="D14" s="21" t="s">
        <v>112</v>
      </c>
      <c r="E14" s="11" t="str">
        <f t="shared" si="0"/>
        <v>Secundario|DEMOACC|Casa A</v>
      </c>
      <c r="F14" s="11" t="str">
        <f>INDEX(Entradas!$C$40:$C$46,MATCH(C14,Entradas!$A$40:$A$46,0))</f>
        <v>accion</v>
      </c>
      <c r="G14" s="15" t="str">
        <f>IF(F14="cetes",INDEX(Entradas!$F$40:$F$46,MATCH(C14,Entradas!$A$40:$A$46,0)),"")</f>
        <v/>
      </c>
      <c r="H14" s="17" t="str">
        <f>IF(F14="cetes",INDEX(Entradas!$G$40:$G$46,MATCH(C14,Entradas!$A$40:$A$46,0)),"")</f>
        <v/>
      </c>
      <c r="I14" s="14">
        <f>IF(F14="cetes",IF(A14&gt;=G14,0,SUMIFS(Transacciones!$N$5:$N$20,Transacciones!$T$5:$T$20,E14,Transacciones!$F$5:$F$20,"&lt;="&amp;A14)),SUMIFS(Transacciones!$N$5:$N$20,Transacciones!$T$5:$T$20,E14,Transacciones!$F$5:$F$20,"&lt;="&amp;A14))</f>
        <v>0</v>
      </c>
      <c r="J14" s="14">
        <f>_xlfn.MAXIFS(Transacciones!$U$5:$U$20,Transacciones!$T$5:$T$20,E14,Transacciones!$F$5:$F$20,"&lt;="&amp;A14)</f>
        <v>0</v>
      </c>
      <c r="K14" s="18">
        <f>IF(I14=0,0,INDEX(Transacciones!$Z$5:$Z$20,MATCH(J14,Transacciones!$U$5:$U$20,0)))</f>
        <v>0</v>
      </c>
      <c r="L14" s="17">
        <f t="shared" si="1"/>
        <v>0</v>
      </c>
      <c r="M14" s="15">
        <f>IF(F14="cetes",IF(COUNTIFS(CETES!$A$5:$A$95,A14,CETES!$B$5:$B$95,C14)=0,"",A14),SUMIFS(Precios!$K$5:$K$109,Precios!$I$5:$I$109,A14,Precios!$J$5:$J$109,C14))</f>
        <v>46275</v>
      </c>
      <c r="N14" s="18">
        <f>IF(F14="cetes",IF(COUNTIFS(CETES!$A$5:$A$95,A14,CETES!$B$5:$B$95,C14)=0,"",SUMIFS(CETES!$AF$5:$AF$95,CETES!$A$5:$A$95,A14,CETES!$B$5:$B$95,C14)),SUMIFS(Precios!$L$5:$L$109,Precios!$I$5:$I$109,A14,Precios!$J$5:$J$109,C14))</f>
        <v>100.2</v>
      </c>
      <c r="O14" s="17">
        <f t="shared" si="2"/>
        <v>0</v>
      </c>
      <c r="P14" s="17">
        <f t="shared" si="3"/>
        <v>0</v>
      </c>
      <c r="Q14" s="17">
        <f>IF(F14="cetes",IF(A14=G14,SUMIFS(Transacciones!$N$5:$N$20,Transacciones!$T$5:$T$20,E14,Transacciones!$F$5:$F$20,"&lt;"&amp;A14)*H14,0),0)</f>
        <v>0</v>
      </c>
      <c r="R14" s="11" t="str">
        <f>IF(COUNTIF(Entradas!$A$14:$A$17,A14)&gt;0,"sí","")</f>
        <v/>
      </c>
      <c r="S14" s="11" t="str">
        <f t="shared" si="4"/>
        <v>46275|Secundario|DEMOACC|Casa A</v>
      </c>
    </row>
    <row r="15" spans="1:19" x14ac:dyDescent="0.3">
      <c r="A15" s="20">
        <v>46276</v>
      </c>
      <c r="B15" s="21" t="s">
        <v>94</v>
      </c>
      <c r="C15" s="21" t="s">
        <v>123</v>
      </c>
      <c r="D15" s="21" t="s">
        <v>112</v>
      </c>
      <c r="E15" s="11" t="str">
        <f t="shared" si="0"/>
        <v>Principal|DEMOACC|Casa A</v>
      </c>
      <c r="F15" s="11" t="str">
        <f>INDEX(Entradas!$C$40:$C$46,MATCH(C15,Entradas!$A$40:$A$46,0))</f>
        <v>accion</v>
      </c>
      <c r="G15" s="15" t="str">
        <f>IF(F15="cetes",INDEX(Entradas!$F$40:$F$46,MATCH(C15,Entradas!$A$40:$A$46,0)),"")</f>
        <v/>
      </c>
      <c r="H15" s="17" t="str">
        <f>IF(F15="cetes",INDEX(Entradas!$G$40:$G$46,MATCH(C15,Entradas!$A$40:$A$46,0)),"")</f>
        <v/>
      </c>
      <c r="I15" s="14">
        <f>IF(F15="cetes",IF(A15&gt;=G15,0,SUMIFS(Transacciones!$N$5:$N$20,Transacciones!$T$5:$T$20,E15,Transacciones!$F$5:$F$20,"&lt;="&amp;A15)),SUMIFS(Transacciones!$N$5:$N$20,Transacciones!$T$5:$T$20,E15,Transacciones!$F$5:$F$20,"&lt;="&amp;A15))</f>
        <v>200</v>
      </c>
      <c r="J15" s="14">
        <f>_xlfn.MAXIFS(Transacciones!$U$5:$U$20,Transacciones!$T$5:$T$20,E15,Transacciones!$F$5:$F$20,"&lt;="&amp;A15)</f>
        <v>46275001</v>
      </c>
      <c r="K15" s="18">
        <f>IF(I15=0,0,INDEX(Transacciones!$Z$5:$Z$20,MATCH(J15,Transacciones!$U$5:$U$20,0)))</f>
        <v>100.23985</v>
      </c>
      <c r="L15" s="17">
        <f t="shared" si="1"/>
        <v>20047.97</v>
      </c>
      <c r="M15" s="15">
        <f>IF(F15="cetes",IF(COUNTIFS(CETES!$A$5:$A$95,A15,CETES!$B$5:$B$95,C15)=0,"",A15),SUMIFS(Precios!$K$5:$K$109,Precios!$I$5:$I$109,A15,Precios!$J$5:$J$109,C15))</f>
        <v>46276</v>
      </c>
      <c r="N15" s="18">
        <f>IF(F15="cetes",IF(COUNTIFS(CETES!$A$5:$A$95,A15,CETES!$B$5:$B$95,C15)=0,"",SUMIFS(CETES!$AF$5:$AF$95,CETES!$A$5:$A$95,A15,CETES!$B$5:$B$95,C15)),SUMIFS(Precios!$L$5:$L$109,Precios!$I$5:$I$109,A15,Precios!$J$5:$J$109,C15))</f>
        <v>101.85</v>
      </c>
      <c r="O15" s="17">
        <f t="shared" si="2"/>
        <v>20370</v>
      </c>
      <c r="P15" s="17">
        <f t="shared" si="3"/>
        <v>322.02999999999884</v>
      </c>
      <c r="Q15" s="17">
        <f>IF(F15="cetes",IF(A15=G15,SUMIFS(Transacciones!$N$5:$N$20,Transacciones!$T$5:$T$20,E15,Transacciones!$F$5:$F$20,"&lt;"&amp;A15)*H15,0),0)</f>
        <v>0</v>
      </c>
      <c r="R15" s="11" t="str">
        <f>IF(COUNTIF(Entradas!$A$14:$A$17,A15)&gt;0,"sí","")</f>
        <v/>
      </c>
      <c r="S15" s="11" t="str">
        <f t="shared" si="4"/>
        <v>46276|Principal|DEMOACC|Casa A</v>
      </c>
    </row>
    <row r="16" spans="1:19" x14ac:dyDescent="0.3">
      <c r="A16" s="20">
        <v>46276</v>
      </c>
      <c r="B16" s="21" t="s">
        <v>94</v>
      </c>
      <c r="C16" s="21" t="s">
        <v>123</v>
      </c>
      <c r="D16" s="21" t="s">
        <v>113</v>
      </c>
      <c r="E16" s="11" t="str">
        <f t="shared" si="0"/>
        <v>Principal|DEMOACC|Casa B</v>
      </c>
      <c r="F16" s="11" t="str">
        <f>INDEX(Entradas!$C$40:$C$46,MATCH(C16,Entradas!$A$40:$A$46,0))</f>
        <v>accion</v>
      </c>
      <c r="G16" s="15" t="str">
        <f>IF(F16="cetes",INDEX(Entradas!$F$40:$F$46,MATCH(C16,Entradas!$A$40:$A$46,0)),"")</f>
        <v/>
      </c>
      <c r="H16" s="17" t="str">
        <f>IF(F16="cetes",INDEX(Entradas!$G$40:$G$46,MATCH(C16,Entradas!$A$40:$A$46,0)),"")</f>
        <v/>
      </c>
      <c r="I16" s="14">
        <f>IF(F16="cetes",IF(A16&gt;=G16,0,SUMIFS(Transacciones!$N$5:$N$20,Transacciones!$T$5:$T$20,E16,Transacciones!$F$5:$F$20,"&lt;="&amp;A16)),SUMIFS(Transacciones!$N$5:$N$20,Transacciones!$T$5:$T$20,E16,Transacciones!$F$5:$F$20,"&lt;="&amp;A16))</f>
        <v>0</v>
      </c>
      <c r="J16" s="14">
        <f>_xlfn.MAXIFS(Transacciones!$U$5:$U$20,Transacciones!$T$5:$T$20,E16,Transacciones!$F$5:$F$20,"&lt;="&amp;A16)</f>
        <v>0</v>
      </c>
      <c r="K16" s="18">
        <f>IF(I16=0,0,INDEX(Transacciones!$Z$5:$Z$20,MATCH(J16,Transacciones!$U$5:$U$20,0)))</f>
        <v>0</v>
      </c>
      <c r="L16" s="17">
        <f t="shared" si="1"/>
        <v>0</v>
      </c>
      <c r="M16" s="15">
        <f>IF(F16="cetes",IF(COUNTIFS(CETES!$A$5:$A$95,A16,CETES!$B$5:$B$95,C16)=0,"",A16),SUMIFS(Precios!$K$5:$K$109,Precios!$I$5:$I$109,A16,Precios!$J$5:$J$109,C16))</f>
        <v>46276</v>
      </c>
      <c r="N16" s="18">
        <f>IF(F16="cetes",IF(COUNTIFS(CETES!$A$5:$A$95,A16,CETES!$B$5:$B$95,C16)=0,"",SUMIFS(CETES!$AF$5:$AF$95,CETES!$A$5:$A$95,A16,CETES!$B$5:$B$95,C16)),SUMIFS(Precios!$L$5:$L$109,Precios!$I$5:$I$109,A16,Precios!$J$5:$J$109,C16))</f>
        <v>101.85</v>
      </c>
      <c r="O16" s="17">
        <f t="shared" si="2"/>
        <v>0</v>
      </c>
      <c r="P16" s="17">
        <f t="shared" si="3"/>
        <v>0</v>
      </c>
      <c r="Q16" s="17">
        <f>IF(F16="cetes",IF(A16=G16,SUMIFS(Transacciones!$N$5:$N$20,Transacciones!$T$5:$T$20,E16,Transacciones!$F$5:$F$20,"&lt;"&amp;A16)*H16,0),0)</f>
        <v>0</v>
      </c>
      <c r="R16" s="11" t="str">
        <f>IF(COUNTIF(Entradas!$A$14:$A$17,A16)&gt;0,"sí","")</f>
        <v/>
      </c>
      <c r="S16" s="11" t="str">
        <f t="shared" si="4"/>
        <v>46276|Principal|DEMOACC|Casa B</v>
      </c>
    </row>
    <row r="17" spans="1:19" x14ac:dyDescent="0.3">
      <c r="A17" s="20">
        <v>46276</v>
      </c>
      <c r="B17" s="21" t="s">
        <v>94</v>
      </c>
      <c r="C17" s="21" t="s">
        <v>126</v>
      </c>
      <c r="D17" s="21" t="s">
        <v>113</v>
      </c>
      <c r="E17" s="11" t="str">
        <f t="shared" si="0"/>
        <v>Principal|DEMOETF|Casa B</v>
      </c>
      <c r="F17" s="11" t="str">
        <f>INDEX(Entradas!$C$40:$C$46,MATCH(C17,Entradas!$A$40:$A$46,0))</f>
        <v>etf</v>
      </c>
      <c r="G17" s="15" t="str">
        <f>IF(F17="cetes",INDEX(Entradas!$F$40:$F$46,MATCH(C17,Entradas!$A$40:$A$46,0)),"")</f>
        <v/>
      </c>
      <c r="H17" s="17" t="str">
        <f>IF(F17="cetes",INDEX(Entradas!$G$40:$G$46,MATCH(C17,Entradas!$A$40:$A$46,0)),"")</f>
        <v/>
      </c>
      <c r="I17" s="14">
        <f>IF(F17="cetes",IF(A17&gt;=G17,0,SUMIFS(Transacciones!$N$5:$N$20,Transacciones!$T$5:$T$20,E17,Transacciones!$F$5:$F$20,"&lt;="&amp;A17)),SUMIFS(Transacciones!$N$5:$N$20,Transacciones!$T$5:$T$20,E17,Transacciones!$F$5:$F$20,"&lt;="&amp;A17))</f>
        <v>100</v>
      </c>
      <c r="J17" s="14">
        <f>_xlfn.MAXIFS(Transacciones!$U$5:$U$20,Transacciones!$T$5:$T$20,E17,Transacciones!$F$5:$F$20,"&lt;="&amp;A17)</f>
        <v>46275002</v>
      </c>
      <c r="K17" s="18">
        <f>IF(I17=0,0,INDEX(Transacciones!$Z$5:$Z$20,MATCH(J17,Transacciones!$U$5:$U$20,0)))</f>
        <v>50.195100000000004</v>
      </c>
      <c r="L17" s="17">
        <f t="shared" si="1"/>
        <v>5019.51</v>
      </c>
      <c r="M17" s="15">
        <f>IF(F17="cetes",IF(COUNTIFS(CETES!$A$5:$A$95,A17,CETES!$B$5:$B$95,C17)=0,"",A17),SUMIFS(Precios!$K$5:$K$109,Precios!$I$5:$I$109,A17,Precios!$J$5:$J$109,C17))</f>
        <v>46276</v>
      </c>
      <c r="N17" s="18">
        <f>IF(F17="cetes",IF(COUNTIFS(CETES!$A$5:$A$95,A17,CETES!$B$5:$B$95,C17)=0,"",SUMIFS(CETES!$AF$5:$AF$95,CETES!$A$5:$A$95,A17,CETES!$B$5:$B$95,C17)),SUMIFS(Precios!$L$5:$L$109,Precios!$I$5:$I$109,A17,Precios!$J$5:$J$109,C17))</f>
        <v>50.62</v>
      </c>
      <c r="O17" s="17">
        <f t="shared" si="2"/>
        <v>5062</v>
      </c>
      <c r="P17" s="17">
        <f t="shared" si="3"/>
        <v>42.489999999999782</v>
      </c>
      <c r="Q17" s="17">
        <f>IF(F17="cetes",IF(A17=G17,SUMIFS(Transacciones!$N$5:$N$20,Transacciones!$T$5:$T$20,E17,Transacciones!$F$5:$F$20,"&lt;"&amp;A17)*H17,0),0)</f>
        <v>0</v>
      </c>
      <c r="R17" s="11" t="str">
        <f>IF(COUNTIF(Entradas!$A$14:$A$17,A17)&gt;0,"sí","")</f>
        <v/>
      </c>
      <c r="S17" s="11" t="str">
        <f t="shared" si="4"/>
        <v>46276|Principal|DEMOETF|Casa B</v>
      </c>
    </row>
    <row r="18" spans="1:19" x14ac:dyDescent="0.3">
      <c r="A18" s="20">
        <v>46276</v>
      </c>
      <c r="B18" s="21" t="s">
        <v>94</v>
      </c>
      <c r="C18" s="21" t="s">
        <v>129</v>
      </c>
      <c r="D18" s="21" t="s">
        <v>112</v>
      </c>
      <c r="E18" s="11" t="str">
        <f t="shared" si="0"/>
        <v>Principal|DEMOFIB|Casa A</v>
      </c>
      <c r="F18" s="11" t="str">
        <f>INDEX(Entradas!$C$40:$C$46,MATCH(C18,Entradas!$A$40:$A$46,0))</f>
        <v>fibra</v>
      </c>
      <c r="G18" s="15" t="str">
        <f>IF(F18="cetes",INDEX(Entradas!$F$40:$F$46,MATCH(C18,Entradas!$A$40:$A$46,0)),"")</f>
        <v/>
      </c>
      <c r="H18" s="17" t="str">
        <f>IF(F18="cetes",INDEX(Entradas!$G$40:$G$46,MATCH(C18,Entradas!$A$40:$A$46,0)),"")</f>
        <v/>
      </c>
      <c r="I18" s="14">
        <f>IF(F18="cetes",IF(A18&gt;=G18,0,SUMIFS(Transacciones!$N$5:$N$20,Transacciones!$T$5:$T$20,E18,Transacciones!$F$5:$F$20,"&lt;="&amp;A18)),SUMIFS(Transacciones!$N$5:$N$20,Transacciones!$T$5:$T$20,E18,Transacciones!$F$5:$F$20,"&lt;="&amp;A18))</f>
        <v>400</v>
      </c>
      <c r="J18" s="14">
        <f>_xlfn.MAXIFS(Transacciones!$U$5:$U$20,Transacciones!$T$5:$T$20,E18,Transacciones!$F$5:$F$20,"&lt;="&amp;A18)</f>
        <v>46276005</v>
      </c>
      <c r="K18" s="18">
        <f>IF(I18=0,0,INDEX(Transacciones!$Z$5:$Z$20,MATCH(J18,Transacciones!$U$5:$U$20,0)))</f>
        <v>25.054949999999998</v>
      </c>
      <c r="L18" s="17">
        <f t="shared" si="1"/>
        <v>10021.98</v>
      </c>
      <c r="M18" s="15">
        <f>IF(F18="cetes",IF(COUNTIFS(CETES!$A$5:$A$95,A18,CETES!$B$5:$B$95,C18)=0,"",A18),SUMIFS(Precios!$K$5:$K$109,Precios!$I$5:$I$109,A18,Precios!$J$5:$J$109,C18))</f>
        <v>46276</v>
      </c>
      <c r="N18" s="18">
        <f>IF(F18="cetes",IF(COUNTIFS(CETES!$A$5:$A$95,A18,CETES!$B$5:$B$95,C18)=0,"",SUMIFS(CETES!$AF$5:$AF$95,CETES!$A$5:$A$95,A18,CETES!$B$5:$B$95,C18)),SUMIFS(Precios!$L$5:$L$109,Precios!$I$5:$I$109,A18,Precios!$J$5:$J$109,C18))</f>
        <v>25.015000000000001</v>
      </c>
      <c r="O18" s="17">
        <f t="shared" si="2"/>
        <v>10006</v>
      </c>
      <c r="P18" s="17">
        <f t="shared" si="3"/>
        <v>-15.979999999999563</v>
      </c>
      <c r="Q18" s="17">
        <f>IF(F18="cetes",IF(A18=G18,SUMIFS(Transacciones!$N$5:$N$20,Transacciones!$T$5:$T$20,E18,Transacciones!$F$5:$F$20,"&lt;"&amp;A18)*H18,0),0)</f>
        <v>0</v>
      </c>
      <c r="R18" s="11" t="str">
        <f>IF(COUNTIF(Entradas!$A$14:$A$17,A18)&gt;0,"sí","")</f>
        <v/>
      </c>
      <c r="S18" s="11" t="str">
        <f t="shared" si="4"/>
        <v>46276|Principal|DEMOFIB|Casa A</v>
      </c>
    </row>
    <row r="19" spans="1:19" x14ac:dyDescent="0.3">
      <c r="A19" s="20">
        <v>46276</v>
      </c>
      <c r="B19" s="21" t="s">
        <v>94</v>
      </c>
      <c r="C19" s="21" t="s">
        <v>132</v>
      </c>
      <c r="D19" s="21" t="s">
        <v>112</v>
      </c>
      <c r="E19" s="11" t="str">
        <f t="shared" si="0"/>
        <v>Principal|BI261008|Casa A</v>
      </c>
      <c r="F19" s="11" t="str">
        <f>INDEX(Entradas!$C$40:$C$46,MATCH(C19,Entradas!$A$40:$A$46,0))</f>
        <v>cetes</v>
      </c>
      <c r="G19" s="15">
        <f>IF(F19="cetes",INDEX(Entradas!$F$40:$F$46,MATCH(C19,Entradas!$A$40:$A$46,0)),"")</f>
        <v>46303</v>
      </c>
      <c r="H19" s="17">
        <f>IF(F19="cetes",INDEX(Entradas!$G$40:$G$46,MATCH(C19,Entradas!$A$40:$A$46,0)),"")</f>
        <v>10</v>
      </c>
      <c r="I19" s="14">
        <f>IF(F19="cetes",IF(A19&gt;=G19,0,SUMIFS(Transacciones!$N$5:$N$20,Transacciones!$T$5:$T$20,E19,Transacciones!$F$5:$F$20,"&lt;="&amp;A19)),SUMIFS(Transacciones!$N$5:$N$20,Transacciones!$T$5:$T$20,E19,Transacciones!$F$5:$F$20,"&lt;="&amp;A19))</f>
        <v>1500</v>
      </c>
      <c r="J19" s="14">
        <f>_xlfn.MAXIFS(Transacciones!$U$5:$U$20,Transacciones!$T$5:$T$20,E19,Transacciones!$F$5:$F$20,"&lt;="&amp;A19)</f>
        <v>46275003</v>
      </c>
      <c r="K19" s="18">
        <f>IF(I19=0,0,INDEX(Transacciones!$Z$5:$Z$20,MATCH(J19,Transacciones!$U$5:$U$20,0)))</f>
        <v>9.9516240000000007</v>
      </c>
      <c r="L19" s="17">
        <f t="shared" si="1"/>
        <v>14927.436000000002</v>
      </c>
      <c r="M19" s="15">
        <f>IF(F19="cetes",IF(COUNTIFS(CETES!$A$5:$A$95,A19,CETES!$B$5:$B$95,C19)=0,"",A19),SUMIFS(Precios!$K$5:$K$109,Precios!$I$5:$I$109,A19,Precios!$J$5:$J$109,C19))</f>
        <v>46276</v>
      </c>
      <c r="N19" s="18">
        <f>IF(F19="cetes",IF(COUNTIFS(CETES!$A$5:$A$95,A19,CETES!$B$5:$B$95,C19)=0,"",SUMIFS(CETES!$AF$5:$AF$95,CETES!$A$5:$A$95,A19,CETES!$B$5:$B$95,C19)),SUMIFS(Precios!$L$5:$L$109,Precios!$I$5:$I$109,A19,Precios!$J$5:$J$109,C19))</f>
        <v>9.9533436999999996</v>
      </c>
      <c r="O19" s="17">
        <f t="shared" si="2"/>
        <v>14930.01555</v>
      </c>
      <c r="P19" s="17">
        <f t="shared" si="3"/>
        <v>2.5795499999985623</v>
      </c>
      <c r="Q19" s="17">
        <f>IF(F19="cetes",IF(A19=G19,SUMIFS(Transacciones!$N$5:$N$20,Transacciones!$T$5:$T$20,E19,Transacciones!$F$5:$F$20,"&lt;"&amp;A19)*H19,0),0)</f>
        <v>0</v>
      </c>
      <c r="R19" s="11" t="str">
        <f>IF(COUNTIF(Entradas!$A$14:$A$17,A19)&gt;0,"sí","")</f>
        <v/>
      </c>
      <c r="S19" s="11" t="str">
        <f t="shared" si="4"/>
        <v>46276|Principal|BI261008|Casa A</v>
      </c>
    </row>
    <row r="20" spans="1:19" x14ac:dyDescent="0.3">
      <c r="A20" s="20">
        <v>46276</v>
      </c>
      <c r="B20" s="21" t="s">
        <v>94</v>
      </c>
      <c r="C20" s="21" t="s">
        <v>132</v>
      </c>
      <c r="D20" s="21" t="s">
        <v>113</v>
      </c>
      <c r="E20" s="11" t="str">
        <f t="shared" si="0"/>
        <v>Principal|BI261008|Casa B</v>
      </c>
      <c r="F20" s="11" t="str">
        <f>INDEX(Entradas!$C$40:$C$46,MATCH(C20,Entradas!$A$40:$A$46,0))</f>
        <v>cetes</v>
      </c>
      <c r="G20" s="15">
        <f>IF(F20="cetes",INDEX(Entradas!$F$40:$F$46,MATCH(C20,Entradas!$A$40:$A$46,0)),"")</f>
        <v>46303</v>
      </c>
      <c r="H20" s="17">
        <f>IF(F20="cetes",INDEX(Entradas!$G$40:$G$46,MATCH(C20,Entradas!$A$40:$A$46,0)),"")</f>
        <v>10</v>
      </c>
      <c r="I20" s="14">
        <f>IF(F20="cetes",IF(A20&gt;=G20,0,SUMIFS(Transacciones!$N$5:$N$20,Transacciones!$T$5:$T$20,E20,Transacciones!$F$5:$F$20,"&lt;="&amp;A20)),SUMIFS(Transacciones!$N$5:$N$20,Transacciones!$T$5:$T$20,E20,Transacciones!$F$5:$F$20,"&lt;="&amp;A20))</f>
        <v>1000</v>
      </c>
      <c r="J20" s="14">
        <f>_xlfn.MAXIFS(Transacciones!$U$5:$U$20,Transacciones!$T$5:$T$20,E20,Transacciones!$F$5:$F$20,"&lt;="&amp;A20)</f>
        <v>46275004</v>
      </c>
      <c r="K20" s="18">
        <f>IF(I20=0,0,INDEX(Transacciones!$Z$5:$Z$20,MATCH(J20,Transacciones!$U$5:$U$20,0)))</f>
        <v>9.9516239999999989</v>
      </c>
      <c r="L20" s="17">
        <f t="shared" si="1"/>
        <v>9951.6239999999998</v>
      </c>
      <c r="M20" s="15">
        <f>IF(F20="cetes",IF(COUNTIFS(CETES!$A$5:$A$95,A20,CETES!$B$5:$B$95,C20)=0,"",A20),SUMIFS(Precios!$K$5:$K$109,Precios!$I$5:$I$109,A20,Precios!$J$5:$J$109,C20))</f>
        <v>46276</v>
      </c>
      <c r="N20" s="18">
        <f>IF(F20="cetes",IF(COUNTIFS(CETES!$A$5:$A$95,A20,CETES!$B$5:$B$95,C20)=0,"",SUMIFS(CETES!$AF$5:$AF$95,CETES!$A$5:$A$95,A20,CETES!$B$5:$B$95,C20)),SUMIFS(Precios!$L$5:$L$109,Precios!$I$5:$I$109,A20,Precios!$J$5:$J$109,C20))</f>
        <v>9.9533436999999996</v>
      </c>
      <c r="O20" s="17">
        <f t="shared" si="2"/>
        <v>9953.3436999999994</v>
      </c>
      <c r="P20" s="17">
        <f t="shared" si="3"/>
        <v>1.7196999999996478</v>
      </c>
      <c r="Q20" s="17">
        <f>IF(F20="cetes",IF(A20=G20,SUMIFS(Transacciones!$N$5:$N$20,Transacciones!$T$5:$T$20,E20,Transacciones!$F$5:$F$20,"&lt;"&amp;A20)*H20,0),0)</f>
        <v>0</v>
      </c>
      <c r="R20" s="11" t="str">
        <f>IF(COUNTIF(Entradas!$A$14:$A$17,A20)&gt;0,"sí","")</f>
        <v/>
      </c>
      <c r="S20" s="11" t="str">
        <f t="shared" si="4"/>
        <v>46276|Principal|BI261008|Casa B</v>
      </c>
    </row>
    <row r="21" spans="1:19" x14ac:dyDescent="0.3">
      <c r="A21" s="20">
        <v>46276</v>
      </c>
      <c r="B21" s="21" t="s">
        <v>94</v>
      </c>
      <c r="C21" s="21" t="s">
        <v>135</v>
      </c>
      <c r="D21" s="21" t="s">
        <v>113</v>
      </c>
      <c r="E21" s="11" t="str">
        <f t="shared" si="0"/>
        <v>Principal|BI261105|Casa B</v>
      </c>
      <c r="F21" s="11" t="str">
        <f>INDEX(Entradas!$C$40:$C$46,MATCH(C21,Entradas!$A$40:$A$46,0))</f>
        <v>cetes</v>
      </c>
      <c r="G21" s="15">
        <f>IF(F21="cetes",INDEX(Entradas!$F$40:$F$46,MATCH(C21,Entradas!$A$40:$A$46,0)),"")</f>
        <v>46331</v>
      </c>
      <c r="H21" s="17">
        <f>IF(F21="cetes",INDEX(Entradas!$G$40:$G$46,MATCH(C21,Entradas!$A$40:$A$46,0)),"")</f>
        <v>10</v>
      </c>
      <c r="I21" s="14">
        <f>IF(F21="cetes",IF(A21&gt;=G21,0,SUMIFS(Transacciones!$N$5:$N$20,Transacciones!$T$5:$T$20,E21,Transacciones!$F$5:$F$20,"&lt;="&amp;A21)),SUMIFS(Transacciones!$N$5:$N$20,Transacciones!$T$5:$T$20,E21,Transacciones!$F$5:$F$20,"&lt;="&amp;A21))</f>
        <v>0</v>
      </c>
      <c r="J21" s="14">
        <f>_xlfn.MAXIFS(Transacciones!$U$5:$U$20,Transacciones!$T$5:$T$20,E21,Transacciones!$F$5:$F$20,"&lt;="&amp;A21)</f>
        <v>0</v>
      </c>
      <c r="K21" s="18">
        <f>IF(I21=0,0,INDEX(Transacciones!$Z$5:$Z$20,MATCH(J21,Transacciones!$U$5:$U$20,0)))</f>
        <v>0</v>
      </c>
      <c r="L21" s="17">
        <f t="shared" si="1"/>
        <v>0</v>
      </c>
      <c r="M21" s="15" t="str">
        <f>IF(F21="cetes",IF(COUNTIFS(CETES!$A$5:$A$95,A21,CETES!$B$5:$B$95,C21)=0,"",A21),SUMIFS(Precios!$K$5:$K$109,Precios!$I$5:$I$109,A21,Precios!$J$5:$J$109,C21))</f>
        <v/>
      </c>
      <c r="N21" s="18" t="str">
        <f>IF(F21="cetes",IF(COUNTIFS(CETES!$A$5:$A$95,A21,CETES!$B$5:$B$95,C21)=0,"",SUMIFS(CETES!$AF$5:$AF$95,CETES!$A$5:$A$95,A21,CETES!$B$5:$B$95,C21)),SUMIFS(Precios!$L$5:$L$109,Precios!$I$5:$I$109,A21,Precios!$J$5:$J$109,C21))</f>
        <v/>
      </c>
      <c r="O21" s="17">
        <f t="shared" si="2"/>
        <v>0</v>
      </c>
      <c r="P21" s="17">
        <f t="shared" si="3"/>
        <v>0</v>
      </c>
      <c r="Q21" s="17">
        <f>IF(F21="cetes",IF(A21=G21,SUMIFS(Transacciones!$N$5:$N$20,Transacciones!$T$5:$T$20,E21,Transacciones!$F$5:$F$20,"&lt;"&amp;A21)*H21,0),0)</f>
        <v>0</v>
      </c>
      <c r="R21" s="11" t="str">
        <f>IF(COUNTIF(Entradas!$A$14:$A$17,A21)&gt;0,"sí","")</f>
        <v/>
      </c>
      <c r="S21" s="11" t="str">
        <f t="shared" si="4"/>
        <v>46276|Principal|BI261105|Casa B</v>
      </c>
    </row>
    <row r="22" spans="1:19" x14ac:dyDescent="0.3">
      <c r="A22" s="20">
        <v>46276</v>
      </c>
      <c r="B22" s="21" t="s">
        <v>94</v>
      </c>
      <c r="C22" s="21" t="s">
        <v>137</v>
      </c>
      <c r="D22" s="21" t="s">
        <v>112</v>
      </c>
      <c r="E22" s="11" t="str">
        <f t="shared" si="0"/>
        <v>Principal|BI261217|Casa A</v>
      </c>
      <c r="F22" s="11" t="str">
        <f>INDEX(Entradas!$C$40:$C$46,MATCH(C22,Entradas!$A$40:$A$46,0))</f>
        <v>cetes</v>
      </c>
      <c r="G22" s="15">
        <f>IF(F22="cetes",INDEX(Entradas!$F$40:$F$46,MATCH(C22,Entradas!$A$40:$A$46,0)),"")</f>
        <v>46373</v>
      </c>
      <c r="H22" s="17">
        <f>IF(F22="cetes",INDEX(Entradas!$G$40:$G$46,MATCH(C22,Entradas!$A$40:$A$46,0)),"")</f>
        <v>10</v>
      </c>
      <c r="I22" s="14">
        <f>IF(F22="cetes",IF(A22&gt;=G22,0,SUMIFS(Transacciones!$N$5:$N$20,Transacciones!$T$5:$T$20,E22,Transacciones!$F$5:$F$20,"&lt;="&amp;A22)),SUMIFS(Transacciones!$N$5:$N$20,Transacciones!$T$5:$T$20,E22,Transacciones!$F$5:$F$20,"&lt;="&amp;A22))</f>
        <v>0</v>
      </c>
      <c r="J22" s="14">
        <f>_xlfn.MAXIFS(Transacciones!$U$5:$U$20,Transacciones!$T$5:$T$20,E22,Transacciones!$F$5:$F$20,"&lt;="&amp;A22)</f>
        <v>0</v>
      </c>
      <c r="K22" s="18">
        <f>IF(I22=0,0,INDEX(Transacciones!$Z$5:$Z$20,MATCH(J22,Transacciones!$U$5:$U$20,0)))</f>
        <v>0</v>
      </c>
      <c r="L22" s="17">
        <f t="shared" si="1"/>
        <v>0</v>
      </c>
      <c r="M22" s="15" t="str">
        <f>IF(F22="cetes",IF(COUNTIFS(CETES!$A$5:$A$95,A22,CETES!$B$5:$B$95,C22)=0,"",A22),SUMIFS(Precios!$K$5:$K$109,Precios!$I$5:$I$109,A22,Precios!$J$5:$J$109,C22))</f>
        <v/>
      </c>
      <c r="N22" s="18" t="str">
        <f>IF(F22="cetes",IF(COUNTIFS(CETES!$A$5:$A$95,A22,CETES!$B$5:$B$95,C22)=0,"",SUMIFS(CETES!$AF$5:$AF$95,CETES!$A$5:$A$95,A22,CETES!$B$5:$B$95,C22)),SUMIFS(Precios!$L$5:$L$109,Precios!$I$5:$I$109,A22,Precios!$J$5:$J$109,C22))</f>
        <v/>
      </c>
      <c r="O22" s="17">
        <f t="shared" si="2"/>
        <v>0</v>
      </c>
      <c r="P22" s="17">
        <f t="shared" si="3"/>
        <v>0</v>
      </c>
      <c r="Q22" s="17">
        <f>IF(F22="cetes",IF(A22=G22,SUMIFS(Transacciones!$N$5:$N$20,Transacciones!$T$5:$T$20,E22,Transacciones!$F$5:$F$20,"&lt;"&amp;A22)*H22,0),0)</f>
        <v>0</v>
      </c>
      <c r="R22" s="11" t="str">
        <f>IF(COUNTIF(Entradas!$A$14:$A$17,A22)&gt;0,"sí","")</f>
        <v/>
      </c>
      <c r="S22" s="11" t="str">
        <f t="shared" si="4"/>
        <v>46276|Principal|BI261217|Casa A</v>
      </c>
    </row>
    <row r="23" spans="1:19" x14ac:dyDescent="0.3">
      <c r="A23" s="20">
        <v>46276</v>
      </c>
      <c r="B23" s="21" t="s">
        <v>94</v>
      </c>
      <c r="C23" s="21" t="s">
        <v>139</v>
      </c>
      <c r="D23" s="21" t="s">
        <v>113</v>
      </c>
      <c r="E23" s="11" t="str">
        <f t="shared" si="0"/>
        <v>Principal|BI270318|Casa B</v>
      </c>
      <c r="F23" s="11" t="str">
        <f>INDEX(Entradas!$C$40:$C$46,MATCH(C23,Entradas!$A$40:$A$46,0))</f>
        <v>cetes</v>
      </c>
      <c r="G23" s="15">
        <f>IF(F23="cetes",INDEX(Entradas!$F$40:$F$46,MATCH(C23,Entradas!$A$40:$A$46,0)),"")</f>
        <v>46464</v>
      </c>
      <c r="H23" s="17">
        <f>IF(F23="cetes",INDEX(Entradas!$G$40:$G$46,MATCH(C23,Entradas!$A$40:$A$46,0)),"")</f>
        <v>10</v>
      </c>
      <c r="I23" s="14">
        <f>IF(F23="cetes",IF(A23&gt;=G23,0,SUMIFS(Transacciones!$N$5:$N$20,Transacciones!$T$5:$T$20,E23,Transacciones!$F$5:$F$20,"&lt;="&amp;A23)),SUMIFS(Transacciones!$N$5:$N$20,Transacciones!$T$5:$T$20,E23,Transacciones!$F$5:$F$20,"&lt;="&amp;A23))</f>
        <v>0</v>
      </c>
      <c r="J23" s="14">
        <f>_xlfn.MAXIFS(Transacciones!$U$5:$U$20,Transacciones!$T$5:$T$20,E23,Transacciones!$F$5:$F$20,"&lt;="&amp;A23)</f>
        <v>0</v>
      </c>
      <c r="K23" s="18">
        <f>IF(I23=0,0,INDEX(Transacciones!$Z$5:$Z$20,MATCH(J23,Transacciones!$U$5:$U$20,0)))</f>
        <v>0</v>
      </c>
      <c r="L23" s="17">
        <f t="shared" si="1"/>
        <v>0</v>
      </c>
      <c r="M23" s="15" t="str">
        <f>IF(F23="cetes",IF(COUNTIFS(CETES!$A$5:$A$95,A23,CETES!$B$5:$B$95,C23)=0,"",A23),SUMIFS(Precios!$K$5:$K$109,Precios!$I$5:$I$109,A23,Precios!$J$5:$J$109,C23))</f>
        <v/>
      </c>
      <c r="N23" s="18" t="str">
        <f>IF(F23="cetes",IF(COUNTIFS(CETES!$A$5:$A$95,A23,CETES!$B$5:$B$95,C23)=0,"",SUMIFS(CETES!$AF$5:$AF$95,CETES!$A$5:$A$95,A23,CETES!$B$5:$B$95,C23)),SUMIFS(Precios!$L$5:$L$109,Precios!$I$5:$I$109,A23,Precios!$J$5:$J$109,C23))</f>
        <v/>
      </c>
      <c r="O23" s="17">
        <f t="shared" si="2"/>
        <v>0</v>
      </c>
      <c r="P23" s="17">
        <f t="shared" si="3"/>
        <v>0</v>
      </c>
      <c r="Q23" s="17">
        <f>IF(F23="cetes",IF(A23=G23,SUMIFS(Transacciones!$N$5:$N$20,Transacciones!$T$5:$T$20,E23,Transacciones!$F$5:$F$20,"&lt;"&amp;A23)*H23,0),0)</f>
        <v>0</v>
      </c>
      <c r="R23" s="11" t="str">
        <f>IF(COUNTIF(Entradas!$A$14:$A$17,A23)&gt;0,"sí","")</f>
        <v/>
      </c>
      <c r="S23" s="11" t="str">
        <f t="shared" si="4"/>
        <v>46276|Principal|BI270318|Casa B</v>
      </c>
    </row>
    <row r="24" spans="1:19" x14ac:dyDescent="0.3">
      <c r="A24" s="20">
        <v>46276</v>
      </c>
      <c r="B24" s="21" t="s">
        <v>103</v>
      </c>
      <c r="C24" s="21" t="s">
        <v>123</v>
      </c>
      <c r="D24" s="21" t="s">
        <v>112</v>
      </c>
      <c r="E24" s="11" t="str">
        <f t="shared" si="0"/>
        <v>Secundario|DEMOACC|Casa A</v>
      </c>
      <c r="F24" s="11" t="str">
        <f>INDEX(Entradas!$C$40:$C$46,MATCH(C24,Entradas!$A$40:$A$46,0))</f>
        <v>accion</v>
      </c>
      <c r="G24" s="15" t="str">
        <f>IF(F24="cetes",INDEX(Entradas!$F$40:$F$46,MATCH(C24,Entradas!$A$40:$A$46,0)),"")</f>
        <v/>
      </c>
      <c r="H24" s="17" t="str">
        <f>IF(F24="cetes",INDEX(Entradas!$G$40:$G$46,MATCH(C24,Entradas!$A$40:$A$46,0)),"")</f>
        <v/>
      </c>
      <c r="I24" s="14">
        <f>IF(F24="cetes",IF(A24&gt;=G24,0,SUMIFS(Transacciones!$N$5:$N$20,Transacciones!$T$5:$T$20,E24,Transacciones!$F$5:$F$20,"&lt;="&amp;A24)),SUMIFS(Transacciones!$N$5:$N$20,Transacciones!$T$5:$T$20,E24,Transacciones!$F$5:$F$20,"&lt;="&amp;A24))</f>
        <v>0</v>
      </c>
      <c r="J24" s="14">
        <f>_xlfn.MAXIFS(Transacciones!$U$5:$U$20,Transacciones!$T$5:$T$20,E24,Transacciones!$F$5:$F$20,"&lt;="&amp;A24)</f>
        <v>0</v>
      </c>
      <c r="K24" s="18">
        <f>IF(I24=0,0,INDEX(Transacciones!$Z$5:$Z$20,MATCH(J24,Transacciones!$U$5:$U$20,0)))</f>
        <v>0</v>
      </c>
      <c r="L24" s="17">
        <f t="shared" si="1"/>
        <v>0</v>
      </c>
      <c r="M24" s="15">
        <f>IF(F24="cetes",IF(COUNTIFS(CETES!$A$5:$A$95,A24,CETES!$B$5:$B$95,C24)=0,"",A24),SUMIFS(Precios!$K$5:$K$109,Precios!$I$5:$I$109,A24,Precios!$J$5:$J$109,C24))</f>
        <v>46276</v>
      </c>
      <c r="N24" s="18">
        <f>IF(F24="cetes",IF(COUNTIFS(CETES!$A$5:$A$95,A24,CETES!$B$5:$B$95,C24)=0,"",SUMIFS(CETES!$AF$5:$AF$95,CETES!$A$5:$A$95,A24,CETES!$B$5:$B$95,C24)),SUMIFS(Precios!$L$5:$L$109,Precios!$I$5:$I$109,A24,Precios!$J$5:$J$109,C24))</f>
        <v>101.85</v>
      </c>
      <c r="O24" s="17">
        <f t="shared" si="2"/>
        <v>0</v>
      </c>
      <c r="P24" s="17">
        <f t="shared" si="3"/>
        <v>0</v>
      </c>
      <c r="Q24" s="17">
        <f>IF(F24="cetes",IF(A24=G24,SUMIFS(Transacciones!$N$5:$N$20,Transacciones!$T$5:$T$20,E24,Transacciones!$F$5:$F$20,"&lt;"&amp;A24)*H24,0),0)</f>
        <v>0</v>
      </c>
      <c r="R24" s="11" t="str">
        <f>IF(COUNTIF(Entradas!$A$14:$A$17,A24)&gt;0,"sí","")</f>
        <v/>
      </c>
      <c r="S24" s="11" t="str">
        <f t="shared" si="4"/>
        <v>46276|Secundario|DEMOACC|Casa A</v>
      </c>
    </row>
    <row r="25" spans="1:19" x14ac:dyDescent="0.3">
      <c r="A25" s="20">
        <v>46277</v>
      </c>
      <c r="B25" s="21" t="s">
        <v>94</v>
      </c>
      <c r="C25" s="21" t="s">
        <v>123</v>
      </c>
      <c r="D25" s="21" t="s">
        <v>112</v>
      </c>
      <c r="E25" s="11" t="str">
        <f t="shared" si="0"/>
        <v>Principal|DEMOACC|Casa A</v>
      </c>
      <c r="F25" s="11" t="str">
        <f>INDEX(Entradas!$C$40:$C$46,MATCH(C25,Entradas!$A$40:$A$46,0))</f>
        <v>accion</v>
      </c>
      <c r="G25" s="15" t="str">
        <f>IF(F25="cetes",INDEX(Entradas!$F$40:$F$46,MATCH(C25,Entradas!$A$40:$A$46,0)),"")</f>
        <v/>
      </c>
      <c r="H25" s="17" t="str">
        <f>IF(F25="cetes",INDEX(Entradas!$G$40:$G$46,MATCH(C25,Entradas!$A$40:$A$46,0)),"")</f>
        <v/>
      </c>
      <c r="I25" s="14">
        <f>IF(F25="cetes",IF(A25&gt;=G25,0,SUMIFS(Transacciones!$N$5:$N$20,Transacciones!$T$5:$T$20,E25,Transacciones!$F$5:$F$20,"&lt;="&amp;A25)),SUMIFS(Transacciones!$N$5:$N$20,Transacciones!$T$5:$T$20,E25,Transacciones!$F$5:$F$20,"&lt;="&amp;A25))</f>
        <v>200</v>
      </c>
      <c r="J25" s="14">
        <f>_xlfn.MAXIFS(Transacciones!$U$5:$U$20,Transacciones!$T$5:$T$20,E25,Transacciones!$F$5:$F$20,"&lt;="&amp;A25)</f>
        <v>46275001</v>
      </c>
      <c r="K25" s="18">
        <f>IF(I25=0,0,INDEX(Transacciones!$Z$5:$Z$20,MATCH(J25,Transacciones!$U$5:$U$20,0)))</f>
        <v>100.23985</v>
      </c>
      <c r="L25" s="17">
        <f t="shared" si="1"/>
        <v>20047.97</v>
      </c>
      <c r="M25" s="15">
        <f>IF(F25="cetes",IF(COUNTIFS(CETES!$A$5:$A$95,A25,CETES!$B$5:$B$95,C25)=0,"",A25),SUMIFS(Precios!$K$5:$K$109,Precios!$I$5:$I$109,A25,Precios!$J$5:$J$109,C25))</f>
        <v>46276</v>
      </c>
      <c r="N25" s="18">
        <f>IF(F25="cetes",IF(COUNTIFS(CETES!$A$5:$A$95,A25,CETES!$B$5:$B$95,C25)=0,"",SUMIFS(CETES!$AF$5:$AF$95,CETES!$A$5:$A$95,A25,CETES!$B$5:$B$95,C25)),SUMIFS(Precios!$L$5:$L$109,Precios!$I$5:$I$109,A25,Precios!$J$5:$J$109,C25))</f>
        <v>101.85</v>
      </c>
      <c r="O25" s="17">
        <f t="shared" si="2"/>
        <v>20370</v>
      </c>
      <c r="P25" s="17">
        <f t="shared" si="3"/>
        <v>322.02999999999884</v>
      </c>
      <c r="Q25" s="17">
        <f>IF(F25="cetes",IF(A25=G25,SUMIFS(Transacciones!$N$5:$N$20,Transacciones!$T$5:$T$20,E25,Transacciones!$F$5:$F$20,"&lt;"&amp;A25)*H25,0),0)</f>
        <v>0</v>
      </c>
      <c r="R25" s="11" t="str">
        <f>IF(COUNTIF(Entradas!$A$14:$A$17,A25)&gt;0,"sí","")</f>
        <v/>
      </c>
      <c r="S25" s="11" t="str">
        <f t="shared" si="4"/>
        <v>46277|Principal|DEMOACC|Casa A</v>
      </c>
    </row>
    <row r="26" spans="1:19" x14ac:dyDescent="0.3">
      <c r="A26" s="20">
        <v>46277</v>
      </c>
      <c r="B26" s="21" t="s">
        <v>94</v>
      </c>
      <c r="C26" s="21" t="s">
        <v>123</v>
      </c>
      <c r="D26" s="21" t="s">
        <v>113</v>
      </c>
      <c r="E26" s="11" t="str">
        <f t="shared" si="0"/>
        <v>Principal|DEMOACC|Casa B</v>
      </c>
      <c r="F26" s="11" t="str">
        <f>INDEX(Entradas!$C$40:$C$46,MATCH(C26,Entradas!$A$40:$A$46,0))</f>
        <v>accion</v>
      </c>
      <c r="G26" s="15" t="str">
        <f>IF(F26="cetes",INDEX(Entradas!$F$40:$F$46,MATCH(C26,Entradas!$A$40:$A$46,0)),"")</f>
        <v/>
      </c>
      <c r="H26" s="17" t="str">
        <f>IF(F26="cetes",INDEX(Entradas!$G$40:$G$46,MATCH(C26,Entradas!$A$40:$A$46,0)),"")</f>
        <v/>
      </c>
      <c r="I26" s="14">
        <f>IF(F26="cetes",IF(A26&gt;=G26,0,SUMIFS(Transacciones!$N$5:$N$20,Transacciones!$T$5:$T$20,E26,Transacciones!$F$5:$F$20,"&lt;="&amp;A26)),SUMIFS(Transacciones!$N$5:$N$20,Transacciones!$T$5:$T$20,E26,Transacciones!$F$5:$F$20,"&lt;="&amp;A26))</f>
        <v>0</v>
      </c>
      <c r="J26" s="14">
        <f>_xlfn.MAXIFS(Transacciones!$U$5:$U$20,Transacciones!$T$5:$T$20,E26,Transacciones!$F$5:$F$20,"&lt;="&amp;A26)</f>
        <v>0</v>
      </c>
      <c r="K26" s="18">
        <f>IF(I26=0,0,INDEX(Transacciones!$Z$5:$Z$20,MATCH(J26,Transacciones!$U$5:$U$20,0)))</f>
        <v>0</v>
      </c>
      <c r="L26" s="17">
        <f t="shared" si="1"/>
        <v>0</v>
      </c>
      <c r="M26" s="15">
        <f>IF(F26="cetes",IF(COUNTIFS(CETES!$A$5:$A$95,A26,CETES!$B$5:$B$95,C26)=0,"",A26),SUMIFS(Precios!$K$5:$K$109,Precios!$I$5:$I$109,A26,Precios!$J$5:$J$109,C26))</f>
        <v>46276</v>
      </c>
      <c r="N26" s="18">
        <f>IF(F26="cetes",IF(COUNTIFS(CETES!$A$5:$A$95,A26,CETES!$B$5:$B$95,C26)=0,"",SUMIFS(CETES!$AF$5:$AF$95,CETES!$A$5:$A$95,A26,CETES!$B$5:$B$95,C26)),SUMIFS(Precios!$L$5:$L$109,Precios!$I$5:$I$109,A26,Precios!$J$5:$J$109,C26))</f>
        <v>101.85</v>
      </c>
      <c r="O26" s="17">
        <f t="shared" si="2"/>
        <v>0</v>
      </c>
      <c r="P26" s="17">
        <f t="shared" si="3"/>
        <v>0</v>
      </c>
      <c r="Q26" s="17">
        <f>IF(F26="cetes",IF(A26=G26,SUMIFS(Transacciones!$N$5:$N$20,Transacciones!$T$5:$T$20,E26,Transacciones!$F$5:$F$20,"&lt;"&amp;A26)*H26,0),0)</f>
        <v>0</v>
      </c>
      <c r="R26" s="11" t="str">
        <f>IF(COUNTIF(Entradas!$A$14:$A$17,A26)&gt;0,"sí","")</f>
        <v/>
      </c>
      <c r="S26" s="11" t="str">
        <f t="shared" si="4"/>
        <v>46277|Principal|DEMOACC|Casa B</v>
      </c>
    </row>
    <row r="27" spans="1:19" x14ac:dyDescent="0.3">
      <c r="A27" s="20">
        <v>46277</v>
      </c>
      <c r="B27" s="21" t="s">
        <v>94</v>
      </c>
      <c r="C27" s="21" t="s">
        <v>126</v>
      </c>
      <c r="D27" s="21" t="s">
        <v>113</v>
      </c>
      <c r="E27" s="11" t="str">
        <f t="shared" si="0"/>
        <v>Principal|DEMOETF|Casa B</v>
      </c>
      <c r="F27" s="11" t="str">
        <f>INDEX(Entradas!$C$40:$C$46,MATCH(C27,Entradas!$A$40:$A$46,0))</f>
        <v>etf</v>
      </c>
      <c r="G27" s="15" t="str">
        <f>IF(F27="cetes",INDEX(Entradas!$F$40:$F$46,MATCH(C27,Entradas!$A$40:$A$46,0)),"")</f>
        <v/>
      </c>
      <c r="H27" s="17" t="str">
        <f>IF(F27="cetes",INDEX(Entradas!$G$40:$G$46,MATCH(C27,Entradas!$A$40:$A$46,0)),"")</f>
        <v/>
      </c>
      <c r="I27" s="14">
        <f>IF(F27="cetes",IF(A27&gt;=G27,0,SUMIFS(Transacciones!$N$5:$N$20,Transacciones!$T$5:$T$20,E27,Transacciones!$F$5:$F$20,"&lt;="&amp;A27)),SUMIFS(Transacciones!$N$5:$N$20,Transacciones!$T$5:$T$20,E27,Transacciones!$F$5:$F$20,"&lt;="&amp;A27))</f>
        <v>100</v>
      </c>
      <c r="J27" s="14">
        <f>_xlfn.MAXIFS(Transacciones!$U$5:$U$20,Transacciones!$T$5:$T$20,E27,Transacciones!$F$5:$F$20,"&lt;="&amp;A27)</f>
        <v>46275002</v>
      </c>
      <c r="K27" s="18">
        <f>IF(I27=0,0,INDEX(Transacciones!$Z$5:$Z$20,MATCH(J27,Transacciones!$U$5:$U$20,0)))</f>
        <v>50.195100000000004</v>
      </c>
      <c r="L27" s="17">
        <f t="shared" si="1"/>
        <v>5019.51</v>
      </c>
      <c r="M27" s="15">
        <f>IF(F27="cetes",IF(COUNTIFS(CETES!$A$5:$A$95,A27,CETES!$B$5:$B$95,C27)=0,"",A27),SUMIFS(Precios!$K$5:$K$109,Precios!$I$5:$I$109,A27,Precios!$J$5:$J$109,C27))</f>
        <v>46276</v>
      </c>
      <c r="N27" s="18">
        <f>IF(F27="cetes",IF(COUNTIFS(CETES!$A$5:$A$95,A27,CETES!$B$5:$B$95,C27)=0,"",SUMIFS(CETES!$AF$5:$AF$95,CETES!$A$5:$A$95,A27,CETES!$B$5:$B$95,C27)),SUMIFS(Precios!$L$5:$L$109,Precios!$I$5:$I$109,A27,Precios!$J$5:$J$109,C27))</f>
        <v>50.62</v>
      </c>
      <c r="O27" s="17">
        <f t="shared" si="2"/>
        <v>5062</v>
      </c>
      <c r="P27" s="17">
        <f t="shared" si="3"/>
        <v>42.489999999999782</v>
      </c>
      <c r="Q27" s="17">
        <f>IF(F27="cetes",IF(A27=G27,SUMIFS(Transacciones!$N$5:$N$20,Transacciones!$T$5:$T$20,E27,Transacciones!$F$5:$F$20,"&lt;"&amp;A27)*H27,0),0)</f>
        <v>0</v>
      </c>
      <c r="R27" s="11" t="str">
        <f>IF(COUNTIF(Entradas!$A$14:$A$17,A27)&gt;0,"sí","")</f>
        <v/>
      </c>
      <c r="S27" s="11" t="str">
        <f t="shared" si="4"/>
        <v>46277|Principal|DEMOETF|Casa B</v>
      </c>
    </row>
    <row r="28" spans="1:19" x14ac:dyDescent="0.3">
      <c r="A28" s="20">
        <v>46277</v>
      </c>
      <c r="B28" s="21" t="s">
        <v>94</v>
      </c>
      <c r="C28" s="21" t="s">
        <v>129</v>
      </c>
      <c r="D28" s="21" t="s">
        <v>112</v>
      </c>
      <c r="E28" s="11" t="str">
        <f t="shared" si="0"/>
        <v>Principal|DEMOFIB|Casa A</v>
      </c>
      <c r="F28" s="11" t="str">
        <f>INDEX(Entradas!$C$40:$C$46,MATCH(C28,Entradas!$A$40:$A$46,0))</f>
        <v>fibra</v>
      </c>
      <c r="G28" s="15" t="str">
        <f>IF(F28="cetes",INDEX(Entradas!$F$40:$F$46,MATCH(C28,Entradas!$A$40:$A$46,0)),"")</f>
        <v/>
      </c>
      <c r="H28" s="17" t="str">
        <f>IF(F28="cetes",INDEX(Entradas!$G$40:$G$46,MATCH(C28,Entradas!$A$40:$A$46,0)),"")</f>
        <v/>
      </c>
      <c r="I28" s="14">
        <f>IF(F28="cetes",IF(A28&gt;=G28,0,SUMIFS(Transacciones!$N$5:$N$20,Transacciones!$T$5:$T$20,E28,Transacciones!$F$5:$F$20,"&lt;="&amp;A28)),SUMIFS(Transacciones!$N$5:$N$20,Transacciones!$T$5:$T$20,E28,Transacciones!$F$5:$F$20,"&lt;="&amp;A28))</f>
        <v>400</v>
      </c>
      <c r="J28" s="14">
        <f>_xlfn.MAXIFS(Transacciones!$U$5:$U$20,Transacciones!$T$5:$T$20,E28,Transacciones!$F$5:$F$20,"&lt;="&amp;A28)</f>
        <v>46276005</v>
      </c>
      <c r="K28" s="18">
        <f>IF(I28=0,0,INDEX(Transacciones!$Z$5:$Z$20,MATCH(J28,Transacciones!$U$5:$U$20,0)))</f>
        <v>25.054949999999998</v>
      </c>
      <c r="L28" s="17">
        <f t="shared" si="1"/>
        <v>10021.98</v>
      </c>
      <c r="M28" s="15">
        <f>IF(F28="cetes",IF(COUNTIFS(CETES!$A$5:$A$95,A28,CETES!$B$5:$B$95,C28)=0,"",A28),SUMIFS(Precios!$K$5:$K$109,Precios!$I$5:$I$109,A28,Precios!$J$5:$J$109,C28))</f>
        <v>46276</v>
      </c>
      <c r="N28" s="18">
        <f>IF(F28="cetes",IF(COUNTIFS(CETES!$A$5:$A$95,A28,CETES!$B$5:$B$95,C28)=0,"",SUMIFS(CETES!$AF$5:$AF$95,CETES!$A$5:$A$95,A28,CETES!$B$5:$B$95,C28)),SUMIFS(Precios!$L$5:$L$109,Precios!$I$5:$I$109,A28,Precios!$J$5:$J$109,C28))</f>
        <v>25.015000000000001</v>
      </c>
      <c r="O28" s="17">
        <f t="shared" si="2"/>
        <v>10006</v>
      </c>
      <c r="P28" s="17">
        <f t="shared" si="3"/>
        <v>-15.979999999999563</v>
      </c>
      <c r="Q28" s="17">
        <f>IF(F28="cetes",IF(A28=G28,SUMIFS(Transacciones!$N$5:$N$20,Transacciones!$T$5:$T$20,E28,Transacciones!$F$5:$F$20,"&lt;"&amp;A28)*H28,0),0)</f>
        <v>0</v>
      </c>
      <c r="R28" s="11" t="str">
        <f>IF(COUNTIF(Entradas!$A$14:$A$17,A28)&gt;0,"sí","")</f>
        <v/>
      </c>
      <c r="S28" s="11" t="str">
        <f t="shared" si="4"/>
        <v>46277|Principal|DEMOFIB|Casa A</v>
      </c>
    </row>
    <row r="29" spans="1:19" x14ac:dyDescent="0.3">
      <c r="A29" s="20">
        <v>46277</v>
      </c>
      <c r="B29" s="21" t="s">
        <v>94</v>
      </c>
      <c r="C29" s="21" t="s">
        <v>132</v>
      </c>
      <c r="D29" s="21" t="s">
        <v>112</v>
      </c>
      <c r="E29" s="11" t="str">
        <f t="shared" si="0"/>
        <v>Principal|BI261008|Casa A</v>
      </c>
      <c r="F29" s="11" t="str">
        <f>INDEX(Entradas!$C$40:$C$46,MATCH(C29,Entradas!$A$40:$A$46,0))</f>
        <v>cetes</v>
      </c>
      <c r="G29" s="15">
        <f>IF(F29="cetes",INDEX(Entradas!$F$40:$F$46,MATCH(C29,Entradas!$A$40:$A$46,0)),"")</f>
        <v>46303</v>
      </c>
      <c r="H29" s="17">
        <f>IF(F29="cetes",INDEX(Entradas!$G$40:$G$46,MATCH(C29,Entradas!$A$40:$A$46,0)),"")</f>
        <v>10</v>
      </c>
      <c r="I29" s="14">
        <f>IF(F29="cetes",IF(A29&gt;=G29,0,SUMIFS(Transacciones!$N$5:$N$20,Transacciones!$T$5:$T$20,E29,Transacciones!$F$5:$F$20,"&lt;="&amp;A29)),SUMIFS(Transacciones!$N$5:$N$20,Transacciones!$T$5:$T$20,E29,Transacciones!$F$5:$F$20,"&lt;="&amp;A29))</f>
        <v>1500</v>
      </c>
      <c r="J29" s="14">
        <f>_xlfn.MAXIFS(Transacciones!$U$5:$U$20,Transacciones!$T$5:$T$20,E29,Transacciones!$F$5:$F$20,"&lt;="&amp;A29)</f>
        <v>46275003</v>
      </c>
      <c r="K29" s="18">
        <f>IF(I29=0,0,INDEX(Transacciones!$Z$5:$Z$20,MATCH(J29,Transacciones!$U$5:$U$20,0)))</f>
        <v>9.9516240000000007</v>
      </c>
      <c r="L29" s="17">
        <f t="shared" si="1"/>
        <v>14927.436000000002</v>
      </c>
      <c r="M29" s="15">
        <f>IF(F29="cetes",IF(COUNTIFS(CETES!$A$5:$A$95,A29,CETES!$B$5:$B$95,C29)=0,"",A29),SUMIFS(Precios!$K$5:$K$109,Precios!$I$5:$I$109,A29,Precios!$J$5:$J$109,C29))</f>
        <v>46277</v>
      </c>
      <c r="N29" s="18">
        <f>IF(F29="cetes",IF(COUNTIFS(CETES!$A$5:$A$95,A29,CETES!$B$5:$B$95,C29)=0,"",SUMIFS(CETES!$AF$5:$AF$95,CETES!$A$5:$A$95,A29,CETES!$B$5:$B$95,C29)),SUMIFS(Precios!$L$5:$L$109,Precios!$I$5:$I$109,A29,Precios!$J$5:$J$109,C29))</f>
        <v>9.9550639000000007</v>
      </c>
      <c r="O29" s="17">
        <f t="shared" si="2"/>
        <v>14932.595850000002</v>
      </c>
      <c r="P29" s="17">
        <f t="shared" si="3"/>
        <v>5.1598500000000058</v>
      </c>
      <c r="Q29" s="17">
        <f>IF(F29="cetes",IF(A29=G29,SUMIFS(Transacciones!$N$5:$N$20,Transacciones!$T$5:$T$20,E29,Transacciones!$F$5:$F$20,"&lt;"&amp;A29)*H29,0),0)</f>
        <v>0</v>
      </c>
      <c r="R29" s="11" t="str">
        <f>IF(COUNTIF(Entradas!$A$14:$A$17,A29)&gt;0,"sí","")</f>
        <v/>
      </c>
      <c r="S29" s="11" t="str">
        <f t="shared" si="4"/>
        <v>46277|Principal|BI261008|Casa A</v>
      </c>
    </row>
    <row r="30" spans="1:19" x14ac:dyDescent="0.3">
      <c r="A30" s="20">
        <v>46277</v>
      </c>
      <c r="B30" s="21" t="s">
        <v>94</v>
      </c>
      <c r="C30" s="21" t="s">
        <v>132</v>
      </c>
      <c r="D30" s="21" t="s">
        <v>113</v>
      </c>
      <c r="E30" s="11" t="str">
        <f t="shared" si="0"/>
        <v>Principal|BI261008|Casa B</v>
      </c>
      <c r="F30" s="11" t="str">
        <f>INDEX(Entradas!$C$40:$C$46,MATCH(C30,Entradas!$A$40:$A$46,0))</f>
        <v>cetes</v>
      </c>
      <c r="G30" s="15">
        <f>IF(F30="cetes",INDEX(Entradas!$F$40:$F$46,MATCH(C30,Entradas!$A$40:$A$46,0)),"")</f>
        <v>46303</v>
      </c>
      <c r="H30" s="17">
        <f>IF(F30="cetes",INDEX(Entradas!$G$40:$G$46,MATCH(C30,Entradas!$A$40:$A$46,0)),"")</f>
        <v>10</v>
      </c>
      <c r="I30" s="14">
        <f>IF(F30="cetes",IF(A30&gt;=G30,0,SUMIFS(Transacciones!$N$5:$N$20,Transacciones!$T$5:$T$20,E30,Transacciones!$F$5:$F$20,"&lt;="&amp;A30)),SUMIFS(Transacciones!$N$5:$N$20,Transacciones!$T$5:$T$20,E30,Transacciones!$F$5:$F$20,"&lt;="&amp;A30))</f>
        <v>1000</v>
      </c>
      <c r="J30" s="14">
        <f>_xlfn.MAXIFS(Transacciones!$U$5:$U$20,Transacciones!$T$5:$T$20,E30,Transacciones!$F$5:$F$20,"&lt;="&amp;A30)</f>
        <v>46275004</v>
      </c>
      <c r="K30" s="18">
        <f>IF(I30=0,0,INDEX(Transacciones!$Z$5:$Z$20,MATCH(J30,Transacciones!$U$5:$U$20,0)))</f>
        <v>9.9516239999999989</v>
      </c>
      <c r="L30" s="17">
        <f t="shared" si="1"/>
        <v>9951.6239999999998</v>
      </c>
      <c r="M30" s="15">
        <f>IF(F30="cetes",IF(COUNTIFS(CETES!$A$5:$A$95,A30,CETES!$B$5:$B$95,C30)=0,"",A30),SUMIFS(Precios!$K$5:$K$109,Precios!$I$5:$I$109,A30,Precios!$J$5:$J$109,C30))</f>
        <v>46277</v>
      </c>
      <c r="N30" s="18">
        <f>IF(F30="cetes",IF(COUNTIFS(CETES!$A$5:$A$95,A30,CETES!$B$5:$B$95,C30)=0,"",SUMIFS(CETES!$AF$5:$AF$95,CETES!$A$5:$A$95,A30,CETES!$B$5:$B$95,C30)),SUMIFS(Precios!$L$5:$L$109,Precios!$I$5:$I$109,A30,Precios!$J$5:$J$109,C30))</f>
        <v>9.9550639000000007</v>
      </c>
      <c r="O30" s="17">
        <f t="shared" si="2"/>
        <v>9955.063900000001</v>
      </c>
      <c r="P30" s="17">
        <f t="shared" si="3"/>
        <v>3.4399000000012165</v>
      </c>
      <c r="Q30" s="17">
        <f>IF(F30="cetes",IF(A30=G30,SUMIFS(Transacciones!$N$5:$N$20,Transacciones!$T$5:$T$20,E30,Transacciones!$F$5:$F$20,"&lt;"&amp;A30)*H30,0),0)</f>
        <v>0</v>
      </c>
      <c r="R30" s="11" t="str">
        <f>IF(COUNTIF(Entradas!$A$14:$A$17,A30)&gt;0,"sí","")</f>
        <v/>
      </c>
      <c r="S30" s="11" t="str">
        <f t="shared" si="4"/>
        <v>46277|Principal|BI261008|Casa B</v>
      </c>
    </row>
    <row r="31" spans="1:19" x14ac:dyDescent="0.3">
      <c r="A31" s="20">
        <v>46277</v>
      </c>
      <c r="B31" s="21" t="s">
        <v>94</v>
      </c>
      <c r="C31" s="21" t="s">
        <v>135</v>
      </c>
      <c r="D31" s="21" t="s">
        <v>113</v>
      </c>
      <c r="E31" s="11" t="str">
        <f t="shared" si="0"/>
        <v>Principal|BI261105|Casa B</v>
      </c>
      <c r="F31" s="11" t="str">
        <f>INDEX(Entradas!$C$40:$C$46,MATCH(C31,Entradas!$A$40:$A$46,0))</f>
        <v>cetes</v>
      </c>
      <c r="G31" s="15">
        <f>IF(F31="cetes",INDEX(Entradas!$F$40:$F$46,MATCH(C31,Entradas!$A$40:$A$46,0)),"")</f>
        <v>46331</v>
      </c>
      <c r="H31" s="17">
        <f>IF(F31="cetes",INDEX(Entradas!$G$40:$G$46,MATCH(C31,Entradas!$A$40:$A$46,0)),"")</f>
        <v>10</v>
      </c>
      <c r="I31" s="14">
        <f>IF(F31="cetes",IF(A31&gt;=G31,0,SUMIFS(Transacciones!$N$5:$N$20,Transacciones!$T$5:$T$20,E31,Transacciones!$F$5:$F$20,"&lt;="&amp;A31)),SUMIFS(Transacciones!$N$5:$N$20,Transacciones!$T$5:$T$20,E31,Transacciones!$F$5:$F$20,"&lt;="&amp;A31))</f>
        <v>0</v>
      </c>
      <c r="J31" s="14">
        <f>_xlfn.MAXIFS(Transacciones!$U$5:$U$20,Transacciones!$T$5:$T$20,E31,Transacciones!$F$5:$F$20,"&lt;="&amp;A31)</f>
        <v>0</v>
      </c>
      <c r="K31" s="18">
        <f>IF(I31=0,0,INDEX(Transacciones!$Z$5:$Z$20,MATCH(J31,Transacciones!$U$5:$U$20,0)))</f>
        <v>0</v>
      </c>
      <c r="L31" s="17">
        <f t="shared" si="1"/>
        <v>0</v>
      </c>
      <c r="M31" s="15" t="str">
        <f>IF(F31="cetes",IF(COUNTIFS(CETES!$A$5:$A$95,A31,CETES!$B$5:$B$95,C31)=0,"",A31),SUMIFS(Precios!$K$5:$K$109,Precios!$I$5:$I$109,A31,Precios!$J$5:$J$109,C31))</f>
        <v/>
      </c>
      <c r="N31" s="18" t="str">
        <f>IF(F31="cetes",IF(COUNTIFS(CETES!$A$5:$A$95,A31,CETES!$B$5:$B$95,C31)=0,"",SUMIFS(CETES!$AF$5:$AF$95,CETES!$A$5:$A$95,A31,CETES!$B$5:$B$95,C31)),SUMIFS(Precios!$L$5:$L$109,Precios!$I$5:$I$109,A31,Precios!$J$5:$J$109,C31))</f>
        <v/>
      </c>
      <c r="O31" s="17">
        <f t="shared" si="2"/>
        <v>0</v>
      </c>
      <c r="P31" s="17">
        <f t="shared" si="3"/>
        <v>0</v>
      </c>
      <c r="Q31" s="17">
        <f>IF(F31="cetes",IF(A31=G31,SUMIFS(Transacciones!$N$5:$N$20,Transacciones!$T$5:$T$20,E31,Transacciones!$F$5:$F$20,"&lt;"&amp;A31)*H31,0),0)</f>
        <v>0</v>
      </c>
      <c r="R31" s="11" t="str">
        <f>IF(COUNTIF(Entradas!$A$14:$A$17,A31)&gt;0,"sí","")</f>
        <v/>
      </c>
      <c r="S31" s="11" t="str">
        <f t="shared" si="4"/>
        <v>46277|Principal|BI261105|Casa B</v>
      </c>
    </row>
    <row r="32" spans="1:19" x14ac:dyDescent="0.3">
      <c r="A32" s="20">
        <v>46277</v>
      </c>
      <c r="B32" s="21" t="s">
        <v>94</v>
      </c>
      <c r="C32" s="21" t="s">
        <v>137</v>
      </c>
      <c r="D32" s="21" t="s">
        <v>112</v>
      </c>
      <c r="E32" s="11" t="str">
        <f t="shared" si="0"/>
        <v>Principal|BI261217|Casa A</v>
      </c>
      <c r="F32" s="11" t="str">
        <f>INDEX(Entradas!$C$40:$C$46,MATCH(C32,Entradas!$A$40:$A$46,0))</f>
        <v>cetes</v>
      </c>
      <c r="G32" s="15">
        <f>IF(F32="cetes",INDEX(Entradas!$F$40:$F$46,MATCH(C32,Entradas!$A$40:$A$46,0)),"")</f>
        <v>46373</v>
      </c>
      <c r="H32" s="17">
        <f>IF(F32="cetes",INDEX(Entradas!$G$40:$G$46,MATCH(C32,Entradas!$A$40:$A$46,0)),"")</f>
        <v>10</v>
      </c>
      <c r="I32" s="14">
        <f>IF(F32="cetes",IF(A32&gt;=G32,0,SUMIFS(Transacciones!$N$5:$N$20,Transacciones!$T$5:$T$20,E32,Transacciones!$F$5:$F$20,"&lt;="&amp;A32)),SUMIFS(Transacciones!$N$5:$N$20,Transacciones!$T$5:$T$20,E32,Transacciones!$F$5:$F$20,"&lt;="&amp;A32))</f>
        <v>0</v>
      </c>
      <c r="J32" s="14">
        <f>_xlfn.MAXIFS(Transacciones!$U$5:$U$20,Transacciones!$T$5:$T$20,E32,Transacciones!$F$5:$F$20,"&lt;="&amp;A32)</f>
        <v>0</v>
      </c>
      <c r="K32" s="18">
        <f>IF(I32=0,0,INDEX(Transacciones!$Z$5:$Z$20,MATCH(J32,Transacciones!$U$5:$U$20,0)))</f>
        <v>0</v>
      </c>
      <c r="L32" s="17">
        <f t="shared" si="1"/>
        <v>0</v>
      </c>
      <c r="M32" s="15" t="str">
        <f>IF(F32="cetes",IF(COUNTIFS(CETES!$A$5:$A$95,A32,CETES!$B$5:$B$95,C32)=0,"",A32),SUMIFS(Precios!$K$5:$K$109,Precios!$I$5:$I$109,A32,Precios!$J$5:$J$109,C32))</f>
        <v/>
      </c>
      <c r="N32" s="18" t="str">
        <f>IF(F32="cetes",IF(COUNTIFS(CETES!$A$5:$A$95,A32,CETES!$B$5:$B$95,C32)=0,"",SUMIFS(CETES!$AF$5:$AF$95,CETES!$A$5:$A$95,A32,CETES!$B$5:$B$95,C32)),SUMIFS(Precios!$L$5:$L$109,Precios!$I$5:$I$109,A32,Precios!$J$5:$J$109,C32))</f>
        <v/>
      </c>
      <c r="O32" s="17">
        <f t="shared" si="2"/>
        <v>0</v>
      </c>
      <c r="P32" s="17">
        <f t="shared" si="3"/>
        <v>0</v>
      </c>
      <c r="Q32" s="17">
        <f>IF(F32="cetes",IF(A32=G32,SUMIFS(Transacciones!$N$5:$N$20,Transacciones!$T$5:$T$20,E32,Transacciones!$F$5:$F$20,"&lt;"&amp;A32)*H32,0),0)</f>
        <v>0</v>
      </c>
      <c r="R32" s="11" t="str">
        <f>IF(COUNTIF(Entradas!$A$14:$A$17,A32)&gt;0,"sí","")</f>
        <v/>
      </c>
      <c r="S32" s="11" t="str">
        <f t="shared" si="4"/>
        <v>46277|Principal|BI261217|Casa A</v>
      </c>
    </row>
    <row r="33" spans="1:19" x14ac:dyDescent="0.3">
      <c r="A33" s="20">
        <v>46277</v>
      </c>
      <c r="B33" s="21" t="s">
        <v>94</v>
      </c>
      <c r="C33" s="21" t="s">
        <v>139</v>
      </c>
      <c r="D33" s="21" t="s">
        <v>113</v>
      </c>
      <c r="E33" s="11" t="str">
        <f t="shared" si="0"/>
        <v>Principal|BI270318|Casa B</v>
      </c>
      <c r="F33" s="11" t="str">
        <f>INDEX(Entradas!$C$40:$C$46,MATCH(C33,Entradas!$A$40:$A$46,0))</f>
        <v>cetes</v>
      </c>
      <c r="G33" s="15">
        <f>IF(F33="cetes",INDEX(Entradas!$F$40:$F$46,MATCH(C33,Entradas!$A$40:$A$46,0)),"")</f>
        <v>46464</v>
      </c>
      <c r="H33" s="17">
        <f>IF(F33="cetes",INDEX(Entradas!$G$40:$G$46,MATCH(C33,Entradas!$A$40:$A$46,0)),"")</f>
        <v>10</v>
      </c>
      <c r="I33" s="14">
        <f>IF(F33="cetes",IF(A33&gt;=G33,0,SUMIFS(Transacciones!$N$5:$N$20,Transacciones!$T$5:$T$20,E33,Transacciones!$F$5:$F$20,"&lt;="&amp;A33)),SUMIFS(Transacciones!$N$5:$N$20,Transacciones!$T$5:$T$20,E33,Transacciones!$F$5:$F$20,"&lt;="&amp;A33))</f>
        <v>0</v>
      </c>
      <c r="J33" s="14">
        <f>_xlfn.MAXIFS(Transacciones!$U$5:$U$20,Transacciones!$T$5:$T$20,E33,Transacciones!$F$5:$F$20,"&lt;="&amp;A33)</f>
        <v>0</v>
      </c>
      <c r="K33" s="18">
        <f>IF(I33=0,0,INDEX(Transacciones!$Z$5:$Z$20,MATCH(J33,Transacciones!$U$5:$U$20,0)))</f>
        <v>0</v>
      </c>
      <c r="L33" s="17">
        <f t="shared" si="1"/>
        <v>0</v>
      </c>
      <c r="M33" s="15" t="str">
        <f>IF(F33="cetes",IF(COUNTIFS(CETES!$A$5:$A$95,A33,CETES!$B$5:$B$95,C33)=0,"",A33),SUMIFS(Precios!$K$5:$K$109,Precios!$I$5:$I$109,A33,Precios!$J$5:$J$109,C33))</f>
        <v/>
      </c>
      <c r="N33" s="18" t="str">
        <f>IF(F33="cetes",IF(COUNTIFS(CETES!$A$5:$A$95,A33,CETES!$B$5:$B$95,C33)=0,"",SUMIFS(CETES!$AF$5:$AF$95,CETES!$A$5:$A$95,A33,CETES!$B$5:$B$95,C33)),SUMIFS(Precios!$L$5:$L$109,Precios!$I$5:$I$109,A33,Precios!$J$5:$J$109,C33))</f>
        <v/>
      </c>
      <c r="O33" s="17">
        <f t="shared" si="2"/>
        <v>0</v>
      </c>
      <c r="P33" s="17">
        <f t="shared" si="3"/>
        <v>0</v>
      </c>
      <c r="Q33" s="17">
        <f>IF(F33="cetes",IF(A33=G33,SUMIFS(Transacciones!$N$5:$N$20,Transacciones!$T$5:$T$20,E33,Transacciones!$F$5:$F$20,"&lt;"&amp;A33)*H33,0),0)</f>
        <v>0</v>
      </c>
      <c r="R33" s="11" t="str">
        <f>IF(COUNTIF(Entradas!$A$14:$A$17,A33)&gt;0,"sí","")</f>
        <v/>
      </c>
      <c r="S33" s="11" t="str">
        <f t="shared" si="4"/>
        <v>46277|Principal|BI270318|Casa B</v>
      </c>
    </row>
    <row r="34" spans="1:19" x14ac:dyDescent="0.3">
      <c r="A34" s="20">
        <v>46277</v>
      </c>
      <c r="B34" s="21" t="s">
        <v>103</v>
      </c>
      <c r="C34" s="21" t="s">
        <v>123</v>
      </c>
      <c r="D34" s="21" t="s">
        <v>112</v>
      </c>
      <c r="E34" s="11" t="str">
        <f t="shared" si="0"/>
        <v>Secundario|DEMOACC|Casa A</v>
      </c>
      <c r="F34" s="11" t="str">
        <f>INDEX(Entradas!$C$40:$C$46,MATCH(C34,Entradas!$A$40:$A$46,0))</f>
        <v>accion</v>
      </c>
      <c r="G34" s="15" t="str">
        <f>IF(F34="cetes",INDEX(Entradas!$F$40:$F$46,MATCH(C34,Entradas!$A$40:$A$46,0)),"")</f>
        <v/>
      </c>
      <c r="H34" s="17" t="str">
        <f>IF(F34="cetes",INDEX(Entradas!$G$40:$G$46,MATCH(C34,Entradas!$A$40:$A$46,0)),"")</f>
        <v/>
      </c>
      <c r="I34" s="14">
        <f>IF(F34="cetes",IF(A34&gt;=G34,0,SUMIFS(Transacciones!$N$5:$N$20,Transacciones!$T$5:$T$20,E34,Transacciones!$F$5:$F$20,"&lt;="&amp;A34)),SUMIFS(Transacciones!$N$5:$N$20,Transacciones!$T$5:$T$20,E34,Transacciones!$F$5:$F$20,"&lt;="&amp;A34))</f>
        <v>0</v>
      </c>
      <c r="J34" s="14">
        <f>_xlfn.MAXIFS(Transacciones!$U$5:$U$20,Transacciones!$T$5:$T$20,E34,Transacciones!$F$5:$F$20,"&lt;="&amp;A34)</f>
        <v>0</v>
      </c>
      <c r="K34" s="18">
        <f>IF(I34=0,0,INDEX(Transacciones!$Z$5:$Z$20,MATCH(J34,Transacciones!$U$5:$U$20,0)))</f>
        <v>0</v>
      </c>
      <c r="L34" s="17">
        <f t="shared" si="1"/>
        <v>0</v>
      </c>
      <c r="M34" s="15">
        <f>IF(F34="cetes",IF(COUNTIFS(CETES!$A$5:$A$95,A34,CETES!$B$5:$B$95,C34)=0,"",A34),SUMIFS(Precios!$K$5:$K$109,Precios!$I$5:$I$109,A34,Precios!$J$5:$J$109,C34))</f>
        <v>46276</v>
      </c>
      <c r="N34" s="18">
        <f>IF(F34="cetes",IF(COUNTIFS(CETES!$A$5:$A$95,A34,CETES!$B$5:$B$95,C34)=0,"",SUMIFS(CETES!$AF$5:$AF$95,CETES!$A$5:$A$95,A34,CETES!$B$5:$B$95,C34)),SUMIFS(Precios!$L$5:$L$109,Precios!$I$5:$I$109,A34,Precios!$J$5:$J$109,C34))</f>
        <v>101.85</v>
      </c>
      <c r="O34" s="17">
        <f t="shared" si="2"/>
        <v>0</v>
      </c>
      <c r="P34" s="17">
        <f t="shared" si="3"/>
        <v>0</v>
      </c>
      <c r="Q34" s="17">
        <f>IF(F34="cetes",IF(A34=G34,SUMIFS(Transacciones!$N$5:$N$20,Transacciones!$T$5:$T$20,E34,Transacciones!$F$5:$F$20,"&lt;"&amp;A34)*H34,0),0)</f>
        <v>0</v>
      </c>
      <c r="R34" s="11" t="str">
        <f>IF(COUNTIF(Entradas!$A$14:$A$17,A34)&gt;0,"sí","")</f>
        <v/>
      </c>
      <c r="S34" s="11" t="str">
        <f t="shared" si="4"/>
        <v>46277|Secundario|DEMOACC|Casa A</v>
      </c>
    </row>
    <row r="35" spans="1:19" x14ac:dyDescent="0.3">
      <c r="A35" s="20">
        <v>46278</v>
      </c>
      <c r="B35" s="21" t="s">
        <v>94</v>
      </c>
      <c r="C35" s="21" t="s">
        <v>123</v>
      </c>
      <c r="D35" s="21" t="s">
        <v>112</v>
      </c>
      <c r="E35" s="11" t="str">
        <f t="shared" si="0"/>
        <v>Principal|DEMOACC|Casa A</v>
      </c>
      <c r="F35" s="11" t="str">
        <f>INDEX(Entradas!$C$40:$C$46,MATCH(C35,Entradas!$A$40:$A$46,0))</f>
        <v>accion</v>
      </c>
      <c r="G35" s="15" t="str">
        <f>IF(F35="cetes",INDEX(Entradas!$F$40:$F$46,MATCH(C35,Entradas!$A$40:$A$46,0)),"")</f>
        <v/>
      </c>
      <c r="H35" s="17" t="str">
        <f>IF(F35="cetes",INDEX(Entradas!$G$40:$G$46,MATCH(C35,Entradas!$A$40:$A$46,0)),"")</f>
        <v/>
      </c>
      <c r="I35" s="14">
        <f>IF(F35="cetes",IF(A35&gt;=G35,0,SUMIFS(Transacciones!$N$5:$N$20,Transacciones!$T$5:$T$20,E35,Transacciones!$F$5:$F$20,"&lt;="&amp;A35)),SUMIFS(Transacciones!$N$5:$N$20,Transacciones!$T$5:$T$20,E35,Transacciones!$F$5:$F$20,"&lt;="&amp;A35))</f>
        <v>200</v>
      </c>
      <c r="J35" s="14">
        <f>_xlfn.MAXIFS(Transacciones!$U$5:$U$20,Transacciones!$T$5:$T$20,E35,Transacciones!$F$5:$F$20,"&lt;="&amp;A35)</f>
        <v>46275001</v>
      </c>
      <c r="K35" s="18">
        <f>IF(I35=0,0,INDEX(Transacciones!$Z$5:$Z$20,MATCH(J35,Transacciones!$U$5:$U$20,0)))</f>
        <v>100.23985</v>
      </c>
      <c r="L35" s="17">
        <f t="shared" si="1"/>
        <v>20047.97</v>
      </c>
      <c r="M35" s="15">
        <f>IF(F35="cetes",IF(COUNTIFS(CETES!$A$5:$A$95,A35,CETES!$B$5:$B$95,C35)=0,"",A35),SUMIFS(Precios!$K$5:$K$109,Precios!$I$5:$I$109,A35,Precios!$J$5:$J$109,C35))</f>
        <v>46276</v>
      </c>
      <c r="N35" s="18">
        <f>IF(F35="cetes",IF(COUNTIFS(CETES!$A$5:$A$95,A35,CETES!$B$5:$B$95,C35)=0,"",SUMIFS(CETES!$AF$5:$AF$95,CETES!$A$5:$A$95,A35,CETES!$B$5:$B$95,C35)),SUMIFS(Precios!$L$5:$L$109,Precios!$I$5:$I$109,A35,Precios!$J$5:$J$109,C35))</f>
        <v>101.85</v>
      </c>
      <c r="O35" s="17">
        <f t="shared" si="2"/>
        <v>20370</v>
      </c>
      <c r="P35" s="17">
        <f t="shared" si="3"/>
        <v>322.02999999999884</v>
      </c>
      <c r="Q35" s="17">
        <f>IF(F35="cetes",IF(A35=G35,SUMIFS(Transacciones!$N$5:$N$20,Transacciones!$T$5:$T$20,E35,Transacciones!$F$5:$F$20,"&lt;"&amp;A35)*H35,0),0)</f>
        <v>0</v>
      </c>
      <c r="R35" s="11" t="str">
        <f>IF(COUNTIF(Entradas!$A$14:$A$17,A35)&gt;0,"sí","")</f>
        <v>sí</v>
      </c>
      <c r="S35" s="11" t="str">
        <f t="shared" si="4"/>
        <v>46278|Principal|DEMOACC|Casa A</v>
      </c>
    </row>
    <row r="36" spans="1:19" x14ac:dyDescent="0.3">
      <c r="A36" s="20">
        <v>46278</v>
      </c>
      <c r="B36" s="21" t="s">
        <v>94</v>
      </c>
      <c r="C36" s="21" t="s">
        <v>123</v>
      </c>
      <c r="D36" s="21" t="s">
        <v>113</v>
      </c>
      <c r="E36" s="11" t="str">
        <f t="shared" si="0"/>
        <v>Principal|DEMOACC|Casa B</v>
      </c>
      <c r="F36" s="11" t="str">
        <f>INDEX(Entradas!$C$40:$C$46,MATCH(C36,Entradas!$A$40:$A$46,0))</f>
        <v>accion</v>
      </c>
      <c r="G36" s="15" t="str">
        <f>IF(F36="cetes",INDEX(Entradas!$F$40:$F$46,MATCH(C36,Entradas!$A$40:$A$46,0)),"")</f>
        <v/>
      </c>
      <c r="H36" s="17" t="str">
        <f>IF(F36="cetes",INDEX(Entradas!$G$40:$G$46,MATCH(C36,Entradas!$A$40:$A$46,0)),"")</f>
        <v/>
      </c>
      <c r="I36" s="14">
        <f>IF(F36="cetes",IF(A36&gt;=G36,0,SUMIFS(Transacciones!$N$5:$N$20,Transacciones!$T$5:$T$20,E36,Transacciones!$F$5:$F$20,"&lt;="&amp;A36)),SUMIFS(Transacciones!$N$5:$N$20,Transacciones!$T$5:$T$20,E36,Transacciones!$F$5:$F$20,"&lt;="&amp;A36))</f>
        <v>0</v>
      </c>
      <c r="J36" s="14">
        <f>_xlfn.MAXIFS(Transacciones!$U$5:$U$20,Transacciones!$T$5:$T$20,E36,Transacciones!$F$5:$F$20,"&lt;="&amp;A36)</f>
        <v>0</v>
      </c>
      <c r="K36" s="18">
        <f>IF(I36=0,0,INDEX(Transacciones!$Z$5:$Z$20,MATCH(J36,Transacciones!$U$5:$U$20,0)))</f>
        <v>0</v>
      </c>
      <c r="L36" s="17">
        <f t="shared" si="1"/>
        <v>0</v>
      </c>
      <c r="M36" s="15">
        <f>IF(F36="cetes",IF(COUNTIFS(CETES!$A$5:$A$95,A36,CETES!$B$5:$B$95,C36)=0,"",A36),SUMIFS(Precios!$K$5:$K$109,Precios!$I$5:$I$109,A36,Precios!$J$5:$J$109,C36))</f>
        <v>46276</v>
      </c>
      <c r="N36" s="18">
        <f>IF(F36="cetes",IF(COUNTIFS(CETES!$A$5:$A$95,A36,CETES!$B$5:$B$95,C36)=0,"",SUMIFS(CETES!$AF$5:$AF$95,CETES!$A$5:$A$95,A36,CETES!$B$5:$B$95,C36)),SUMIFS(Precios!$L$5:$L$109,Precios!$I$5:$I$109,A36,Precios!$J$5:$J$109,C36))</f>
        <v>101.85</v>
      </c>
      <c r="O36" s="17">
        <f t="shared" si="2"/>
        <v>0</v>
      </c>
      <c r="P36" s="17">
        <f t="shared" si="3"/>
        <v>0</v>
      </c>
      <c r="Q36" s="17">
        <f>IF(F36="cetes",IF(A36=G36,SUMIFS(Transacciones!$N$5:$N$20,Transacciones!$T$5:$T$20,E36,Transacciones!$F$5:$F$20,"&lt;"&amp;A36)*H36,0),0)</f>
        <v>0</v>
      </c>
      <c r="R36" s="11" t="str">
        <f>IF(COUNTIF(Entradas!$A$14:$A$17,A36)&gt;0,"sí","")</f>
        <v>sí</v>
      </c>
      <c r="S36" s="11" t="str">
        <f t="shared" si="4"/>
        <v>46278|Principal|DEMOACC|Casa B</v>
      </c>
    </row>
    <row r="37" spans="1:19" x14ac:dyDescent="0.3">
      <c r="A37" s="20">
        <v>46278</v>
      </c>
      <c r="B37" s="21" t="s">
        <v>94</v>
      </c>
      <c r="C37" s="21" t="s">
        <v>126</v>
      </c>
      <c r="D37" s="21" t="s">
        <v>113</v>
      </c>
      <c r="E37" s="11" t="str">
        <f t="shared" si="0"/>
        <v>Principal|DEMOETF|Casa B</v>
      </c>
      <c r="F37" s="11" t="str">
        <f>INDEX(Entradas!$C$40:$C$46,MATCH(C37,Entradas!$A$40:$A$46,0))</f>
        <v>etf</v>
      </c>
      <c r="G37" s="15" t="str">
        <f>IF(F37="cetes",INDEX(Entradas!$F$40:$F$46,MATCH(C37,Entradas!$A$40:$A$46,0)),"")</f>
        <v/>
      </c>
      <c r="H37" s="17" t="str">
        <f>IF(F37="cetes",INDEX(Entradas!$G$40:$G$46,MATCH(C37,Entradas!$A$40:$A$46,0)),"")</f>
        <v/>
      </c>
      <c r="I37" s="14">
        <f>IF(F37="cetes",IF(A37&gt;=G37,0,SUMIFS(Transacciones!$N$5:$N$20,Transacciones!$T$5:$T$20,E37,Transacciones!$F$5:$F$20,"&lt;="&amp;A37)),SUMIFS(Transacciones!$N$5:$N$20,Transacciones!$T$5:$T$20,E37,Transacciones!$F$5:$F$20,"&lt;="&amp;A37))</f>
        <v>100</v>
      </c>
      <c r="J37" s="14">
        <f>_xlfn.MAXIFS(Transacciones!$U$5:$U$20,Transacciones!$T$5:$T$20,E37,Transacciones!$F$5:$F$20,"&lt;="&amp;A37)</f>
        <v>46275002</v>
      </c>
      <c r="K37" s="18">
        <f>IF(I37=0,0,INDEX(Transacciones!$Z$5:$Z$20,MATCH(J37,Transacciones!$U$5:$U$20,0)))</f>
        <v>50.195100000000004</v>
      </c>
      <c r="L37" s="17">
        <f t="shared" si="1"/>
        <v>5019.51</v>
      </c>
      <c r="M37" s="15">
        <f>IF(F37="cetes",IF(COUNTIFS(CETES!$A$5:$A$95,A37,CETES!$B$5:$B$95,C37)=0,"",A37),SUMIFS(Precios!$K$5:$K$109,Precios!$I$5:$I$109,A37,Precios!$J$5:$J$109,C37))</f>
        <v>46276</v>
      </c>
      <c r="N37" s="18">
        <f>IF(F37="cetes",IF(COUNTIFS(CETES!$A$5:$A$95,A37,CETES!$B$5:$B$95,C37)=0,"",SUMIFS(CETES!$AF$5:$AF$95,CETES!$A$5:$A$95,A37,CETES!$B$5:$B$95,C37)),SUMIFS(Precios!$L$5:$L$109,Precios!$I$5:$I$109,A37,Precios!$J$5:$J$109,C37))</f>
        <v>50.62</v>
      </c>
      <c r="O37" s="17">
        <f t="shared" si="2"/>
        <v>5062</v>
      </c>
      <c r="P37" s="17">
        <f t="shared" si="3"/>
        <v>42.489999999999782</v>
      </c>
      <c r="Q37" s="17">
        <f>IF(F37="cetes",IF(A37=G37,SUMIFS(Transacciones!$N$5:$N$20,Transacciones!$T$5:$T$20,E37,Transacciones!$F$5:$F$20,"&lt;"&amp;A37)*H37,0),0)</f>
        <v>0</v>
      </c>
      <c r="R37" s="11" t="str">
        <f>IF(COUNTIF(Entradas!$A$14:$A$17,A37)&gt;0,"sí","")</f>
        <v>sí</v>
      </c>
      <c r="S37" s="11" t="str">
        <f t="shared" si="4"/>
        <v>46278|Principal|DEMOETF|Casa B</v>
      </c>
    </row>
    <row r="38" spans="1:19" x14ac:dyDescent="0.3">
      <c r="A38" s="20">
        <v>46278</v>
      </c>
      <c r="B38" s="21" t="s">
        <v>94</v>
      </c>
      <c r="C38" s="21" t="s">
        <v>129</v>
      </c>
      <c r="D38" s="21" t="s">
        <v>112</v>
      </c>
      <c r="E38" s="11" t="str">
        <f t="shared" si="0"/>
        <v>Principal|DEMOFIB|Casa A</v>
      </c>
      <c r="F38" s="11" t="str">
        <f>INDEX(Entradas!$C$40:$C$46,MATCH(C38,Entradas!$A$40:$A$46,0))</f>
        <v>fibra</v>
      </c>
      <c r="G38" s="15" t="str">
        <f>IF(F38="cetes",INDEX(Entradas!$F$40:$F$46,MATCH(C38,Entradas!$A$40:$A$46,0)),"")</f>
        <v/>
      </c>
      <c r="H38" s="17" t="str">
        <f>IF(F38="cetes",INDEX(Entradas!$G$40:$G$46,MATCH(C38,Entradas!$A$40:$A$46,0)),"")</f>
        <v/>
      </c>
      <c r="I38" s="14">
        <f>IF(F38="cetes",IF(A38&gt;=G38,0,SUMIFS(Transacciones!$N$5:$N$20,Transacciones!$T$5:$T$20,E38,Transacciones!$F$5:$F$20,"&lt;="&amp;A38)),SUMIFS(Transacciones!$N$5:$N$20,Transacciones!$T$5:$T$20,E38,Transacciones!$F$5:$F$20,"&lt;="&amp;A38))</f>
        <v>400</v>
      </c>
      <c r="J38" s="14">
        <f>_xlfn.MAXIFS(Transacciones!$U$5:$U$20,Transacciones!$T$5:$T$20,E38,Transacciones!$F$5:$F$20,"&lt;="&amp;A38)</f>
        <v>46276005</v>
      </c>
      <c r="K38" s="18">
        <f>IF(I38=0,0,INDEX(Transacciones!$Z$5:$Z$20,MATCH(J38,Transacciones!$U$5:$U$20,0)))</f>
        <v>25.054949999999998</v>
      </c>
      <c r="L38" s="17">
        <f t="shared" si="1"/>
        <v>10021.98</v>
      </c>
      <c r="M38" s="15">
        <f>IF(F38="cetes",IF(COUNTIFS(CETES!$A$5:$A$95,A38,CETES!$B$5:$B$95,C38)=0,"",A38),SUMIFS(Precios!$K$5:$K$109,Precios!$I$5:$I$109,A38,Precios!$J$5:$J$109,C38))</f>
        <v>46276</v>
      </c>
      <c r="N38" s="18">
        <f>IF(F38="cetes",IF(COUNTIFS(CETES!$A$5:$A$95,A38,CETES!$B$5:$B$95,C38)=0,"",SUMIFS(CETES!$AF$5:$AF$95,CETES!$A$5:$A$95,A38,CETES!$B$5:$B$95,C38)),SUMIFS(Precios!$L$5:$L$109,Precios!$I$5:$I$109,A38,Precios!$J$5:$J$109,C38))</f>
        <v>25.015000000000001</v>
      </c>
      <c r="O38" s="17">
        <f t="shared" si="2"/>
        <v>10006</v>
      </c>
      <c r="P38" s="17">
        <f t="shared" si="3"/>
        <v>-15.979999999999563</v>
      </c>
      <c r="Q38" s="17">
        <f>IF(F38="cetes",IF(A38=G38,SUMIFS(Transacciones!$N$5:$N$20,Transacciones!$T$5:$T$20,E38,Transacciones!$F$5:$F$20,"&lt;"&amp;A38)*H38,0),0)</f>
        <v>0</v>
      </c>
      <c r="R38" s="11" t="str">
        <f>IF(COUNTIF(Entradas!$A$14:$A$17,A38)&gt;0,"sí","")</f>
        <v>sí</v>
      </c>
      <c r="S38" s="11" t="str">
        <f t="shared" si="4"/>
        <v>46278|Principal|DEMOFIB|Casa A</v>
      </c>
    </row>
    <row r="39" spans="1:19" x14ac:dyDescent="0.3">
      <c r="A39" s="20">
        <v>46278</v>
      </c>
      <c r="B39" s="21" t="s">
        <v>94</v>
      </c>
      <c r="C39" s="21" t="s">
        <v>132</v>
      </c>
      <c r="D39" s="21" t="s">
        <v>112</v>
      </c>
      <c r="E39" s="11" t="str">
        <f t="shared" si="0"/>
        <v>Principal|BI261008|Casa A</v>
      </c>
      <c r="F39" s="11" t="str">
        <f>INDEX(Entradas!$C$40:$C$46,MATCH(C39,Entradas!$A$40:$A$46,0))</f>
        <v>cetes</v>
      </c>
      <c r="G39" s="15">
        <f>IF(F39="cetes",INDEX(Entradas!$F$40:$F$46,MATCH(C39,Entradas!$A$40:$A$46,0)),"")</f>
        <v>46303</v>
      </c>
      <c r="H39" s="17">
        <f>IF(F39="cetes",INDEX(Entradas!$G$40:$G$46,MATCH(C39,Entradas!$A$40:$A$46,0)),"")</f>
        <v>10</v>
      </c>
      <c r="I39" s="14">
        <f>IF(F39="cetes",IF(A39&gt;=G39,0,SUMIFS(Transacciones!$N$5:$N$20,Transacciones!$T$5:$T$20,E39,Transacciones!$F$5:$F$20,"&lt;="&amp;A39)),SUMIFS(Transacciones!$N$5:$N$20,Transacciones!$T$5:$T$20,E39,Transacciones!$F$5:$F$20,"&lt;="&amp;A39))</f>
        <v>1500</v>
      </c>
      <c r="J39" s="14">
        <f>_xlfn.MAXIFS(Transacciones!$U$5:$U$20,Transacciones!$T$5:$T$20,E39,Transacciones!$F$5:$F$20,"&lt;="&amp;A39)</f>
        <v>46275003</v>
      </c>
      <c r="K39" s="18">
        <f>IF(I39=0,0,INDEX(Transacciones!$Z$5:$Z$20,MATCH(J39,Transacciones!$U$5:$U$20,0)))</f>
        <v>9.9516240000000007</v>
      </c>
      <c r="L39" s="17">
        <f t="shared" si="1"/>
        <v>14927.436000000002</v>
      </c>
      <c r="M39" s="15">
        <f>IF(F39="cetes",IF(COUNTIFS(CETES!$A$5:$A$95,A39,CETES!$B$5:$B$95,C39)=0,"",A39),SUMIFS(Precios!$K$5:$K$109,Precios!$I$5:$I$109,A39,Precios!$J$5:$J$109,C39))</f>
        <v>46278</v>
      </c>
      <c r="N39" s="18">
        <f>IF(F39="cetes",IF(COUNTIFS(CETES!$A$5:$A$95,A39,CETES!$B$5:$B$95,C39)=0,"",SUMIFS(CETES!$AF$5:$AF$95,CETES!$A$5:$A$95,A39,CETES!$B$5:$B$95,C39)),SUMIFS(Precios!$L$5:$L$109,Precios!$I$5:$I$109,A39,Precios!$J$5:$J$109,C39))</f>
        <v>9.9567847999999994</v>
      </c>
      <c r="O39" s="17">
        <f t="shared" si="2"/>
        <v>14935.177199999998</v>
      </c>
      <c r="P39" s="17">
        <f t="shared" si="3"/>
        <v>7.741199999996752</v>
      </c>
      <c r="Q39" s="17">
        <f>IF(F39="cetes",IF(A39=G39,SUMIFS(Transacciones!$N$5:$N$20,Transacciones!$T$5:$T$20,E39,Transacciones!$F$5:$F$20,"&lt;"&amp;A39)*H39,0),0)</f>
        <v>0</v>
      </c>
      <c r="R39" s="11" t="str">
        <f>IF(COUNTIF(Entradas!$A$14:$A$17,A39)&gt;0,"sí","")</f>
        <v>sí</v>
      </c>
      <c r="S39" s="11" t="str">
        <f t="shared" si="4"/>
        <v>46278|Principal|BI261008|Casa A</v>
      </c>
    </row>
    <row r="40" spans="1:19" x14ac:dyDescent="0.3">
      <c r="A40" s="20">
        <v>46278</v>
      </c>
      <c r="B40" s="21" t="s">
        <v>94</v>
      </c>
      <c r="C40" s="21" t="s">
        <v>132</v>
      </c>
      <c r="D40" s="21" t="s">
        <v>113</v>
      </c>
      <c r="E40" s="11" t="str">
        <f t="shared" si="0"/>
        <v>Principal|BI261008|Casa B</v>
      </c>
      <c r="F40" s="11" t="str">
        <f>INDEX(Entradas!$C$40:$C$46,MATCH(C40,Entradas!$A$40:$A$46,0))</f>
        <v>cetes</v>
      </c>
      <c r="G40" s="15">
        <f>IF(F40="cetes",INDEX(Entradas!$F$40:$F$46,MATCH(C40,Entradas!$A$40:$A$46,0)),"")</f>
        <v>46303</v>
      </c>
      <c r="H40" s="17">
        <f>IF(F40="cetes",INDEX(Entradas!$G$40:$G$46,MATCH(C40,Entradas!$A$40:$A$46,0)),"")</f>
        <v>10</v>
      </c>
      <c r="I40" s="14">
        <f>IF(F40="cetes",IF(A40&gt;=G40,0,SUMIFS(Transacciones!$N$5:$N$20,Transacciones!$T$5:$T$20,E40,Transacciones!$F$5:$F$20,"&lt;="&amp;A40)),SUMIFS(Transacciones!$N$5:$N$20,Transacciones!$T$5:$T$20,E40,Transacciones!$F$5:$F$20,"&lt;="&amp;A40))</f>
        <v>1000</v>
      </c>
      <c r="J40" s="14">
        <f>_xlfn.MAXIFS(Transacciones!$U$5:$U$20,Transacciones!$T$5:$T$20,E40,Transacciones!$F$5:$F$20,"&lt;="&amp;A40)</f>
        <v>46275004</v>
      </c>
      <c r="K40" s="18">
        <f>IF(I40=0,0,INDEX(Transacciones!$Z$5:$Z$20,MATCH(J40,Transacciones!$U$5:$U$20,0)))</f>
        <v>9.9516239999999989</v>
      </c>
      <c r="L40" s="17">
        <f t="shared" si="1"/>
        <v>9951.6239999999998</v>
      </c>
      <c r="M40" s="15">
        <f>IF(F40="cetes",IF(COUNTIFS(CETES!$A$5:$A$95,A40,CETES!$B$5:$B$95,C40)=0,"",A40),SUMIFS(Precios!$K$5:$K$109,Precios!$I$5:$I$109,A40,Precios!$J$5:$J$109,C40))</f>
        <v>46278</v>
      </c>
      <c r="N40" s="18">
        <f>IF(F40="cetes",IF(COUNTIFS(CETES!$A$5:$A$95,A40,CETES!$B$5:$B$95,C40)=0,"",SUMIFS(CETES!$AF$5:$AF$95,CETES!$A$5:$A$95,A40,CETES!$B$5:$B$95,C40)),SUMIFS(Precios!$L$5:$L$109,Precios!$I$5:$I$109,A40,Precios!$J$5:$J$109,C40))</f>
        <v>9.9567847999999994</v>
      </c>
      <c r="O40" s="17">
        <f t="shared" si="2"/>
        <v>9956.7847999999994</v>
      </c>
      <c r="P40" s="17">
        <f t="shared" si="3"/>
        <v>5.1607999999996537</v>
      </c>
      <c r="Q40" s="17">
        <f>IF(F40="cetes",IF(A40=G40,SUMIFS(Transacciones!$N$5:$N$20,Transacciones!$T$5:$T$20,E40,Transacciones!$F$5:$F$20,"&lt;"&amp;A40)*H40,0),0)</f>
        <v>0</v>
      </c>
      <c r="R40" s="11" t="str">
        <f>IF(COUNTIF(Entradas!$A$14:$A$17,A40)&gt;0,"sí","")</f>
        <v>sí</v>
      </c>
      <c r="S40" s="11" t="str">
        <f t="shared" si="4"/>
        <v>46278|Principal|BI261008|Casa B</v>
      </c>
    </row>
    <row r="41" spans="1:19" x14ac:dyDescent="0.3">
      <c r="A41" s="20">
        <v>46278</v>
      </c>
      <c r="B41" s="21" t="s">
        <v>94</v>
      </c>
      <c r="C41" s="21" t="s">
        <v>135</v>
      </c>
      <c r="D41" s="21" t="s">
        <v>113</v>
      </c>
      <c r="E41" s="11" t="str">
        <f t="shared" si="0"/>
        <v>Principal|BI261105|Casa B</v>
      </c>
      <c r="F41" s="11" t="str">
        <f>INDEX(Entradas!$C$40:$C$46,MATCH(C41,Entradas!$A$40:$A$46,0))</f>
        <v>cetes</v>
      </c>
      <c r="G41" s="15">
        <f>IF(F41="cetes",INDEX(Entradas!$F$40:$F$46,MATCH(C41,Entradas!$A$40:$A$46,0)),"")</f>
        <v>46331</v>
      </c>
      <c r="H41" s="17">
        <f>IF(F41="cetes",INDEX(Entradas!$G$40:$G$46,MATCH(C41,Entradas!$A$40:$A$46,0)),"")</f>
        <v>10</v>
      </c>
      <c r="I41" s="14">
        <f>IF(F41="cetes",IF(A41&gt;=G41,0,SUMIFS(Transacciones!$N$5:$N$20,Transacciones!$T$5:$T$20,E41,Transacciones!$F$5:$F$20,"&lt;="&amp;A41)),SUMIFS(Transacciones!$N$5:$N$20,Transacciones!$T$5:$T$20,E41,Transacciones!$F$5:$F$20,"&lt;="&amp;A41))</f>
        <v>0</v>
      </c>
      <c r="J41" s="14">
        <f>_xlfn.MAXIFS(Transacciones!$U$5:$U$20,Transacciones!$T$5:$T$20,E41,Transacciones!$F$5:$F$20,"&lt;="&amp;A41)</f>
        <v>0</v>
      </c>
      <c r="K41" s="18">
        <f>IF(I41=0,0,INDEX(Transacciones!$Z$5:$Z$20,MATCH(J41,Transacciones!$U$5:$U$20,0)))</f>
        <v>0</v>
      </c>
      <c r="L41" s="17">
        <f t="shared" si="1"/>
        <v>0</v>
      </c>
      <c r="M41" s="15" t="str">
        <f>IF(F41="cetes",IF(COUNTIFS(CETES!$A$5:$A$95,A41,CETES!$B$5:$B$95,C41)=0,"",A41),SUMIFS(Precios!$K$5:$K$109,Precios!$I$5:$I$109,A41,Precios!$J$5:$J$109,C41))</f>
        <v/>
      </c>
      <c r="N41" s="18" t="str">
        <f>IF(F41="cetes",IF(COUNTIFS(CETES!$A$5:$A$95,A41,CETES!$B$5:$B$95,C41)=0,"",SUMIFS(CETES!$AF$5:$AF$95,CETES!$A$5:$A$95,A41,CETES!$B$5:$B$95,C41)),SUMIFS(Precios!$L$5:$L$109,Precios!$I$5:$I$109,A41,Precios!$J$5:$J$109,C41))</f>
        <v/>
      </c>
      <c r="O41" s="17">
        <f t="shared" si="2"/>
        <v>0</v>
      </c>
      <c r="P41" s="17">
        <f t="shared" si="3"/>
        <v>0</v>
      </c>
      <c r="Q41" s="17">
        <f>IF(F41="cetes",IF(A41=G41,SUMIFS(Transacciones!$N$5:$N$20,Transacciones!$T$5:$T$20,E41,Transacciones!$F$5:$F$20,"&lt;"&amp;A41)*H41,0),0)</f>
        <v>0</v>
      </c>
      <c r="R41" s="11" t="str">
        <f>IF(COUNTIF(Entradas!$A$14:$A$17,A41)&gt;0,"sí","")</f>
        <v>sí</v>
      </c>
      <c r="S41" s="11" t="str">
        <f t="shared" si="4"/>
        <v>46278|Principal|BI261105|Casa B</v>
      </c>
    </row>
    <row r="42" spans="1:19" x14ac:dyDescent="0.3">
      <c r="A42" s="20">
        <v>46278</v>
      </c>
      <c r="B42" s="21" t="s">
        <v>94</v>
      </c>
      <c r="C42" s="21" t="s">
        <v>137</v>
      </c>
      <c r="D42" s="21" t="s">
        <v>112</v>
      </c>
      <c r="E42" s="11" t="str">
        <f t="shared" si="0"/>
        <v>Principal|BI261217|Casa A</v>
      </c>
      <c r="F42" s="11" t="str">
        <f>INDEX(Entradas!$C$40:$C$46,MATCH(C42,Entradas!$A$40:$A$46,0))</f>
        <v>cetes</v>
      </c>
      <c r="G42" s="15">
        <f>IF(F42="cetes",INDEX(Entradas!$F$40:$F$46,MATCH(C42,Entradas!$A$40:$A$46,0)),"")</f>
        <v>46373</v>
      </c>
      <c r="H42" s="17">
        <f>IF(F42="cetes",INDEX(Entradas!$G$40:$G$46,MATCH(C42,Entradas!$A$40:$A$46,0)),"")</f>
        <v>10</v>
      </c>
      <c r="I42" s="14">
        <f>IF(F42="cetes",IF(A42&gt;=G42,0,SUMIFS(Transacciones!$N$5:$N$20,Transacciones!$T$5:$T$20,E42,Transacciones!$F$5:$F$20,"&lt;="&amp;A42)),SUMIFS(Transacciones!$N$5:$N$20,Transacciones!$T$5:$T$20,E42,Transacciones!$F$5:$F$20,"&lt;="&amp;A42))</f>
        <v>0</v>
      </c>
      <c r="J42" s="14">
        <f>_xlfn.MAXIFS(Transacciones!$U$5:$U$20,Transacciones!$T$5:$T$20,E42,Transacciones!$F$5:$F$20,"&lt;="&amp;A42)</f>
        <v>0</v>
      </c>
      <c r="K42" s="18">
        <f>IF(I42=0,0,INDEX(Transacciones!$Z$5:$Z$20,MATCH(J42,Transacciones!$U$5:$U$20,0)))</f>
        <v>0</v>
      </c>
      <c r="L42" s="17">
        <f t="shared" si="1"/>
        <v>0</v>
      </c>
      <c r="M42" s="15" t="str">
        <f>IF(F42="cetes",IF(COUNTIFS(CETES!$A$5:$A$95,A42,CETES!$B$5:$B$95,C42)=0,"",A42),SUMIFS(Precios!$K$5:$K$109,Precios!$I$5:$I$109,A42,Precios!$J$5:$J$109,C42))</f>
        <v/>
      </c>
      <c r="N42" s="18" t="str">
        <f>IF(F42="cetes",IF(COUNTIFS(CETES!$A$5:$A$95,A42,CETES!$B$5:$B$95,C42)=0,"",SUMIFS(CETES!$AF$5:$AF$95,CETES!$A$5:$A$95,A42,CETES!$B$5:$B$95,C42)),SUMIFS(Precios!$L$5:$L$109,Precios!$I$5:$I$109,A42,Precios!$J$5:$J$109,C42))</f>
        <v/>
      </c>
      <c r="O42" s="17">
        <f t="shared" si="2"/>
        <v>0</v>
      </c>
      <c r="P42" s="17">
        <f t="shared" si="3"/>
        <v>0</v>
      </c>
      <c r="Q42" s="17">
        <f>IF(F42="cetes",IF(A42=G42,SUMIFS(Transacciones!$N$5:$N$20,Transacciones!$T$5:$T$20,E42,Transacciones!$F$5:$F$20,"&lt;"&amp;A42)*H42,0),0)</f>
        <v>0</v>
      </c>
      <c r="R42" s="11" t="str">
        <f>IF(COUNTIF(Entradas!$A$14:$A$17,A42)&gt;0,"sí","")</f>
        <v>sí</v>
      </c>
      <c r="S42" s="11" t="str">
        <f t="shared" si="4"/>
        <v>46278|Principal|BI261217|Casa A</v>
      </c>
    </row>
    <row r="43" spans="1:19" x14ac:dyDescent="0.3">
      <c r="A43" s="20">
        <v>46278</v>
      </c>
      <c r="B43" s="21" t="s">
        <v>94</v>
      </c>
      <c r="C43" s="21" t="s">
        <v>139</v>
      </c>
      <c r="D43" s="21" t="s">
        <v>113</v>
      </c>
      <c r="E43" s="11" t="str">
        <f t="shared" si="0"/>
        <v>Principal|BI270318|Casa B</v>
      </c>
      <c r="F43" s="11" t="str">
        <f>INDEX(Entradas!$C$40:$C$46,MATCH(C43,Entradas!$A$40:$A$46,0))</f>
        <v>cetes</v>
      </c>
      <c r="G43" s="15">
        <f>IF(F43="cetes",INDEX(Entradas!$F$40:$F$46,MATCH(C43,Entradas!$A$40:$A$46,0)),"")</f>
        <v>46464</v>
      </c>
      <c r="H43" s="17">
        <f>IF(F43="cetes",INDEX(Entradas!$G$40:$G$46,MATCH(C43,Entradas!$A$40:$A$46,0)),"")</f>
        <v>10</v>
      </c>
      <c r="I43" s="14">
        <f>IF(F43="cetes",IF(A43&gt;=G43,0,SUMIFS(Transacciones!$N$5:$N$20,Transacciones!$T$5:$T$20,E43,Transacciones!$F$5:$F$20,"&lt;="&amp;A43)),SUMIFS(Transacciones!$N$5:$N$20,Transacciones!$T$5:$T$20,E43,Transacciones!$F$5:$F$20,"&lt;="&amp;A43))</f>
        <v>0</v>
      </c>
      <c r="J43" s="14">
        <f>_xlfn.MAXIFS(Transacciones!$U$5:$U$20,Transacciones!$T$5:$T$20,E43,Transacciones!$F$5:$F$20,"&lt;="&amp;A43)</f>
        <v>0</v>
      </c>
      <c r="K43" s="18">
        <f>IF(I43=0,0,INDEX(Transacciones!$Z$5:$Z$20,MATCH(J43,Transacciones!$U$5:$U$20,0)))</f>
        <v>0</v>
      </c>
      <c r="L43" s="17">
        <f t="shared" si="1"/>
        <v>0</v>
      </c>
      <c r="M43" s="15" t="str">
        <f>IF(F43="cetes",IF(COUNTIFS(CETES!$A$5:$A$95,A43,CETES!$B$5:$B$95,C43)=0,"",A43),SUMIFS(Precios!$K$5:$K$109,Precios!$I$5:$I$109,A43,Precios!$J$5:$J$109,C43))</f>
        <v/>
      </c>
      <c r="N43" s="18" t="str">
        <f>IF(F43="cetes",IF(COUNTIFS(CETES!$A$5:$A$95,A43,CETES!$B$5:$B$95,C43)=0,"",SUMIFS(CETES!$AF$5:$AF$95,CETES!$A$5:$A$95,A43,CETES!$B$5:$B$95,C43)),SUMIFS(Precios!$L$5:$L$109,Precios!$I$5:$I$109,A43,Precios!$J$5:$J$109,C43))</f>
        <v/>
      </c>
      <c r="O43" s="17">
        <f t="shared" si="2"/>
        <v>0</v>
      </c>
      <c r="P43" s="17">
        <f t="shared" si="3"/>
        <v>0</v>
      </c>
      <c r="Q43" s="17">
        <f>IF(F43="cetes",IF(A43=G43,SUMIFS(Transacciones!$N$5:$N$20,Transacciones!$T$5:$T$20,E43,Transacciones!$F$5:$F$20,"&lt;"&amp;A43)*H43,0),0)</f>
        <v>0</v>
      </c>
      <c r="R43" s="11" t="str">
        <f>IF(COUNTIF(Entradas!$A$14:$A$17,A43)&gt;0,"sí","")</f>
        <v>sí</v>
      </c>
      <c r="S43" s="11" t="str">
        <f t="shared" si="4"/>
        <v>46278|Principal|BI270318|Casa B</v>
      </c>
    </row>
    <row r="44" spans="1:19" x14ac:dyDescent="0.3">
      <c r="A44" s="20">
        <v>46278</v>
      </c>
      <c r="B44" s="21" t="s">
        <v>103</v>
      </c>
      <c r="C44" s="21" t="s">
        <v>123</v>
      </c>
      <c r="D44" s="21" t="s">
        <v>112</v>
      </c>
      <c r="E44" s="11" t="str">
        <f t="shared" si="0"/>
        <v>Secundario|DEMOACC|Casa A</v>
      </c>
      <c r="F44" s="11" t="str">
        <f>INDEX(Entradas!$C$40:$C$46,MATCH(C44,Entradas!$A$40:$A$46,0))</f>
        <v>accion</v>
      </c>
      <c r="G44" s="15" t="str">
        <f>IF(F44="cetes",INDEX(Entradas!$F$40:$F$46,MATCH(C44,Entradas!$A$40:$A$46,0)),"")</f>
        <v/>
      </c>
      <c r="H44" s="17" t="str">
        <f>IF(F44="cetes",INDEX(Entradas!$G$40:$G$46,MATCH(C44,Entradas!$A$40:$A$46,0)),"")</f>
        <v/>
      </c>
      <c r="I44" s="14">
        <f>IF(F44="cetes",IF(A44&gt;=G44,0,SUMIFS(Transacciones!$N$5:$N$20,Transacciones!$T$5:$T$20,E44,Transacciones!$F$5:$F$20,"&lt;="&amp;A44)),SUMIFS(Transacciones!$N$5:$N$20,Transacciones!$T$5:$T$20,E44,Transacciones!$F$5:$F$20,"&lt;="&amp;A44))</f>
        <v>0</v>
      </c>
      <c r="J44" s="14">
        <f>_xlfn.MAXIFS(Transacciones!$U$5:$U$20,Transacciones!$T$5:$T$20,E44,Transacciones!$F$5:$F$20,"&lt;="&amp;A44)</f>
        <v>0</v>
      </c>
      <c r="K44" s="18">
        <f>IF(I44=0,0,INDEX(Transacciones!$Z$5:$Z$20,MATCH(J44,Transacciones!$U$5:$U$20,0)))</f>
        <v>0</v>
      </c>
      <c r="L44" s="17">
        <f t="shared" si="1"/>
        <v>0</v>
      </c>
      <c r="M44" s="15">
        <f>IF(F44="cetes",IF(COUNTIFS(CETES!$A$5:$A$95,A44,CETES!$B$5:$B$95,C44)=0,"",A44),SUMIFS(Precios!$K$5:$K$109,Precios!$I$5:$I$109,A44,Precios!$J$5:$J$109,C44))</f>
        <v>46276</v>
      </c>
      <c r="N44" s="18">
        <f>IF(F44="cetes",IF(COUNTIFS(CETES!$A$5:$A$95,A44,CETES!$B$5:$B$95,C44)=0,"",SUMIFS(CETES!$AF$5:$AF$95,CETES!$A$5:$A$95,A44,CETES!$B$5:$B$95,C44)),SUMIFS(Precios!$L$5:$L$109,Precios!$I$5:$I$109,A44,Precios!$J$5:$J$109,C44))</f>
        <v>101.85</v>
      </c>
      <c r="O44" s="17">
        <f t="shared" si="2"/>
        <v>0</v>
      </c>
      <c r="P44" s="17">
        <f t="shared" si="3"/>
        <v>0</v>
      </c>
      <c r="Q44" s="17">
        <f>IF(F44="cetes",IF(A44=G44,SUMIFS(Transacciones!$N$5:$N$20,Transacciones!$T$5:$T$20,E44,Transacciones!$F$5:$F$20,"&lt;"&amp;A44)*H44,0),0)</f>
        <v>0</v>
      </c>
      <c r="R44" s="11" t="str">
        <f>IF(COUNTIF(Entradas!$A$14:$A$17,A44)&gt;0,"sí","")</f>
        <v>sí</v>
      </c>
      <c r="S44" s="11" t="str">
        <f t="shared" si="4"/>
        <v>46278|Secundario|DEMOACC|Casa A</v>
      </c>
    </row>
    <row r="45" spans="1:19" x14ac:dyDescent="0.3">
      <c r="A45" s="20">
        <v>46279</v>
      </c>
      <c r="B45" s="21" t="s">
        <v>94</v>
      </c>
      <c r="C45" s="21" t="s">
        <v>123</v>
      </c>
      <c r="D45" s="21" t="s">
        <v>112</v>
      </c>
      <c r="E45" s="11" t="str">
        <f t="shared" si="0"/>
        <v>Principal|DEMOACC|Casa A</v>
      </c>
      <c r="F45" s="11" t="str">
        <f>INDEX(Entradas!$C$40:$C$46,MATCH(C45,Entradas!$A$40:$A$46,0))</f>
        <v>accion</v>
      </c>
      <c r="G45" s="15" t="str">
        <f>IF(F45="cetes",INDEX(Entradas!$F$40:$F$46,MATCH(C45,Entradas!$A$40:$A$46,0)),"")</f>
        <v/>
      </c>
      <c r="H45" s="17" t="str">
        <f>IF(F45="cetes",INDEX(Entradas!$G$40:$G$46,MATCH(C45,Entradas!$A$40:$A$46,0)),"")</f>
        <v/>
      </c>
      <c r="I45" s="14">
        <f>IF(F45="cetes",IF(A45&gt;=G45,0,SUMIFS(Transacciones!$N$5:$N$20,Transacciones!$T$5:$T$20,E45,Transacciones!$F$5:$F$20,"&lt;="&amp;A45)),SUMIFS(Transacciones!$N$5:$N$20,Transacciones!$T$5:$T$20,E45,Transacciones!$F$5:$F$20,"&lt;="&amp;A45))</f>
        <v>200</v>
      </c>
      <c r="J45" s="14">
        <f>_xlfn.MAXIFS(Transacciones!$U$5:$U$20,Transacciones!$T$5:$T$20,E45,Transacciones!$F$5:$F$20,"&lt;="&amp;A45)</f>
        <v>46275001</v>
      </c>
      <c r="K45" s="18">
        <f>IF(I45=0,0,INDEX(Transacciones!$Z$5:$Z$20,MATCH(J45,Transacciones!$U$5:$U$20,0)))</f>
        <v>100.23985</v>
      </c>
      <c r="L45" s="17">
        <f t="shared" si="1"/>
        <v>20047.97</v>
      </c>
      <c r="M45" s="15">
        <f>IF(F45="cetes",IF(COUNTIFS(CETES!$A$5:$A$95,A45,CETES!$B$5:$B$95,C45)=0,"",A45),SUMIFS(Precios!$K$5:$K$109,Precios!$I$5:$I$109,A45,Precios!$J$5:$J$109,C45))</f>
        <v>46279</v>
      </c>
      <c r="N45" s="18">
        <f>IF(F45="cetes",IF(COUNTIFS(CETES!$A$5:$A$95,A45,CETES!$B$5:$B$95,C45)=0,"",SUMIFS(CETES!$AF$5:$AF$95,CETES!$A$5:$A$95,A45,CETES!$B$5:$B$95,C45)),SUMIFS(Precios!$L$5:$L$109,Precios!$I$5:$I$109,A45,Precios!$J$5:$J$109,C45))</f>
        <v>103.4</v>
      </c>
      <c r="O45" s="17">
        <f t="shared" si="2"/>
        <v>20680</v>
      </c>
      <c r="P45" s="17">
        <f t="shared" si="3"/>
        <v>632.02999999999884</v>
      </c>
      <c r="Q45" s="17">
        <f>IF(F45="cetes",IF(A45=G45,SUMIFS(Transacciones!$N$5:$N$20,Transacciones!$T$5:$T$20,E45,Transacciones!$F$5:$F$20,"&lt;"&amp;A45)*H45,0),0)</f>
        <v>0</v>
      </c>
      <c r="R45" s="11" t="str">
        <f>IF(COUNTIF(Entradas!$A$14:$A$17,A45)&gt;0,"sí","")</f>
        <v/>
      </c>
      <c r="S45" s="11" t="str">
        <f t="shared" si="4"/>
        <v>46279|Principal|DEMOACC|Casa A</v>
      </c>
    </row>
    <row r="46" spans="1:19" x14ac:dyDescent="0.3">
      <c r="A46" s="20">
        <v>46279</v>
      </c>
      <c r="B46" s="21" t="s">
        <v>94</v>
      </c>
      <c r="C46" s="21" t="s">
        <v>123</v>
      </c>
      <c r="D46" s="21" t="s">
        <v>113</v>
      </c>
      <c r="E46" s="11" t="str">
        <f t="shared" si="0"/>
        <v>Principal|DEMOACC|Casa B</v>
      </c>
      <c r="F46" s="11" t="str">
        <f>INDEX(Entradas!$C$40:$C$46,MATCH(C46,Entradas!$A$40:$A$46,0))</f>
        <v>accion</v>
      </c>
      <c r="G46" s="15" t="str">
        <f>IF(F46="cetes",INDEX(Entradas!$F$40:$F$46,MATCH(C46,Entradas!$A$40:$A$46,0)),"")</f>
        <v/>
      </c>
      <c r="H46" s="17" t="str">
        <f>IF(F46="cetes",INDEX(Entradas!$G$40:$G$46,MATCH(C46,Entradas!$A$40:$A$46,0)),"")</f>
        <v/>
      </c>
      <c r="I46" s="14">
        <f>IF(F46="cetes",IF(A46&gt;=G46,0,SUMIFS(Transacciones!$N$5:$N$20,Transacciones!$T$5:$T$20,E46,Transacciones!$F$5:$F$20,"&lt;="&amp;A46)),SUMIFS(Transacciones!$N$5:$N$20,Transacciones!$T$5:$T$20,E46,Transacciones!$F$5:$F$20,"&lt;="&amp;A46))</f>
        <v>100</v>
      </c>
      <c r="J46" s="14">
        <f>_xlfn.MAXIFS(Transacciones!$U$5:$U$20,Transacciones!$T$5:$T$20,E46,Transacciones!$F$5:$F$20,"&lt;="&amp;A46)</f>
        <v>46279006</v>
      </c>
      <c r="K46" s="18">
        <f>IF(I46=0,0,INDEX(Transacciones!$Z$5:$Z$20,MATCH(J46,Transacciones!$U$5:$U$20,0)))</f>
        <v>103.399</v>
      </c>
      <c r="L46" s="17">
        <f t="shared" si="1"/>
        <v>10339.9</v>
      </c>
      <c r="M46" s="15">
        <f>IF(F46="cetes",IF(COUNTIFS(CETES!$A$5:$A$95,A46,CETES!$B$5:$B$95,C46)=0,"",A46),SUMIFS(Precios!$K$5:$K$109,Precios!$I$5:$I$109,A46,Precios!$J$5:$J$109,C46))</f>
        <v>46279</v>
      </c>
      <c r="N46" s="18">
        <f>IF(F46="cetes",IF(COUNTIFS(CETES!$A$5:$A$95,A46,CETES!$B$5:$B$95,C46)=0,"",SUMIFS(CETES!$AF$5:$AF$95,CETES!$A$5:$A$95,A46,CETES!$B$5:$B$95,C46)),SUMIFS(Precios!$L$5:$L$109,Precios!$I$5:$I$109,A46,Precios!$J$5:$J$109,C46))</f>
        <v>103.4</v>
      </c>
      <c r="O46" s="17">
        <f t="shared" si="2"/>
        <v>10340</v>
      </c>
      <c r="P46" s="17">
        <f t="shared" si="3"/>
        <v>0.1000000000003638</v>
      </c>
      <c r="Q46" s="17">
        <f>IF(F46="cetes",IF(A46=G46,SUMIFS(Transacciones!$N$5:$N$20,Transacciones!$T$5:$T$20,E46,Transacciones!$F$5:$F$20,"&lt;"&amp;A46)*H46,0),0)</f>
        <v>0</v>
      </c>
      <c r="R46" s="11" t="str">
        <f>IF(COUNTIF(Entradas!$A$14:$A$17,A46)&gt;0,"sí","")</f>
        <v/>
      </c>
      <c r="S46" s="11" t="str">
        <f t="shared" si="4"/>
        <v>46279|Principal|DEMOACC|Casa B</v>
      </c>
    </row>
    <row r="47" spans="1:19" x14ac:dyDescent="0.3">
      <c r="A47" s="20">
        <v>46279</v>
      </c>
      <c r="B47" s="21" t="s">
        <v>94</v>
      </c>
      <c r="C47" s="21" t="s">
        <v>126</v>
      </c>
      <c r="D47" s="21" t="s">
        <v>113</v>
      </c>
      <c r="E47" s="11" t="str">
        <f t="shared" si="0"/>
        <v>Principal|DEMOETF|Casa B</v>
      </c>
      <c r="F47" s="11" t="str">
        <f>INDEX(Entradas!$C$40:$C$46,MATCH(C47,Entradas!$A$40:$A$46,0))</f>
        <v>etf</v>
      </c>
      <c r="G47" s="15" t="str">
        <f>IF(F47="cetes",INDEX(Entradas!$F$40:$F$46,MATCH(C47,Entradas!$A$40:$A$46,0)),"")</f>
        <v/>
      </c>
      <c r="H47" s="17" t="str">
        <f>IF(F47="cetes",INDEX(Entradas!$G$40:$G$46,MATCH(C47,Entradas!$A$40:$A$46,0)),"")</f>
        <v/>
      </c>
      <c r="I47" s="14">
        <f>IF(F47="cetes",IF(A47&gt;=G47,0,SUMIFS(Transacciones!$N$5:$N$20,Transacciones!$T$5:$T$20,E47,Transacciones!$F$5:$F$20,"&lt;="&amp;A47)),SUMIFS(Transacciones!$N$5:$N$20,Transacciones!$T$5:$T$20,E47,Transacciones!$F$5:$F$20,"&lt;="&amp;A47))</f>
        <v>100</v>
      </c>
      <c r="J47" s="14">
        <f>_xlfn.MAXIFS(Transacciones!$U$5:$U$20,Transacciones!$T$5:$T$20,E47,Transacciones!$F$5:$F$20,"&lt;="&amp;A47)</f>
        <v>46275002</v>
      </c>
      <c r="K47" s="18">
        <f>IF(I47=0,0,INDEX(Transacciones!$Z$5:$Z$20,MATCH(J47,Transacciones!$U$5:$U$20,0)))</f>
        <v>50.195100000000004</v>
      </c>
      <c r="L47" s="17">
        <f t="shared" si="1"/>
        <v>5019.51</v>
      </c>
      <c r="M47" s="15">
        <f>IF(F47="cetes",IF(COUNTIFS(CETES!$A$5:$A$95,A47,CETES!$B$5:$B$95,C47)=0,"",A47),SUMIFS(Precios!$K$5:$K$109,Precios!$I$5:$I$109,A47,Precios!$J$5:$J$109,C47))</f>
        <v>46279</v>
      </c>
      <c r="N47" s="18">
        <f>IF(F47="cetes",IF(COUNTIFS(CETES!$A$5:$A$95,A47,CETES!$B$5:$B$95,C47)=0,"",SUMIFS(CETES!$AF$5:$AF$95,CETES!$A$5:$A$95,A47,CETES!$B$5:$B$95,C47)),SUMIFS(Precios!$L$5:$L$109,Precios!$I$5:$I$109,A47,Precios!$J$5:$J$109,C47))</f>
        <v>51.05</v>
      </c>
      <c r="O47" s="17">
        <f t="shared" si="2"/>
        <v>5105</v>
      </c>
      <c r="P47" s="17">
        <f t="shared" si="3"/>
        <v>85.489999999999782</v>
      </c>
      <c r="Q47" s="17">
        <f>IF(F47="cetes",IF(A47=G47,SUMIFS(Transacciones!$N$5:$N$20,Transacciones!$T$5:$T$20,E47,Transacciones!$F$5:$F$20,"&lt;"&amp;A47)*H47,0),0)</f>
        <v>0</v>
      </c>
      <c r="R47" s="11" t="str">
        <f>IF(COUNTIF(Entradas!$A$14:$A$17,A47)&gt;0,"sí","")</f>
        <v/>
      </c>
      <c r="S47" s="11" t="str">
        <f t="shared" si="4"/>
        <v>46279|Principal|DEMOETF|Casa B</v>
      </c>
    </row>
    <row r="48" spans="1:19" x14ac:dyDescent="0.3">
      <c r="A48" s="20">
        <v>46279</v>
      </c>
      <c r="B48" s="21" t="s">
        <v>94</v>
      </c>
      <c r="C48" s="21" t="s">
        <v>129</v>
      </c>
      <c r="D48" s="21" t="s">
        <v>112</v>
      </c>
      <c r="E48" s="11" t="str">
        <f t="shared" si="0"/>
        <v>Principal|DEMOFIB|Casa A</v>
      </c>
      <c r="F48" s="11" t="str">
        <f>INDEX(Entradas!$C$40:$C$46,MATCH(C48,Entradas!$A$40:$A$46,0))</f>
        <v>fibra</v>
      </c>
      <c r="G48" s="15" t="str">
        <f>IF(F48="cetes",INDEX(Entradas!$F$40:$F$46,MATCH(C48,Entradas!$A$40:$A$46,0)),"")</f>
        <v/>
      </c>
      <c r="H48" s="17" t="str">
        <f>IF(F48="cetes",INDEX(Entradas!$G$40:$G$46,MATCH(C48,Entradas!$A$40:$A$46,0)),"")</f>
        <v/>
      </c>
      <c r="I48" s="14">
        <f>IF(F48="cetes",IF(A48&gt;=G48,0,SUMIFS(Transacciones!$N$5:$N$20,Transacciones!$T$5:$T$20,E48,Transacciones!$F$5:$F$20,"&lt;="&amp;A48)),SUMIFS(Transacciones!$N$5:$N$20,Transacciones!$T$5:$T$20,E48,Transacciones!$F$5:$F$20,"&lt;="&amp;A48))</f>
        <v>400</v>
      </c>
      <c r="J48" s="14">
        <f>_xlfn.MAXIFS(Transacciones!$U$5:$U$20,Transacciones!$T$5:$T$20,E48,Transacciones!$F$5:$F$20,"&lt;="&amp;A48)</f>
        <v>46276005</v>
      </c>
      <c r="K48" s="18">
        <f>IF(I48=0,0,INDEX(Transacciones!$Z$5:$Z$20,MATCH(J48,Transacciones!$U$5:$U$20,0)))</f>
        <v>25.054949999999998</v>
      </c>
      <c r="L48" s="17">
        <f t="shared" si="1"/>
        <v>10021.98</v>
      </c>
      <c r="M48" s="15">
        <f>IF(F48="cetes",IF(COUNTIFS(CETES!$A$5:$A$95,A48,CETES!$B$5:$B$95,C48)=0,"",A48),SUMIFS(Precios!$K$5:$K$109,Precios!$I$5:$I$109,A48,Precios!$J$5:$J$109,C48))</f>
        <v>46279</v>
      </c>
      <c r="N48" s="18">
        <f>IF(F48="cetes",IF(COUNTIFS(CETES!$A$5:$A$95,A48,CETES!$B$5:$B$95,C48)=0,"",SUMIFS(CETES!$AF$5:$AF$95,CETES!$A$5:$A$95,A48,CETES!$B$5:$B$95,C48)),SUMIFS(Precios!$L$5:$L$109,Precios!$I$5:$I$109,A48,Precios!$J$5:$J$109,C48))</f>
        <v>25.237500000000001</v>
      </c>
      <c r="O48" s="17">
        <f t="shared" si="2"/>
        <v>10095</v>
      </c>
      <c r="P48" s="17">
        <f t="shared" si="3"/>
        <v>73.020000000000437</v>
      </c>
      <c r="Q48" s="17">
        <f>IF(F48="cetes",IF(A48=G48,SUMIFS(Transacciones!$N$5:$N$20,Transacciones!$T$5:$T$20,E48,Transacciones!$F$5:$F$20,"&lt;"&amp;A48)*H48,0),0)</f>
        <v>0</v>
      </c>
      <c r="R48" s="11" t="str">
        <f>IF(COUNTIF(Entradas!$A$14:$A$17,A48)&gt;0,"sí","")</f>
        <v/>
      </c>
      <c r="S48" s="11" t="str">
        <f t="shared" si="4"/>
        <v>46279|Principal|DEMOFIB|Casa A</v>
      </c>
    </row>
    <row r="49" spans="1:19" x14ac:dyDescent="0.3">
      <c r="A49" s="20">
        <v>46279</v>
      </c>
      <c r="B49" s="21" t="s">
        <v>94</v>
      </c>
      <c r="C49" s="21" t="s">
        <v>132</v>
      </c>
      <c r="D49" s="21" t="s">
        <v>112</v>
      </c>
      <c r="E49" s="11" t="str">
        <f t="shared" si="0"/>
        <v>Principal|BI261008|Casa A</v>
      </c>
      <c r="F49" s="11" t="str">
        <f>INDEX(Entradas!$C$40:$C$46,MATCH(C49,Entradas!$A$40:$A$46,0))</f>
        <v>cetes</v>
      </c>
      <c r="G49" s="15">
        <f>IF(F49="cetes",INDEX(Entradas!$F$40:$F$46,MATCH(C49,Entradas!$A$40:$A$46,0)),"")</f>
        <v>46303</v>
      </c>
      <c r="H49" s="17">
        <f>IF(F49="cetes",INDEX(Entradas!$G$40:$G$46,MATCH(C49,Entradas!$A$40:$A$46,0)),"")</f>
        <v>10</v>
      </c>
      <c r="I49" s="14">
        <f>IF(F49="cetes",IF(A49&gt;=G49,0,SUMIFS(Transacciones!$N$5:$N$20,Transacciones!$T$5:$T$20,E49,Transacciones!$F$5:$F$20,"&lt;="&amp;A49)),SUMIFS(Transacciones!$N$5:$N$20,Transacciones!$T$5:$T$20,E49,Transacciones!$F$5:$F$20,"&lt;="&amp;A49))</f>
        <v>1500</v>
      </c>
      <c r="J49" s="14">
        <f>_xlfn.MAXIFS(Transacciones!$U$5:$U$20,Transacciones!$T$5:$T$20,E49,Transacciones!$F$5:$F$20,"&lt;="&amp;A49)</f>
        <v>46275003</v>
      </c>
      <c r="K49" s="18">
        <f>IF(I49=0,0,INDEX(Transacciones!$Z$5:$Z$20,MATCH(J49,Transacciones!$U$5:$U$20,0)))</f>
        <v>9.9516240000000007</v>
      </c>
      <c r="L49" s="17">
        <f t="shared" si="1"/>
        <v>14927.436000000002</v>
      </c>
      <c r="M49" s="15">
        <f>IF(F49="cetes",IF(COUNTIFS(CETES!$A$5:$A$95,A49,CETES!$B$5:$B$95,C49)=0,"",A49),SUMIFS(Precios!$K$5:$K$109,Precios!$I$5:$I$109,A49,Precios!$J$5:$J$109,C49))</f>
        <v>46279</v>
      </c>
      <c r="N49" s="18">
        <f>IF(F49="cetes",IF(COUNTIFS(CETES!$A$5:$A$95,A49,CETES!$B$5:$B$95,C49)=0,"",SUMIFS(CETES!$AF$5:$AF$95,CETES!$A$5:$A$95,A49,CETES!$B$5:$B$95,C49)),SUMIFS(Precios!$L$5:$L$109,Precios!$I$5:$I$109,A49,Precios!$J$5:$J$109,C49))</f>
        <v>9.9585062000000004</v>
      </c>
      <c r="O49" s="17">
        <f t="shared" si="2"/>
        <v>14937.759300000002</v>
      </c>
      <c r="P49" s="17">
        <f t="shared" si="3"/>
        <v>10.323300000000017</v>
      </c>
      <c r="Q49" s="17">
        <f>IF(F49="cetes",IF(A49=G49,SUMIFS(Transacciones!$N$5:$N$20,Transacciones!$T$5:$T$20,E49,Transacciones!$F$5:$F$20,"&lt;"&amp;A49)*H49,0),0)</f>
        <v>0</v>
      </c>
      <c r="R49" s="11" t="str">
        <f>IF(COUNTIF(Entradas!$A$14:$A$17,A49)&gt;0,"sí","")</f>
        <v/>
      </c>
      <c r="S49" s="11" t="str">
        <f t="shared" si="4"/>
        <v>46279|Principal|BI261008|Casa A</v>
      </c>
    </row>
    <row r="50" spans="1:19" x14ac:dyDescent="0.3">
      <c r="A50" s="20">
        <v>46279</v>
      </c>
      <c r="B50" s="21" t="s">
        <v>94</v>
      </c>
      <c r="C50" s="21" t="s">
        <v>132</v>
      </c>
      <c r="D50" s="21" t="s">
        <v>113</v>
      </c>
      <c r="E50" s="11" t="str">
        <f t="shared" si="0"/>
        <v>Principal|BI261008|Casa B</v>
      </c>
      <c r="F50" s="11" t="str">
        <f>INDEX(Entradas!$C$40:$C$46,MATCH(C50,Entradas!$A$40:$A$46,0))</f>
        <v>cetes</v>
      </c>
      <c r="G50" s="15">
        <f>IF(F50="cetes",INDEX(Entradas!$F$40:$F$46,MATCH(C50,Entradas!$A$40:$A$46,0)),"")</f>
        <v>46303</v>
      </c>
      <c r="H50" s="17">
        <f>IF(F50="cetes",INDEX(Entradas!$G$40:$G$46,MATCH(C50,Entradas!$A$40:$A$46,0)),"")</f>
        <v>10</v>
      </c>
      <c r="I50" s="14">
        <f>IF(F50="cetes",IF(A50&gt;=G50,0,SUMIFS(Transacciones!$N$5:$N$20,Transacciones!$T$5:$T$20,E50,Transacciones!$F$5:$F$20,"&lt;="&amp;A50)),SUMIFS(Transacciones!$N$5:$N$20,Transacciones!$T$5:$T$20,E50,Transacciones!$F$5:$F$20,"&lt;="&amp;A50))</f>
        <v>1000</v>
      </c>
      <c r="J50" s="14">
        <f>_xlfn.MAXIFS(Transacciones!$U$5:$U$20,Transacciones!$T$5:$T$20,E50,Transacciones!$F$5:$F$20,"&lt;="&amp;A50)</f>
        <v>46275004</v>
      </c>
      <c r="K50" s="18">
        <f>IF(I50=0,0,INDEX(Transacciones!$Z$5:$Z$20,MATCH(J50,Transacciones!$U$5:$U$20,0)))</f>
        <v>9.9516239999999989</v>
      </c>
      <c r="L50" s="17">
        <f t="shared" si="1"/>
        <v>9951.6239999999998</v>
      </c>
      <c r="M50" s="15">
        <f>IF(F50="cetes",IF(COUNTIFS(CETES!$A$5:$A$95,A50,CETES!$B$5:$B$95,C50)=0,"",A50),SUMIFS(Precios!$K$5:$K$109,Precios!$I$5:$I$109,A50,Precios!$J$5:$J$109,C50))</f>
        <v>46279</v>
      </c>
      <c r="N50" s="18">
        <f>IF(F50="cetes",IF(COUNTIFS(CETES!$A$5:$A$95,A50,CETES!$B$5:$B$95,C50)=0,"",SUMIFS(CETES!$AF$5:$AF$95,CETES!$A$5:$A$95,A50,CETES!$B$5:$B$95,C50)),SUMIFS(Precios!$L$5:$L$109,Precios!$I$5:$I$109,A50,Precios!$J$5:$J$109,C50))</f>
        <v>9.9585062000000004</v>
      </c>
      <c r="O50" s="17">
        <f t="shared" si="2"/>
        <v>9958.5061999999998</v>
      </c>
      <c r="P50" s="17">
        <f t="shared" si="3"/>
        <v>6.8822000000000116</v>
      </c>
      <c r="Q50" s="17">
        <f>IF(F50="cetes",IF(A50=G50,SUMIFS(Transacciones!$N$5:$N$20,Transacciones!$T$5:$T$20,E50,Transacciones!$F$5:$F$20,"&lt;"&amp;A50)*H50,0),0)</f>
        <v>0</v>
      </c>
      <c r="R50" s="11" t="str">
        <f>IF(COUNTIF(Entradas!$A$14:$A$17,A50)&gt;0,"sí","")</f>
        <v/>
      </c>
      <c r="S50" s="11" t="str">
        <f t="shared" si="4"/>
        <v>46279|Principal|BI261008|Casa B</v>
      </c>
    </row>
    <row r="51" spans="1:19" x14ac:dyDescent="0.3">
      <c r="A51" s="20">
        <v>46279</v>
      </c>
      <c r="B51" s="21" t="s">
        <v>94</v>
      </c>
      <c r="C51" s="21" t="s">
        <v>135</v>
      </c>
      <c r="D51" s="21" t="s">
        <v>113</v>
      </c>
      <c r="E51" s="11" t="str">
        <f t="shared" si="0"/>
        <v>Principal|BI261105|Casa B</v>
      </c>
      <c r="F51" s="11" t="str">
        <f>INDEX(Entradas!$C$40:$C$46,MATCH(C51,Entradas!$A$40:$A$46,0))</f>
        <v>cetes</v>
      </c>
      <c r="G51" s="15">
        <f>IF(F51="cetes",INDEX(Entradas!$F$40:$F$46,MATCH(C51,Entradas!$A$40:$A$46,0)),"")</f>
        <v>46331</v>
      </c>
      <c r="H51" s="17">
        <f>IF(F51="cetes",INDEX(Entradas!$G$40:$G$46,MATCH(C51,Entradas!$A$40:$A$46,0)),"")</f>
        <v>10</v>
      </c>
      <c r="I51" s="14">
        <f>IF(F51="cetes",IF(A51&gt;=G51,0,SUMIFS(Transacciones!$N$5:$N$20,Transacciones!$T$5:$T$20,E51,Transacciones!$F$5:$F$20,"&lt;="&amp;A51)),SUMIFS(Transacciones!$N$5:$N$20,Transacciones!$T$5:$T$20,E51,Transacciones!$F$5:$F$20,"&lt;="&amp;A51))</f>
        <v>0</v>
      </c>
      <c r="J51" s="14">
        <f>_xlfn.MAXIFS(Transacciones!$U$5:$U$20,Transacciones!$T$5:$T$20,E51,Transacciones!$F$5:$F$20,"&lt;="&amp;A51)</f>
        <v>0</v>
      </c>
      <c r="K51" s="18">
        <f>IF(I51=0,0,INDEX(Transacciones!$Z$5:$Z$20,MATCH(J51,Transacciones!$U$5:$U$20,0)))</f>
        <v>0</v>
      </c>
      <c r="L51" s="17">
        <f t="shared" si="1"/>
        <v>0</v>
      </c>
      <c r="M51" s="15" t="str">
        <f>IF(F51="cetes",IF(COUNTIFS(CETES!$A$5:$A$95,A51,CETES!$B$5:$B$95,C51)=0,"",A51),SUMIFS(Precios!$K$5:$K$109,Precios!$I$5:$I$109,A51,Precios!$J$5:$J$109,C51))</f>
        <v/>
      </c>
      <c r="N51" s="18" t="str">
        <f>IF(F51="cetes",IF(COUNTIFS(CETES!$A$5:$A$95,A51,CETES!$B$5:$B$95,C51)=0,"",SUMIFS(CETES!$AF$5:$AF$95,CETES!$A$5:$A$95,A51,CETES!$B$5:$B$95,C51)),SUMIFS(Precios!$L$5:$L$109,Precios!$I$5:$I$109,A51,Precios!$J$5:$J$109,C51))</f>
        <v/>
      </c>
      <c r="O51" s="17">
        <f t="shared" si="2"/>
        <v>0</v>
      </c>
      <c r="P51" s="17">
        <f t="shared" si="3"/>
        <v>0</v>
      </c>
      <c r="Q51" s="17">
        <f>IF(F51="cetes",IF(A51=G51,SUMIFS(Transacciones!$N$5:$N$20,Transacciones!$T$5:$T$20,E51,Transacciones!$F$5:$F$20,"&lt;"&amp;A51)*H51,0),0)</f>
        <v>0</v>
      </c>
      <c r="R51" s="11" t="str">
        <f>IF(COUNTIF(Entradas!$A$14:$A$17,A51)&gt;0,"sí","")</f>
        <v/>
      </c>
      <c r="S51" s="11" t="str">
        <f t="shared" si="4"/>
        <v>46279|Principal|BI261105|Casa B</v>
      </c>
    </row>
    <row r="52" spans="1:19" x14ac:dyDescent="0.3">
      <c r="A52" s="20">
        <v>46279</v>
      </c>
      <c r="B52" s="21" t="s">
        <v>94</v>
      </c>
      <c r="C52" s="21" t="s">
        <v>137</v>
      </c>
      <c r="D52" s="21" t="s">
        <v>112</v>
      </c>
      <c r="E52" s="11" t="str">
        <f t="shared" si="0"/>
        <v>Principal|BI261217|Casa A</v>
      </c>
      <c r="F52" s="11" t="str">
        <f>INDEX(Entradas!$C$40:$C$46,MATCH(C52,Entradas!$A$40:$A$46,0))</f>
        <v>cetes</v>
      </c>
      <c r="G52" s="15">
        <f>IF(F52="cetes",INDEX(Entradas!$F$40:$F$46,MATCH(C52,Entradas!$A$40:$A$46,0)),"")</f>
        <v>46373</v>
      </c>
      <c r="H52" s="17">
        <f>IF(F52="cetes",INDEX(Entradas!$G$40:$G$46,MATCH(C52,Entradas!$A$40:$A$46,0)),"")</f>
        <v>10</v>
      </c>
      <c r="I52" s="14">
        <f>IF(F52="cetes",IF(A52&gt;=G52,0,SUMIFS(Transacciones!$N$5:$N$20,Transacciones!$T$5:$T$20,E52,Transacciones!$F$5:$F$20,"&lt;="&amp;A52)),SUMIFS(Transacciones!$N$5:$N$20,Transacciones!$T$5:$T$20,E52,Transacciones!$F$5:$F$20,"&lt;="&amp;A52))</f>
        <v>0</v>
      </c>
      <c r="J52" s="14">
        <f>_xlfn.MAXIFS(Transacciones!$U$5:$U$20,Transacciones!$T$5:$T$20,E52,Transacciones!$F$5:$F$20,"&lt;="&amp;A52)</f>
        <v>0</v>
      </c>
      <c r="K52" s="18">
        <f>IF(I52=0,0,INDEX(Transacciones!$Z$5:$Z$20,MATCH(J52,Transacciones!$U$5:$U$20,0)))</f>
        <v>0</v>
      </c>
      <c r="L52" s="17">
        <f t="shared" si="1"/>
        <v>0</v>
      </c>
      <c r="M52" s="15" t="str">
        <f>IF(F52="cetes",IF(COUNTIFS(CETES!$A$5:$A$95,A52,CETES!$B$5:$B$95,C52)=0,"",A52),SUMIFS(Precios!$K$5:$K$109,Precios!$I$5:$I$109,A52,Precios!$J$5:$J$109,C52))</f>
        <v/>
      </c>
      <c r="N52" s="18" t="str">
        <f>IF(F52="cetes",IF(COUNTIFS(CETES!$A$5:$A$95,A52,CETES!$B$5:$B$95,C52)=0,"",SUMIFS(CETES!$AF$5:$AF$95,CETES!$A$5:$A$95,A52,CETES!$B$5:$B$95,C52)),SUMIFS(Precios!$L$5:$L$109,Precios!$I$5:$I$109,A52,Precios!$J$5:$J$109,C52))</f>
        <v/>
      </c>
      <c r="O52" s="17">
        <f t="shared" si="2"/>
        <v>0</v>
      </c>
      <c r="P52" s="17">
        <f t="shared" si="3"/>
        <v>0</v>
      </c>
      <c r="Q52" s="17">
        <f>IF(F52="cetes",IF(A52=G52,SUMIFS(Transacciones!$N$5:$N$20,Transacciones!$T$5:$T$20,E52,Transacciones!$F$5:$F$20,"&lt;"&amp;A52)*H52,0),0)</f>
        <v>0</v>
      </c>
      <c r="R52" s="11" t="str">
        <f>IF(COUNTIF(Entradas!$A$14:$A$17,A52)&gt;0,"sí","")</f>
        <v/>
      </c>
      <c r="S52" s="11" t="str">
        <f t="shared" si="4"/>
        <v>46279|Principal|BI261217|Casa A</v>
      </c>
    </row>
    <row r="53" spans="1:19" x14ac:dyDescent="0.3">
      <c r="A53" s="20">
        <v>46279</v>
      </c>
      <c r="B53" s="21" t="s">
        <v>94</v>
      </c>
      <c r="C53" s="21" t="s">
        <v>139</v>
      </c>
      <c r="D53" s="21" t="s">
        <v>113</v>
      </c>
      <c r="E53" s="11" t="str">
        <f t="shared" si="0"/>
        <v>Principal|BI270318|Casa B</v>
      </c>
      <c r="F53" s="11" t="str">
        <f>INDEX(Entradas!$C$40:$C$46,MATCH(C53,Entradas!$A$40:$A$46,0))</f>
        <v>cetes</v>
      </c>
      <c r="G53" s="15">
        <f>IF(F53="cetes",INDEX(Entradas!$F$40:$F$46,MATCH(C53,Entradas!$A$40:$A$46,0)),"")</f>
        <v>46464</v>
      </c>
      <c r="H53" s="17">
        <f>IF(F53="cetes",INDEX(Entradas!$G$40:$G$46,MATCH(C53,Entradas!$A$40:$A$46,0)),"")</f>
        <v>10</v>
      </c>
      <c r="I53" s="14">
        <f>IF(F53="cetes",IF(A53&gt;=G53,0,SUMIFS(Transacciones!$N$5:$N$20,Transacciones!$T$5:$T$20,E53,Transacciones!$F$5:$F$20,"&lt;="&amp;A53)),SUMIFS(Transacciones!$N$5:$N$20,Transacciones!$T$5:$T$20,E53,Transacciones!$F$5:$F$20,"&lt;="&amp;A53))</f>
        <v>0</v>
      </c>
      <c r="J53" s="14">
        <f>_xlfn.MAXIFS(Transacciones!$U$5:$U$20,Transacciones!$T$5:$T$20,E53,Transacciones!$F$5:$F$20,"&lt;="&amp;A53)</f>
        <v>0</v>
      </c>
      <c r="K53" s="18">
        <f>IF(I53=0,0,INDEX(Transacciones!$Z$5:$Z$20,MATCH(J53,Transacciones!$U$5:$U$20,0)))</f>
        <v>0</v>
      </c>
      <c r="L53" s="17">
        <f t="shared" si="1"/>
        <v>0</v>
      </c>
      <c r="M53" s="15" t="str">
        <f>IF(F53="cetes",IF(COUNTIFS(CETES!$A$5:$A$95,A53,CETES!$B$5:$B$95,C53)=0,"",A53),SUMIFS(Precios!$K$5:$K$109,Precios!$I$5:$I$109,A53,Precios!$J$5:$J$109,C53))</f>
        <v/>
      </c>
      <c r="N53" s="18" t="str">
        <f>IF(F53="cetes",IF(COUNTIFS(CETES!$A$5:$A$95,A53,CETES!$B$5:$B$95,C53)=0,"",SUMIFS(CETES!$AF$5:$AF$95,CETES!$A$5:$A$95,A53,CETES!$B$5:$B$95,C53)),SUMIFS(Precios!$L$5:$L$109,Precios!$I$5:$I$109,A53,Precios!$J$5:$J$109,C53))</f>
        <v/>
      </c>
      <c r="O53" s="17">
        <f t="shared" si="2"/>
        <v>0</v>
      </c>
      <c r="P53" s="17">
        <f t="shared" si="3"/>
        <v>0</v>
      </c>
      <c r="Q53" s="17">
        <f>IF(F53="cetes",IF(A53=G53,SUMIFS(Transacciones!$N$5:$N$20,Transacciones!$T$5:$T$20,E53,Transacciones!$F$5:$F$20,"&lt;"&amp;A53)*H53,0),0)</f>
        <v>0</v>
      </c>
      <c r="R53" s="11" t="str">
        <f>IF(COUNTIF(Entradas!$A$14:$A$17,A53)&gt;0,"sí","")</f>
        <v/>
      </c>
      <c r="S53" s="11" t="str">
        <f t="shared" si="4"/>
        <v>46279|Principal|BI270318|Casa B</v>
      </c>
    </row>
    <row r="54" spans="1:19" x14ac:dyDescent="0.3">
      <c r="A54" s="20">
        <v>46279</v>
      </c>
      <c r="B54" s="21" t="s">
        <v>103</v>
      </c>
      <c r="C54" s="21" t="s">
        <v>123</v>
      </c>
      <c r="D54" s="21" t="s">
        <v>112</v>
      </c>
      <c r="E54" s="11" t="str">
        <f t="shared" si="0"/>
        <v>Secundario|DEMOACC|Casa A</v>
      </c>
      <c r="F54" s="11" t="str">
        <f>INDEX(Entradas!$C$40:$C$46,MATCH(C54,Entradas!$A$40:$A$46,0))</f>
        <v>accion</v>
      </c>
      <c r="G54" s="15" t="str">
        <f>IF(F54="cetes",INDEX(Entradas!$F$40:$F$46,MATCH(C54,Entradas!$A$40:$A$46,0)),"")</f>
        <v/>
      </c>
      <c r="H54" s="17" t="str">
        <f>IF(F54="cetes",INDEX(Entradas!$G$40:$G$46,MATCH(C54,Entradas!$A$40:$A$46,0)),"")</f>
        <v/>
      </c>
      <c r="I54" s="14">
        <f>IF(F54="cetes",IF(A54&gt;=G54,0,SUMIFS(Transacciones!$N$5:$N$20,Transacciones!$T$5:$T$20,E54,Transacciones!$F$5:$F$20,"&lt;="&amp;A54)),SUMIFS(Transacciones!$N$5:$N$20,Transacciones!$T$5:$T$20,E54,Transacciones!$F$5:$F$20,"&lt;="&amp;A54))</f>
        <v>150</v>
      </c>
      <c r="J54" s="14">
        <f>_xlfn.MAXIFS(Transacciones!$U$5:$U$20,Transacciones!$T$5:$T$20,E54,Transacciones!$F$5:$F$20,"&lt;="&amp;A54)</f>
        <v>46279007</v>
      </c>
      <c r="K54" s="18">
        <f>IF(I54=0,0,INDEX(Transacciones!$Z$5:$Z$20,MATCH(J54,Transacciones!$U$5:$U$20,0)))</f>
        <v>103.90046666666666</v>
      </c>
      <c r="L54" s="17">
        <f t="shared" si="1"/>
        <v>15585.07</v>
      </c>
      <c r="M54" s="15">
        <f>IF(F54="cetes",IF(COUNTIFS(CETES!$A$5:$A$95,A54,CETES!$B$5:$B$95,C54)=0,"",A54),SUMIFS(Precios!$K$5:$K$109,Precios!$I$5:$I$109,A54,Precios!$J$5:$J$109,C54))</f>
        <v>46279</v>
      </c>
      <c r="N54" s="18">
        <f>IF(F54="cetes",IF(COUNTIFS(CETES!$A$5:$A$95,A54,CETES!$B$5:$B$95,C54)=0,"",SUMIFS(CETES!$AF$5:$AF$95,CETES!$A$5:$A$95,A54,CETES!$B$5:$B$95,C54)),SUMIFS(Precios!$L$5:$L$109,Precios!$I$5:$I$109,A54,Precios!$J$5:$J$109,C54))</f>
        <v>103.4</v>
      </c>
      <c r="O54" s="17">
        <f t="shared" si="2"/>
        <v>15510</v>
      </c>
      <c r="P54" s="17">
        <f t="shared" si="3"/>
        <v>-75.069999999999709</v>
      </c>
      <c r="Q54" s="17">
        <f>IF(F54="cetes",IF(A54=G54,SUMIFS(Transacciones!$N$5:$N$20,Transacciones!$T$5:$T$20,E54,Transacciones!$F$5:$F$20,"&lt;"&amp;A54)*H54,0),0)</f>
        <v>0</v>
      </c>
      <c r="R54" s="11" t="str">
        <f>IF(COUNTIF(Entradas!$A$14:$A$17,A54)&gt;0,"sí","")</f>
        <v/>
      </c>
      <c r="S54" s="11" t="str">
        <f t="shared" si="4"/>
        <v>46279|Secundario|DEMOACC|Casa A</v>
      </c>
    </row>
    <row r="55" spans="1:19" x14ac:dyDescent="0.3">
      <c r="A55" s="20">
        <v>46280</v>
      </c>
      <c r="B55" s="21" t="s">
        <v>94</v>
      </c>
      <c r="C55" s="21" t="s">
        <v>123</v>
      </c>
      <c r="D55" s="21" t="s">
        <v>112</v>
      </c>
      <c r="E55" s="11" t="str">
        <f t="shared" si="0"/>
        <v>Principal|DEMOACC|Casa A</v>
      </c>
      <c r="F55" s="11" t="str">
        <f>INDEX(Entradas!$C$40:$C$46,MATCH(C55,Entradas!$A$40:$A$46,0))</f>
        <v>accion</v>
      </c>
      <c r="G55" s="15" t="str">
        <f>IF(F55="cetes",INDEX(Entradas!$F$40:$F$46,MATCH(C55,Entradas!$A$40:$A$46,0)),"")</f>
        <v/>
      </c>
      <c r="H55" s="17" t="str">
        <f>IF(F55="cetes",INDEX(Entradas!$G$40:$G$46,MATCH(C55,Entradas!$A$40:$A$46,0)),"")</f>
        <v/>
      </c>
      <c r="I55" s="14">
        <f>IF(F55="cetes",IF(A55&gt;=G55,0,SUMIFS(Transacciones!$N$5:$N$20,Transacciones!$T$5:$T$20,E55,Transacciones!$F$5:$F$20,"&lt;="&amp;A55)),SUMIFS(Transacciones!$N$5:$N$20,Transacciones!$T$5:$T$20,E55,Transacciones!$F$5:$F$20,"&lt;="&amp;A55))</f>
        <v>200</v>
      </c>
      <c r="J55" s="14">
        <f>_xlfn.MAXIFS(Transacciones!$U$5:$U$20,Transacciones!$T$5:$T$20,E55,Transacciones!$F$5:$F$20,"&lt;="&amp;A55)</f>
        <v>46275001</v>
      </c>
      <c r="K55" s="18">
        <f>IF(I55=0,0,INDEX(Transacciones!$Z$5:$Z$20,MATCH(J55,Transacciones!$U$5:$U$20,0)))</f>
        <v>100.23985</v>
      </c>
      <c r="L55" s="17">
        <f t="shared" si="1"/>
        <v>20047.97</v>
      </c>
      <c r="M55" s="15">
        <f>IF(F55="cetes",IF(COUNTIFS(CETES!$A$5:$A$95,A55,CETES!$B$5:$B$95,C55)=0,"",A55),SUMIFS(Precios!$K$5:$K$109,Precios!$I$5:$I$109,A55,Precios!$J$5:$J$109,C55))</f>
        <v>46280</v>
      </c>
      <c r="N55" s="18">
        <f>IF(F55="cetes",IF(COUNTIFS(CETES!$A$5:$A$95,A55,CETES!$B$5:$B$95,C55)=0,"",SUMIFS(CETES!$AF$5:$AF$95,CETES!$A$5:$A$95,A55,CETES!$B$5:$B$95,C55)),SUMIFS(Precios!$L$5:$L$109,Precios!$I$5:$I$109,A55,Precios!$J$5:$J$109,C55))</f>
        <v>104.75</v>
      </c>
      <c r="O55" s="17">
        <f t="shared" si="2"/>
        <v>20950</v>
      </c>
      <c r="P55" s="17">
        <f t="shared" si="3"/>
        <v>902.02999999999884</v>
      </c>
      <c r="Q55" s="17">
        <f>IF(F55="cetes",IF(A55=G55,SUMIFS(Transacciones!$N$5:$N$20,Transacciones!$T$5:$T$20,E55,Transacciones!$F$5:$F$20,"&lt;"&amp;A55)*H55,0),0)</f>
        <v>0</v>
      </c>
      <c r="R55" s="11" t="str">
        <f>IF(COUNTIF(Entradas!$A$14:$A$17,A55)&gt;0,"sí","")</f>
        <v/>
      </c>
      <c r="S55" s="11" t="str">
        <f t="shared" si="4"/>
        <v>46280|Principal|DEMOACC|Casa A</v>
      </c>
    </row>
    <row r="56" spans="1:19" x14ac:dyDescent="0.3">
      <c r="A56" s="20">
        <v>46280</v>
      </c>
      <c r="B56" s="21" t="s">
        <v>94</v>
      </c>
      <c r="C56" s="21" t="s">
        <v>123</v>
      </c>
      <c r="D56" s="21" t="s">
        <v>113</v>
      </c>
      <c r="E56" s="11" t="str">
        <f t="shared" si="0"/>
        <v>Principal|DEMOACC|Casa B</v>
      </c>
      <c r="F56" s="11" t="str">
        <f>INDEX(Entradas!$C$40:$C$46,MATCH(C56,Entradas!$A$40:$A$46,0))</f>
        <v>accion</v>
      </c>
      <c r="G56" s="15" t="str">
        <f>IF(F56="cetes",INDEX(Entradas!$F$40:$F$46,MATCH(C56,Entradas!$A$40:$A$46,0)),"")</f>
        <v/>
      </c>
      <c r="H56" s="17" t="str">
        <f>IF(F56="cetes",INDEX(Entradas!$G$40:$G$46,MATCH(C56,Entradas!$A$40:$A$46,0)),"")</f>
        <v/>
      </c>
      <c r="I56" s="14">
        <f>IF(F56="cetes",IF(A56&gt;=G56,0,SUMIFS(Transacciones!$N$5:$N$20,Transacciones!$T$5:$T$20,E56,Transacciones!$F$5:$F$20,"&lt;="&amp;A56)),SUMIFS(Transacciones!$N$5:$N$20,Transacciones!$T$5:$T$20,E56,Transacciones!$F$5:$F$20,"&lt;="&amp;A56))</f>
        <v>100</v>
      </c>
      <c r="J56" s="14">
        <f>_xlfn.MAXIFS(Transacciones!$U$5:$U$20,Transacciones!$T$5:$T$20,E56,Transacciones!$F$5:$F$20,"&lt;="&amp;A56)</f>
        <v>46279006</v>
      </c>
      <c r="K56" s="18">
        <f>IF(I56=0,0,INDEX(Transacciones!$Z$5:$Z$20,MATCH(J56,Transacciones!$U$5:$U$20,0)))</f>
        <v>103.399</v>
      </c>
      <c r="L56" s="17">
        <f t="shared" si="1"/>
        <v>10339.9</v>
      </c>
      <c r="M56" s="15">
        <f>IF(F56="cetes",IF(COUNTIFS(CETES!$A$5:$A$95,A56,CETES!$B$5:$B$95,C56)=0,"",A56),SUMIFS(Precios!$K$5:$K$109,Precios!$I$5:$I$109,A56,Precios!$J$5:$J$109,C56))</f>
        <v>46280</v>
      </c>
      <c r="N56" s="18">
        <f>IF(F56="cetes",IF(COUNTIFS(CETES!$A$5:$A$95,A56,CETES!$B$5:$B$95,C56)=0,"",SUMIFS(CETES!$AF$5:$AF$95,CETES!$A$5:$A$95,A56,CETES!$B$5:$B$95,C56)),SUMIFS(Precios!$L$5:$L$109,Precios!$I$5:$I$109,A56,Precios!$J$5:$J$109,C56))</f>
        <v>104.75</v>
      </c>
      <c r="O56" s="17">
        <f t="shared" si="2"/>
        <v>10475</v>
      </c>
      <c r="P56" s="17">
        <f t="shared" si="3"/>
        <v>135.10000000000036</v>
      </c>
      <c r="Q56" s="17">
        <f>IF(F56="cetes",IF(A56=G56,SUMIFS(Transacciones!$N$5:$N$20,Transacciones!$T$5:$T$20,E56,Transacciones!$F$5:$F$20,"&lt;"&amp;A56)*H56,0),0)</f>
        <v>0</v>
      </c>
      <c r="R56" s="11" t="str">
        <f>IF(COUNTIF(Entradas!$A$14:$A$17,A56)&gt;0,"sí","")</f>
        <v/>
      </c>
      <c r="S56" s="11" t="str">
        <f t="shared" si="4"/>
        <v>46280|Principal|DEMOACC|Casa B</v>
      </c>
    </row>
    <row r="57" spans="1:19" x14ac:dyDescent="0.3">
      <c r="A57" s="20">
        <v>46280</v>
      </c>
      <c r="B57" s="21" t="s">
        <v>94</v>
      </c>
      <c r="C57" s="21" t="s">
        <v>126</v>
      </c>
      <c r="D57" s="21" t="s">
        <v>113</v>
      </c>
      <c r="E57" s="11" t="str">
        <f t="shared" si="0"/>
        <v>Principal|DEMOETF|Casa B</v>
      </c>
      <c r="F57" s="11" t="str">
        <f>INDEX(Entradas!$C$40:$C$46,MATCH(C57,Entradas!$A$40:$A$46,0))</f>
        <v>etf</v>
      </c>
      <c r="G57" s="15" t="str">
        <f>IF(F57="cetes",INDEX(Entradas!$F$40:$F$46,MATCH(C57,Entradas!$A$40:$A$46,0)),"")</f>
        <v/>
      </c>
      <c r="H57" s="17" t="str">
        <f>IF(F57="cetes",INDEX(Entradas!$G$40:$G$46,MATCH(C57,Entradas!$A$40:$A$46,0)),"")</f>
        <v/>
      </c>
      <c r="I57" s="14">
        <f>IF(F57="cetes",IF(A57&gt;=G57,0,SUMIFS(Transacciones!$N$5:$N$20,Transacciones!$T$5:$T$20,E57,Transacciones!$F$5:$F$20,"&lt;="&amp;A57)),SUMIFS(Transacciones!$N$5:$N$20,Transacciones!$T$5:$T$20,E57,Transacciones!$F$5:$F$20,"&lt;="&amp;A57))</f>
        <v>100</v>
      </c>
      <c r="J57" s="14">
        <f>_xlfn.MAXIFS(Transacciones!$U$5:$U$20,Transacciones!$T$5:$T$20,E57,Transacciones!$F$5:$F$20,"&lt;="&amp;A57)</f>
        <v>46275002</v>
      </c>
      <c r="K57" s="18">
        <f>IF(I57=0,0,INDEX(Transacciones!$Z$5:$Z$20,MATCH(J57,Transacciones!$U$5:$U$20,0)))</f>
        <v>50.195100000000004</v>
      </c>
      <c r="L57" s="17">
        <f t="shared" si="1"/>
        <v>5019.51</v>
      </c>
      <c r="M57" s="15">
        <f>IF(F57="cetes",IF(COUNTIFS(CETES!$A$5:$A$95,A57,CETES!$B$5:$B$95,C57)=0,"",A57),SUMIFS(Precios!$K$5:$K$109,Precios!$I$5:$I$109,A57,Precios!$J$5:$J$109,C57))</f>
        <v>46280</v>
      </c>
      <c r="N57" s="18">
        <f>IF(F57="cetes",IF(COUNTIFS(CETES!$A$5:$A$95,A57,CETES!$B$5:$B$95,C57)=0,"",SUMIFS(CETES!$AF$5:$AF$95,CETES!$A$5:$A$95,A57,CETES!$B$5:$B$95,C57)),SUMIFS(Precios!$L$5:$L$109,Precios!$I$5:$I$109,A57,Precios!$J$5:$J$109,C57))</f>
        <v>51.48</v>
      </c>
      <c r="O57" s="17">
        <f t="shared" si="2"/>
        <v>5148</v>
      </c>
      <c r="P57" s="17">
        <f t="shared" si="3"/>
        <v>128.48999999999978</v>
      </c>
      <c r="Q57" s="17">
        <f>IF(F57="cetes",IF(A57=G57,SUMIFS(Transacciones!$N$5:$N$20,Transacciones!$T$5:$T$20,E57,Transacciones!$F$5:$F$20,"&lt;"&amp;A57)*H57,0),0)</f>
        <v>0</v>
      </c>
      <c r="R57" s="11" t="str">
        <f>IF(COUNTIF(Entradas!$A$14:$A$17,A57)&gt;0,"sí","")</f>
        <v/>
      </c>
      <c r="S57" s="11" t="str">
        <f t="shared" si="4"/>
        <v>46280|Principal|DEMOETF|Casa B</v>
      </c>
    </row>
    <row r="58" spans="1:19" x14ac:dyDescent="0.3">
      <c r="A58" s="20">
        <v>46280</v>
      </c>
      <c r="B58" s="21" t="s">
        <v>94</v>
      </c>
      <c r="C58" s="21" t="s">
        <v>129</v>
      </c>
      <c r="D58" s="21" t="s">
        <v>112</v>
      </c>
      <c r="E58" s="11" t="str">
        <f t="shared" si="0"/>
        <v>Principal|DEMOFIB|Casa A</v>
      </c>
      <c r="F58" s="11" t="str">
        <f>INDEX(Entradas!$C$40:$C$46,MATCH(C58,Entradas!$A$40:$A$46,0))</f>
        <v>fibra</v>
      </c>
      <c r="G58" s="15" t="str">
        <f>IF(F58="cetes",INDEX(Entradas!$F$40:$F$46,MATCH(C58,Entradas!$A$40:$A$46,0)),"")</f>
        <v/>
      </c>
      <c r="H58" s="17" t="str">
        <f>IF(F58="cetes",INDEX(Entradas!$G$40:$G$46,MATCH(C58,Entradas!$A$40:$A$46,0)),"")</f>
        <v/>
      </c>
      <c r="I58" s="14">
        <f>IF(F58="cetes",IF(A58&gt;=G58,0,SUMIFS(Transacciones!$N$5:$N$20,Transacciones!$T$5:$T$20,E58,Transacciones!$F$5:$F$20,"&lt;="&amp;A58)),SUMIFS(Transacciones!$N$5:$N$20,Transacciones!$T$5:$T$20,E58,Transacciones!$F$5:$F$20,"&lt;="&amp;A58))</f>
        <v>400</v>
      </c>
      <c r="J58" s="14">
        <f>_xlfn.MAXIFS(Transacciones!$U$5:$U$20,Transacciones!$T$5:$T$20,E58,Transacciones!$F$5:$F$20,"&lt;="&amp;A58)</f>
        <v>46276005</v>
      </c>
      <c r="K58" s="18">
        <f>IF(I58=0,0,INDEX(Transacciones!$Z$5:$Z$20,MATCH(J58,Transacciones!$U$5:$U$20,0)))</f>
        <v>25.054949999999998</v>
      </c>
      <c r="L58" s="17">
        <f t="shared" si="1"/>
        <v>10021.98</v>
      </c>
      <c r="M58" s="15">
        <f>IF(F58="cetes",IF(COUNTIFS(CETES!$A$5:$A$95,A58,CETES!$B$5:$B$95,C58)=0,"",A58),SUMIFS(Precios!$K$5:$K$109,Precios!$I$5:$I$109,A58,Precios!$J$5:$J$109,C58))</f>
        <v>46280</v>
      </c>
      <c r="N58" s="18">
        <f>IF(F58="cetes",IF(COUNTIFS(CETES!$A$5:$A$95,A58,CETES!$B$5:$B$95,C58)=0,"",SUMIFS(CETES!$AF$5:$AF$95,CETES!$A$5:$A$95,A58,CETES!$B$5:$B$95,C58)),SUMIFS(Precios!$L$5:$L$109,Precios!$I$5:$I$109,A58,Precios!$J$5:$J$109,C58))</f>
        <v>25.41</v>
      </c>
      <c r="O58" s="17">
        <f t="shared" si="2"/>
        <v>10164</v>
      </c>
      <c r="P58" s="17">
        <f t="shared" si="3"/>
        <v>142.02000000000044</v>
      </c>
      <c r="Q58" s="17">
        <f>IF(F58="cetes",IF(A58=G58,SUMIFS(Transacciones!$N$5:$N$20,Transacciones!$T$5:$T$20,E58,Transacciones!$F$5:$F$20,"&lt;"&amp;A58)*H58,0),0)</f>
        <v>0</v>
      </c>
      <c r="R58" s="11" t="str">
        <f>IF(COUNTIF(Entradas!$A$14:$A$17,A58)&gt;0,"sí","")</f>
        <v/>
      </c>
      <c r="S58" s="11" t="str">
        <f t="shared" si="4"/>
        <v>46280|Principal|DEMOFIB|Casa A</v>
      </c>
    </row>
    <row r="59" spans="1:19" x14ac:dyDescent="0.3">
      <c r="A59" s="20">
        <v>46280</v>
      </c>
      <c r="B59" s="21" t="s">
        <v>94</v>
      </c>
      <c r="C59" s="21" t="s">
        <v>132</v>
      </c>
      <c r="D59" s="21" t="s">
        <v>112</v>
      </c>
      <c r="E59" s="11" t="str">
        <f t="shared" si="0"/>
        <v>Principal|BI261008|Casa A</v>
      </c>
      <c r="F59" s="11" t="str">
        <f>INDEX(Entradas!$C$40:$C$46,MATCH(C59,Entradas!$A$40:$A$46,0))</f>
        <v>cetes</v>
      </c>
      <c r="G59" s="15">
        <f>IF(F59="cetes",INDEX(Entradas!$F$40:$F$46,MATCH(C59,Entradas!$A$40:$A$46,0)),"")</f>
        <v>46303</v>
      </c>
      <c r="H59" s="17">
        <f>IF(F59="cetes",INDEX(Entradas!$G$40:$G$46,MATCH(C59,Entradas!$A$40:$A$46,0)),"")</f>
        <v>10</v>
      </c>
      <c r="I59" s="14">
        <f>IF(F59="cetes",IF(A59&gt;=G59,0,SUMIFS(Transacciones!$N$5:$N$20,Transacciones!$T$5:$T$20,E59,Transacciones!$F$5:$F$20,"&lt;="&amp;A59)),SUMIFS(Transacciones!$N$5:$N$20,Transacciones!$T$5:$T$20,E59,Transacciones!$F$5:$F$20,"&lt;="&amp;A59))</f>
        <v>1500</v>
      </c>
      <c r="J59" s="14">
        <f>_xlfn.MAXIFS(Transacciones!$U$5:$U$20,Transacciones!$T$5:$T$20,E59,Transacciones!$F$5:$F$20,"&lt;="&amp;A59)</f>
        <v>46275003</v>
      </c>
      <c r="K59" s="18">
        <f>IF(I59=0,0,INDEX(Transacciones!$Z$5:$Z$20,MATCH(J59,Transacciones!$U$5:$U$20,0)))</f>
        <v>9.9516240000000007</v>
      </c>
      <c r="L59" s="17">
        <f t="shared" si="1"/>
        <v>14927.436000000002</v>
      </c>
      <c r="M59" s="15">
        <f>IF(F59="cetes",IF(COUNTIFS(CETES!$A$5:$A$95,A59,CETES!$B$5:$B$95,C59)=0,"",A59),SUMIFS(Precios!$K$5:$K$109,Precios!$I$5:$I$109,A59,Precios!$J$5:$J$109,C59))</f>
        <v>46280</v>
      </c>
      <c r="N59" s="18">
        <f>IF(F59="cetes",IF(COUNTIFS(CETES!$A$5:$A$95,A59,CETES!$B$5:$B$95,C59)=0,"",SUMIFS(CETES!$AF$5:$AF$95,CETES!$A$5:$A$95,A59,CETES!$B$5:$B$95,C59)),SUMIFS(Precios!$L$5:$L$109,Precios!$I$5:$I$109,A59,Precios!$J$5:$J$109,C59))</f>
        <v>9.9602283000000007</v>
      </c>
      <c r="O59" s="17">
        <f t="shared" si="2"/>
        <v>14940.342450000002</v>
      </c>
      <c r="P59" s="17">
        <f t="shared" si="3"/>
        <v>12.906450000000405</v>
      </c>
      <c r="Q59" s="17">
        <f>IF(F59="cetes",IF(A59=G59,SUMIFS(Transacciones!$N$5:$N$20,Transacciones!$T$5:$T$20,E59,Transacciones!$F$5:$F$20,"&lt;"&amp;A59)*H59,0),0)</f>
        <v>0</v>
      </c>
      <c r="R59" s="11" t="str">
        <f>IF(COUNTIF(Entradas!$A$14:$A$17,A59)&gt;0,"sí","")</f>
        <v/>
      </c>
      <c r="S59" s="11" t="str">
        <f t="shared" si="4"/>
        <v>46280|Principal|BI261008|Casa A</v>
      </c>
    </row>
    <row r="60" spans="1:19" x14ac:dyDescent="0.3">
      <c r="A60" s="20">
        <v>46280</v>
      </c>
      <c r="B60" s="21" t="s">
        <v>94</v>
      </c>
      <c r="C60" s="21" t="s">
        <v>132</v>
      </c>
      <c r="D60" s="21" t="s">
        <v>113</v>
      </c>
      <c r="E60" s="11" t="str">
        <f t="shared" si="0"/>
        <v>Principal|BI261008|Casa B</v>
      </c>
      <c r="F60" s="11" t="str">
        <f>INDEX(Entradas!$C$40:$C$46,MATCH(C60,Entradas!$A$40:$A$46,0))</f>
        <v>cetes</v>
      </c>
      <c r="G60" s="15">
        <f>IF(F60="cetes",INDEX(Entradas!$F$40:$F$46,MATCH(C60,Entradas!$A$40:$A$46,0)),"")</f>
        <v>46303</v>
      </c>
      <c r="H60" s="17">
        <f>IF(F60="cetes",INDEX(Entradas!$G$40:$G$46,MATCH(C60,Entradas!$A$40:$A$46,0)),"")</f>
        <v>10</v>
      </c>
      <c r="I60" s="14">
        <f>IF(F60="cetes",IF(A60&gt;=G60,0,SUMIFS(Transacciones!$N$5:$N$20,Transacciones!$T$5:$T$20,E60,Transacciones!$F$5:$F$20,"&lt;="&amp;A60)),SUMIFS(Transacciones!$N$5:$N$20,Transacciones!$T$5:$T$20,E60,Transacciones!$F$5:$F$20,"&lt;="&amp;A60))</f>
        <v>1000</v>
      </c>
      <c r="J60" s="14">
        <f>_xlfn.MAXIFS(Transacciones!$U$5:$U$20,Transacciones!$T$5:$T$20,E60,Transacciones!$F$5:$F$20,"&lt;="&amp;A60)</f>
        <v>46275004</v>
      </c>
      <c r="K60" s="18">
        <f>IF(I60=0,0,INDEX(Transacciones!$Z$5:$Z$20,MATCH(J60,Transacciones!$U$5:$U$20,0)))</f>
        <v>9.9516239999999989</v>
      </c>
      <c r="L60" s="17">
        <f t="shared" si="1"/>
        <v>9951.6239999999998</v>
      </c>
      <c r="M60" s="15">
        <f>IF(F60="cetes",IF(COUNTIFS(CETES!$A$5:$A$95,A60,CETES!$B$5:$B$95,C60)=0,"",A60),SUMIFS(Precios!$K$5:$K$109,Precios!$I$5:$I$109,A60,Precios!$J$5:$J$109,C60))</f>
        <v>46280</v>
      </c>
      <c r="N60" s="18">
        <f>IF(F60="cetes",IF(COUNTIFS(CETES!$A$5:$A$95,A60,CETES!$B$5:$B$95,C60)=0,"",SUMIFS(CETES!$AF$5:$AF$95,CETES!$A$5:$A$95,A60,CETES!$B$5:$B$95,C60)),SUMIFS(Precios!$L$5:$L$109,Precios!$I$5:$I$109,A60,Precios!$J$5:$J$109,C60))</f>
        <v>9.9602283000000007</v>
      </c>
      <c r="O60" s="17">
        <f t="shared" si="2"/>
        <v>9960.2283000000007</v>
      </c>
      <c r="P60" s="17">
        <f t="shared" si="3"/>
        <v>8.604300000000876</v>
      </c>
      <c r="Q60" s="17">
        <f>IF(F60="cetes",IF(A60=G60,SUMIFS(Transacciones!$N$5:$N$20,Transacciones!$T$5:$T$20,E60,Transacciones!$F$5:$F$20,"&lt;"&amp;A60)*H60,0),0)</f>
        <v>0</v>
      </c>
      <c r="R60" s="11" t="str">
        <f>IF(COUNTIF(Entradas!$A$14:$A$17,A60)&gt;0,"sí","")</f>
        <v/>
      </c>
      <c r="S60" s="11" t="str">
        <f t="shared" si="4"/>
        <v>46280|Principal|BI261008|Casa B</v>
      </c>
    </row>
    <row r="61" spans="1:19" x14ac:dyDescent="0.3">
      <c r="A61" s="20">
        <v>46280</v>
      </c>
      <c r="B61" s="21" t="s">
        <v>94</v>
      </c>
      <c r="C61" s="21" t="s">
        <v>135</v>
      </c>
      <c r="D61" s="21" t="s">
        <v>113</v>
      </c>
      <c r="E61" s="11" t="str">
        <f t="shared" si="0"/>
        <v>Principal|BI261105|Casa B</v>
      </c>
      <c r="F61" s="11" t="str">
        <f>INDEX(Entradas!$C$40:$C$46,MATCH(C61,Entradas!$A$40:$A$46,0))</f>
        <v>cetes</v>
      </c>
      <c r="G61" s="15">
        <f>IF(F61="cetes",INDEX(Entradas!$F$40:$F$46,MATCH(C61,Entradas!$A$40:$A$46,0)),"")</f>
        <v>46331</v>
      </c>
      <c r="H61" s="17">
        <f>IF(F61="cetes",INDEX(Entradas!$G$40:$G$46,MATCH(C61,Entradas!$A$40:$A$46,0)),"")</f>
        <v>10</v>
      </c>
      <c r="I61" s="14">
        <f>IF(F61="cetes",IF(A61&gt;=G61,0,SUMIFS(Transacciones!$N$5:$N$20,Transacciones!$T$5:$T$20,E61,Transacciones!$F$5:$F$20,"&lt;="&amp;A61)),SUMIFS(Transacciones!$N$5:$N$20,Transacciones!$T$5:$T$20,E61,Transacciones!$F$5:$F$20,"&lt;="&amp;A61))</f>
        <v>0</v>
      </c>
      <c r="J61" s="14">
        <f>_xlfn.MAXIFS(Transacciones!$U$5:$U$20,Transacciones!$T$5:$T$20,E61,Transacciones!$F$5:$F$20,"&lt;="&amp;A61)</f>
        <v>0</v>
      </c>
      <c r="K61" s="18">
        <f>IF(I61=0,0,INDEX(Transacciones!$Z$5:$Z$20,MATCH(J61,Transacciones!$U$5:$U$20,0)))</f>
        <v>0</v>
      </c>
      <c r="L61" s="17">
        <f t="shared" si="1"/>
        <v>0</v>
      </c>
      <c r="M61" s="15" t="str">
        <f>IF(F61="cetes",IF(COUNTIFS(CETES!$A$5:$A$95,A61,CETES!$B$5:$B$95,C61)=0,"",A61),SUMIFS(Precios!$K$5:$K$109,Precios!$I$5:$I$109,A61,Precios!$J$5:$J$109,C61))</f>
        <v/>
      </c>
      <c r="N61" s="18" t="str">
        <f>IF(F61="cetes",IF(COUNTIFS(CETES!$A$5:$A$95,A61,CETES!$B$5:$B$95,C61)=0,"",SUMIFS(CETES!$AF$5:$AF$95,CETES!$A$5:$A$95,A61,CETES!$B$5:$B$95,C61)),SUMIFS(Precios!$L$5:$L$109,Precios!$I$5:$I$109,A61,Precios!$J$5:$J$109,C61))</f>
        <v/>
      </c>
      <c r="O61" s="17">
        <f t="shared" si="2"/>
        <v>0</v>
      </c>
      <c r="P61" s="17">
        <f t="shared" si="3"/>
        <v>0</v>
      </c>
      <c r="Q61" s="17">
        <f>IF(F61="cetes",IF(A61=G61,SUMIFS(Transacciones!$N$5:$N$20,Transacciones!$T$5:$T$20,E61,Transacciones!$F$5:$F$20,"&lt;"&amp;A61)*H61,0),0)</f>
        <v>0</v>
      </c>
      <c r="R61" s="11" t="str">
        <f>IF(COUNTIF(Entradas!$A$14:$A$17,A61)&gt;0,"sí","")</f>
        <v/>
      </c>
      <c r="S61" s="11" t="str">
        <f t="shared" si="4"/>
        <v>46280|Principal|BI261105|Casa B</v>
      </c>
    </row>
    <row r="62" spans="1:19" x14ac:dyDescent="0.3">
      <c r="A62" s="20">
        <v>46280</v>
      </c>
      <c r="B62" s="21" t="s">
        <v>94</v>
      </c>
      <c r="C62" s="21" t="s">
        <v>137</v>
      </c>
      <c r="D62" s="21" t="s">
        <v>112</v>
      </c>
      <c r="E62" s="11" t="str">
        <f t="shared" si="0"/>
        <v>Principal|BI261217|Casa A</v>
      </c>
      <c r="F62" s="11" t="str">
        <f>INDEX(Entradas!$C$40:$C$46,MATCH(C62,Entradas!$A$40:$A$46,0))</f>
        <v>cetes</v>
      </c>
      <c r="G62" s="15">
        <f>IF(F62="cetes",INDEX(Entradas!$F$40:$F$46,MATCH(C62,Entradas!$A$40:$A$46,0)),"")</f>
        <v>46373</v>
      </c>
      <c r="H62" s="17">
        <f>IF(F62="cetes",INDEX(Entradas!$G$40:$G$46,MATCH(C62,Entradas!$A$40:$A$46,0)),"")</f>
        <v>10</v>
      </c>
      <c r="I62" s="14">
        <f>IF(F62="cetes",IF(A62&gt;=G62,0,SUMIFS(Transacciones!$N$5:$N$20,Transacciones!$T$5:$T$20,E62,Transacciones!$F$5:$F$20,"&lt;="&amp;A62)),SUMIFS(Transacciones!$N$5:$N$20,Transacciones!$T$5:$T$20,E62,Transacciones!$F$5:$F$20,"&lt;="&amp;A62))</f>
        <v>0</v>
      </c>
      <c r="J62" s="14">
        <f>_xlfn.MAXIFS(Transacciones!$U$5:$U$20,Transacciones!$T$5:$T$20,E62,Transacciones!$F$5:$F$20,"&lt;="&amp;A62)</f>
        <v>0</v>
      </c>
      <c r="K62" s="18">
        <f>IF(I62=0,0,INDEX(Transacciones!$Z$5:$Z$20,MATCH(J62,Transacciones!$U$5:$U$20,0)))</f>
        <v>0</v>
      </c>
      <c r="L62" s="17">
        <f t="shared" si="1"/>
        <v>0</v>
      </c>
      <c r="M62" s="15" t="str">
        <f>IF(F62="cetes",IF(COUNTIFS(CETES!$A$5:$A$95,A62,CETES!$B$5:$B$95,C62)=0,"",A62),SUMIFS(Precios!$K$5:$K$109,Precios!$I$5:$I$109,A62,Precios!$J$5:$J$109,C62))</f>
        <v/>
      </c>
      <c r="N62" s="18" t="str">
        <f>IF(F62="cetes",IF(COUNTIFS(CETES!$A$5:$A$95,A62,CETES!$B$5:$B$95,C62)=0,"",SUMIFS(CETES!$AF$5:$AF$95,CETES!$A$5:$A$95,A62,CETES!$B$5:$B$95,C62)),SUMIFS(Precios!$L$5:$L$109,Precios!$I$5:$I$109,A62,Precios!$J$5:$J$109,C62))</f>
        <v/>
      </c>
      <c r="O62" s="17">
        <f t="shared" si="2"/>
        <v>0</v>
      </c>
      <c r="P62" s="17">
        <f t="shared" si="3"/>
        <v>0</v>
      </c>
      <c r="Q62" s="17">
        <f>IF(F62="cetes",IF(A62=G62,SUMIFS(Transacciones!$N$5:$N$20,Transacciones!$T$5:$T$20,E62,Transacciones!$F$5:$F$20,"&lt;"&amp;A62)*H62,0),0)</f>
        <v>0</v>
      </c>
      <c r="R62" s="11" t="str">
        <f>IF(COUNTIF(Entradas!$A$14:$A$17,A62)&gt;0,"sí","")</f>
        <v/>
      </c>
      <c r="S62" s="11" t="str">
        <f t="shared" si="4"/>
        <v>46280|Principal|BI261217|Casa A</v>
      </c>
    </row>
    <row r="63" spans="1:19" x14ac:dyDescent="0.3">
      <c r="A63" s="20">
        <v>46280</v>
      </c>
      <c r="B63" s="21" t="s">
        <v>94</v>
      </c>
      <c r="C63" s="21" t="s">
        <v>139</v>
      </c>
      <c r="D63" s="21" t="s">
        <v>113</v>
      </c>
      <c r="E63" s="11" t="str">
        <f t="shared" si="0"/>
        <v>Principal|BI270318|Casa B</v>
      </c>
      <c r="F63" s="11" t="str">
        <f>INDEX(Entradas!$C$40:$C$46,MATCH(C63,Entradas!$A$40:$A$46,0))</f>
        <v>cetes</v>
      </c>
      <c r="G63" s="15">
        <f>IF(F63="cetes",INDEX(Entradas!$F$40:$F$46,MATCH(C63,Entradas!$A$40:$A$46,0)),"")</f>
        <v>46464</v>
      </c>
      <c r="H63" s="17">
        <f>IF(F63="cetes",INDEX(Entradas!$G$40:$G$46,MATCH(C63,Entradas!$A$40:$A$46,0)),"")</f>
        <v>10</v>
      </c>
      <c r="I63" s="14">
        <f>IF(F63="cetes",IF(A63&gt;=G63,0,SUMIFS(Transacciones!$N$5:$N$20,Transacciones!$T$5:$T$20,E63,Transacciones!$F$5:$F$20,"&lt;="&amp;A63)),SUMIFS(Transacciones!$N$5:$N$20,Transacciones!$T$5:$T$20,E63,Transacciones!$F$5:$F$20,"&lt;="&amp;A63))</f>
        <v>0</v>
      </c>
      <c r="J63" s="14">
        <f>_xlfn.MAXIFS(Transacciones!$U$5:$U$20,Transacciones!$T$5:$T$20,E63,Transacciones!$F$5:$F$20,"&lt;="&amp;A63)</f>
        <v>0</v>
      </c>
      <c r="K63" s="18">
        <f>IF(I63=0,0,INDEX(Transacciones!$Z$5:$Z$20,MATCH(J63,Transacciones!$U$5:$U$20,0)))</f>
        <v>0</v>
      </c>
      <c r="L63" s="17">
        <f t="shared" si="1"/>
        <v>0</v>
      </c>
      <c r="M63" s="15" t="str">
        <f>IF(F63="cetes",IF(COUNTIFS(CETES!$A$5:$A$95,A63,CETES!$B$5:$B$95,C63)=0,"",A63),SUMIFS(Precios!$K$5:$K$109,Precios!$I$5:$I$109,A63,Precios!$J$5:$J$109,C63))</f>
        <v/>
      </c>
      <c r="N63" s="18" t="str">
        <f>IF(F63="cetes",IF(COUNTIFS(CETES!$A$5:$A$95,A63,CETES!$B$5:$B$95,C63)=0,"",SUMIFS(CETES!$AF$5:$AF$95,CETES!$A$5:$A$95,A63,CETES!$B$5:$B$95,C63)),SUMIFS(Precios!$L$5:$L$109,Precios!$I$5:$I$109,A63,Precios!$J$5:$J$109,C63))</f>
        <v/>
      </c>
      <c r="O63" s="17">
        <f t="shared" si="2"/>
        <v>0</v>
      </c>
      <c r="P63" s="17">
        <f t="shared" si="3"/>
        <v>0</v>
      </c>
      <c r="Q63" s="17">
        <f>IF(F63="cetes",IF(A63=G63,SUMIFS(Transacciones!$N$5:$N$20,Transacciones!$T$5:$T$20,E63,Transacciones!$F$5:$F$20,"&lt;"&amp;A63)*H63,0),0)</f>
        <v>0</v>
      </c>
      <c r="R63" s="11" t="str">
        <f>IF(COUNTIF(Entradas!$A$14:$A$17,A63)&gt;0,"sí","")</f>
        <v/>
      </c>
      <c r="S63" s="11" t="str">
        <f t="shared" si="4"/>
        <v>46280|Principal|BI270318|Casa B</v>
      </c>
    </row>
    <row r="64" spans="1:19" x14ac:dyDescent="0.3">
      <c r="A64" s="20">
        <v>46280</v>
      </c>
      <c r="B64" s="21" t="s">
        <v>103</v>
      </c>
      <c r="C64" s="21" t="s">
        <v>123</v>
      </c>
      <c r="D64" s="21" t="s">
        <v>112</v>
      </c>
      <c r="E64" s="11" t="str">
        <f t="shared" si="0"/>
        <v>Secundario|DEMOACC|Casa A</v>
      </c>
      <c r="F64" s="11" t="str">
        <f>INDEX(Entradas!$C$40:$C$46,MATCH(C64,Entradas!$A$40:$A$46,0))</f>
        <v>accion</v>
      </c>
      <c r="G64" s="15" t="str">
        <f>IF(F64="cetes",INDEX(Entradas!$F$40:$F$46,MATCH(C64,Entradas!$A$40:$A$46,0)),"")</f>
        <v/>
      </c>
      <c r="H64" s="17" t="str">
        <f>IF(F64="cetes",INDEX(Entradas!$G$40:$G$46,MATCH(C64,Entradas!$A$40:$A$46,0)),"")</f>
        <v/>
      </c>
      <c r="I64" s="14">
        <f>IF(F64="cetes",IF(A64&gt;=G64,0,SUMIFS(Transacciones!$N$5:$N$20,Transacciones!$T$5:$T$20,E64,Transacciones!$F$5:$F$20,"&lt;="&amp;A64)),SUMIFS(Transacciones!$N$5:$N$20,Transacciones!$T$5:$T$20,E64,Transacciones!$F$5:$F$20,"&lt;="&amp;A64))</f>
        <v>150</v>
      </c>
      <c r="J64" s="14">
        <f>_xlfn.MAXIFS(Transacciones!$U$5:$U$20,Transacciones!$T$5:$T$20,E64,Transacciones!$F$5:$F$20,"&lt;="&amp;A64)</f>
        <v>46279007</v>
      </c>
      <c r="K64" s="18">
        <f>IF(I64=0,0,INDEX(Transacciones!$Z$5:$Z$20,MATCH(J64,Transacciones!$U$5:$U$20,0)))</f>
        <v>103.90046666666666</v>
      </c>
      <c r="L64" s="17">
        <f t="shared" si="1"/>
        <v>15585.07</v>
      </c>
      <c r="M64" s="15">
        <f>IF(F64="cetes",IF(COUNTIFS(CETES!$A$5:$A$95,A64,CETES!$B$5:$B$95,C64)=0,"",A64),SUMIFS(Precios!$K$5:$K$109,Precios!$I$5:$I$109,A64,Precios!$J$5:$J$109,C64))</f>
        <v>46280</v>
      </c>
      <c r="N64" s="18">
        <f>IF(F64="cetes",IF(COUNTIFS(CETES!$A$5:$A$95,A64,CETES!$B$5:$B$95,C64)=0,"",SUMIFS(CETES!$AF$5:$AF$95,CETES!$A$5:$A$95,A64,CETES!$B$5:$B$95,C64)),SUMIFS(Precios!$L$5:$L$109,Precios!$I$5:$I$109,A64,Precios!$J$5:$J$109,C64))</f>
        <v>104.75</v>
      </c>
      <c r="O64" s="17">
        <f t="shared" si="2"/>
        <v>15712.5</v>
      </c>
      <c r="P64" s="17">
        <f t="shared" si="3"/>
        <v>127.43000000000029</v>
      </c>
      <c r="Q64" s="17">
        <f>IF(F64="cetes",IF(A64=G64,SUMIFS(Transacciones!$N$5:$N$20,Transacciones!$T$5:$T$20,E64,Transacciones!$F$5:$F$20,"&lt;"&amp;A64)*H64,0),0)</f>
        <v>0</v>
      </c>
      <c r="R64" s="11" t="str">
        <f>IF(COUNTIF(Entradas!$A$14:$A$17,A64)&gt;0,"sí","")</f>
        <v/>
      </c>
      <c r="S64" s="11" t="str">
        <f t="shared" si="4"/>
        <v>46280|Secundario|DEMOACC|Casa A</v>
      </c>
    </row>
    <row r="65" spans="1:19" x14ac:dyDescent="0.3">
      <c r="A65" s="20">
        <v>46281</v>
      </c>
      <c r="B65" s="21" t="s">
        <v>94</v>
      </c>
      <c r="C65" s="21" t="s">
        <v>123</v>
      </c>
      <c r="D65" s="21" t="s">
        <v>112</v>
      </c>
      <c r="E65" s="11" t="str">
        <f t="shared" si="0"/>
        <v>Principal|DEMOACC|Casa A</v>
      </c>
      <c r="F65" s="11" t="str">
        <f>INDEX(Entradas!$C$40:$C$46,MATCH(C65,Entradas!$A$40:$A$46,0))</f>
        <v>accion</v>
      </c>
      <c r="G65" s="15" t="str">
        <f>IF(F65="cetes",INDEX(Entradas!$F$40:$F$46,MATCH(C65,Entradas!$A$40:$A$46,0)),"")</f>
        <v/>
      </c>
      <c r="H65" s="17" t="str">
        <f>IF(F65="cetes",INDEX(Entradas!$G$40:$G$46,MATCH(C65,Entradas!$A$40:$A$46,0)),"")</f>
        <v/>
      </c>
      <c r="I65" s="14">
        <f>IF(F65="cetes",IF(A65&gt;=G65,0,SUMIFS(Transacciones!$N$5:$N$20,Transacciones!$T$5:$T$20,E65,Transacciones!$F$5:$F$20,"&lt;="&amp;A65)),SUMIFS(Transacciones!$N$5:$N$20,Transacciones!$T$5:$T$20,E65,Transacciones!$F$5:$F$20,"&lt;="&amp;A65))</f>
        <v>200</v>
      </c>
      <c r="J65" s="14">
        <f>_xlfn.MAXIFS(Transacciones!$U$5:$U$20,Transacciones!$T$5:$T$20,E65,Transacciones!$F$5:$F$20,"&lt;="&amp;A65)</f>
        <v>46275001</v>
      </c>
      <c r="K65" s="18">
        <f>IF(I65=0,0,INDEX(Transacciones!$Z$5:$Z$20,MATCH(J65,Transacciones!$U$5:$U$20,0)))</f>
        <v>100.23985</v>
      </c>
      <c r="L65" s="17">
        <f t="shared" si="1"/>
        <v>20047.97</v>
      </c>
      <c r="M65" s="15">
        <f>IF(F65="cetes",IF(COUNTIFS(CETES!$A$5:$A$95,A65,CETES!$B$5:$B$95,C65)=0,"",A65),SUMIFS(Precios!$K$5:$K$109,Precios!$I$5:$I$109,A65,Precios!$J$5:$J$109,C65))</f>
        <v>46280</v>
      </c>
      <c r="N65" s="18">
        <f>IF(F65="cetes",IF(COUNTIFS(CETES!$A$5:$A$95,A65,CETES!$B$5:$B$95,C65)=0,"",SUMIFS(CETES!$AF$5:$AF$95,CETES!$A$5:$A$95,A65,CETES!$B$5:$B$95,C65)),SUMIFS(Precios!$L$5:$L$109,Precios!$I$5:$I$109,A65,Precios!$J$5:$J$109,C65))</f>
        <v>104.75</v>
      </c>
      <c r="O65" s="17">
        <f t="shared" si="2"/>
        <v>20950</v>
      </c>
      <c r="P65" s="17">
        <f t="shared" si="3"/>
        <v>902.02999999999884</v>
      </c>
      <c r="Q65" s="17">
        <f>IF(F65="cetes",IF(A65=G65,SUMIFS(Transacciones!$N$5:$N$20,Transacciones!$T$5:$T$20,E65,Transacciones!$F$5:$F$20,"&lt;"&amp;A65)*H65,0),0)</f>
        <v>0</v>
      </c>
      <c r="R65" s="11" t="str">
        <f>IF(COUNTIF(Entradas!$A$14:$A$17,A65)&gt;0,"sí","")</f>
        <v>sí</v>
      </c>
      <c r="S65" s="11" t="str">
        <f t="shared" si="4"/>
        <v>46281|Principal|DEMOACC|Casa A</v>
      </c>
    </row>
    <row r="66" spans="1:19" x14ac:dyDescent="0.3">
      <c r="A66" s="20">
        <v>46281</v>
      </c>
      <c r="B66" s="21" t="s">
        <v>94</v>
      </c>
      <c r="C66" s="21" t="s">
        <v>123</v>
      </c>
      <c r="D66" s="21" t="s">
        <v>113</v>
      </c>
      <c r="E66" s="11" t="str">
        <f t="shared" si="0"/>
        <v>Principal|DEMOACC|Casa B</v>
      </c>
      <c r="F66" s="11" t="str">
        <f>INDEX(Entradas!$C$40:$C$46,MATCH(C66,Entradas!$A$40:$A$46,0))</f>
        <v>accion</v>
      </c>
      <c r="G66" s="15" t="str">
        <f>IF(F66="cetes",INDEX(Entradas!$F$40:$F$46,MATCH(C66,Entradas!$A$40:$A$46,0)),"")</f>
        <v/>
      </c>
      <c r="H66" s="17" t="str">
        <f>IF(F66="cetes",INDEX(Entradas!$G$40:$G$46,MATCH(C66,Entradas!$A$40:$A$46,0)),"")</f>
        <v/>
      </c>
      <c r="I66" s="14">
        <f>IF(F66="cetes",IF(A66&gt;=G66,0,SUMIFS(Transacciones!$N$5:$N$20,Transacciones!$T$5:$T$20,E66,Transacciones!$F$5:$F$20,"&lt;="&amp;A66)),SUMIFS(Transacciones!$N$5:$N$20,Transacciones!$T$5:$T$20,E66,Transacciones!$F$5:$F$20,"&lt;="&amp;A66))</f>
        <v>100</v>
      </c>
      <c r="J66" s="14">
        <f>_xlfn.MAXIFS(Transacciones!$U$5:$U$20,Transacciones!$T$5:$T$20,E66,Transacciones!$F$5:$F$20,"&lt;="&amp;A66)</f>
        <v>46279006</v>
      </c>
      <c r="K66" s="18">
        <f>IF(I66=0,0,INDEX(Transacciones!$Z$5:$Z$20,MATCH(J66,Transacciones!$U$5:$U$20,0)))</f>
        <v>103.399</v>
      </c>
      <c r="L66" s="17">
        <f t="shared" si="1"/>
        <v>10339.9</v>
      </c>
      <c r="M66" s="15">
        <f>IF(F66="cetes",IF(COUNTIFS(CETES!$A$5:$A$95,A66,CETES!$B$5:$B$95,C66)=0,"",A66),SUMIFS(Precios!$K$5:$K$109,Precios!$I$5:$I$109,A66,Precios!$J$5:$J$109,C66))</f>
        <v>46280</v>
      </c>
      <c r="N66" s="18">
        <f>IF(F66="cetes",IF(COUNTIFS(CETES!$A$5:$A$95,A66,CETES!$B$5:$B$95,C66)=0,"",SUMIFS(CETES!$AF$5:$AF$95,CETES!$A$5:$A$95,A66,CETES!$B$5:$B$95,C66)),SUMIFS(Precios!$L$5:$L$109,Precios!$I$5:$I$109,A66,Precios!$J$5:$J$109,C66))</f>
        <v>104.75</v>
      </c>
      <c r="O66" s="17">
        <f t="shared" si="2"/>
        <v>10475</v>
      </c>
      <c r="P66" s="17">
        <f t="shared" si="3"/>
        <v>135.10000000000036</v>
      </c>
      <c r="Q66" s="17">
        <f>IF(F66="cetes",IF(A66=G66,SUMIFS(Transacciones!$N$5:$N$20,Transacciones!$T$5:$T$20,E66,Transacciones!$F$5:$F$20,"&lt;"&amp;A66)*H66,0),0)</f>
        <v>0</v>
      </c>
      <c r="R66" s="11" t="str">
        <f>IF(COUNTIF(Entradas!$A$14:$A$17,A66)&gt;0,"sí","")</f>
        <v>sí</v>
      </c>
      <c r="S66" s="11" t="str">
        <f t="shared" si="4"/>
        <v>46281|Principal|DEMOACC|Casa B</v>
      </c>
    </row>
    <row r="67" spans="1:19" x14ac:dyDescent="0.3">
      <c r="A67" s="20">
        <v>46281</v>
      </c>
      <c r="B67" s="21" t="s">
        <v>94</v>
      </c>
      <c r="C67" s="21" t="s">
        <v>126</v>
      </c>
      <c r="D67" s="21" t="s">
        <v>113</v>
      </c>
      <c r="E67" s="11" t="str">
        <f t="shared" si="0"/>
        <v>Principal|DEMOETF|Casa B</v>
      </c>
      <c r="F67" s="11" t="str">
        <f>INDEX(Entradas!$C$40:$C$46,MATCH(C67,Entradas!$A$40:$A$46,0))</f>
        <v>etf</v>
      </c>
      <c r="G67" s="15" t="str">
        <f>IF(F67="cetes",INDEX(Entradas!$F$40:$F$46,MATCH(C67,Entradas!$A$40:$A$46,0)),"")</f>
        <v/>
      </c>
      <c r="H67" s="17" t="str">
        <f>IF(F67="cetes",INDEX(Entradas!$G$40:$G$46,MATCH(C67,Entradas!$A$40:$A$46,0)),"")</f>
        <v/>
      </c>
      <c r="I67" s="14">
        <f>IF(F67="cetes",IF(A67&gt;=G67,0,SUMIFS(Transacciones!$N$5:$N$20,Transacciones!$T$5:$T$20,E67,Transacciones!$F$5:$F$20,"&lt;="&amp;A67)),SUMIFS(Transacciones!$N$5:$N$20,Transacciones!$T$5:$T$20,E67,Transacciones!$F$5:$F$20,"&lt;="&amp;A67))</f>
        <v>100</v>
      </c>
      <c r="J67" s="14">
        <f>_xlfn.MAXIFS(Transacciones!$U$5:$U$20,Transacciones!$T$5:$T$20,E67,Transacciones!$F$5:$F$20,"&lt;="&amp;A67)</f>
        <v>46275002</v>
      </c>
      <c r="K67" s="18">
        <f>IF(I67=0,0,INDEX(Transacciones!$Z$5:$Z$20,MATCH(J67,Transacciones!$U$5:$U$20,0)))</f>
        <v>50.195100000000004</v>
      </c>
      <c r="L67" s="17">
        <f t="shared" si="1"/>
        <v>5019.51</v>
      </c>
      <c r="M67" s="15">
        <f>IF(F67="cetes",IF(COUNTIFS(CETES!$A$5:$A$95,A67,CETES!$B$5:$B$95,C67)=0,"",A67),SUMIFS(Precios!$K$5:$K$109,Precios!$I$5:$I$109,A67,Precios!$J$5:$J$109,C67))</f>
        <v>46280</v>
      </c>
      <c r="N67" s="18">
        <f>IF(F67="cetes",IF(COUNTIFS(CETES!$A$5:$A$95,A67,CETES!$B$5:$B$95,C67)=0,"",SUMIFS(CETES!$AF$5:$AF$95,CETES!$A$5:$A$95,A67,CETES!$B$5:$B$95,C67)),SUMIFS(Precios!$L$5:$L$109,Precios!$I$5:$I$109,A67,Precios!$J$5:$J$109,C67))</f>
        <v>51.48</v>
      </c>
      <c r="O67" s="17">
        <f t="shared" si="2"/>
        <v>5148</v>
      </c>
      <c r="P67" s="17">
        <f t="shared" si="3"/>
        <v>128.48999999999978</v>
      </c>
      <c r="Q67" s="17">
        <f>IF(F67="cetes",IF(A67=G67,SUMIFS(Transacciones!$N$5:$N$20,Transacciones!$T$5:$T$20,E67,Transacciones!$F$5:$F$20,"&lt;"&amp;A67)*H67,0),0)</f>
        <v>0</v>
      </c>
      <c r="R67" s="11" t="str">
        <f>IF(COUNTIF(Entradas!$A$14:$A$17,A67)&gt;0,"sí","")</f>
        <v>sí</v>
      </c>
      <c r="S67" s="11" t="str">
        <f t="shared" si="4"/>
        <v>46281|Principal|DEMOETF|Casa B</v>
      </c>
    </row>
    <row r="68" spans="1:19" x14ac:dyDescent="0.3">
      <c r="A68" s="20">
        <v>46281</v>
      </c>
      <c r="B68" s="21" t="s">
        <v>94</v>
      </c>
      <c r="C68" s="21" t="s">
        <v>129</v>
      </c>
      <c r="D68" s="21" t="s">
        <v>112</v>
      </c>
      <c r="E68" s="11" t="str">
        <f t="shared" si="0"/>
        <v>Principal|DEMOFIB|Casa A</v>
      </c>
      <c r="F68" s="11" t="str">
        <f>INDEX(Entradas!$C$40:$C$46,MATCH(C68,Entradas!$A$40:$A$46,0))</f>
        <v>fibra</v>
      </c>
      <c r="G68" s="15" t="str">
        <f>IF(F68="cetes",INDEX(Entradas!$F$40:$F$46,MATCH(C68,Entradas!$A$40:$A$46,0)),"")</f>
        <v/>
      </c>
      <c r="H68" s="17" t="str">
        <f>IF(F68="cetes",INDEX(Entradas!$G$40:$G$46,MATCH(C68,Entradas!$A$40:$A$46,0)),"")</f>
        <v/>
      </c>
      <c r="I68" s="14">
        <f>IF(F68="cetes",IF(A68&gt;=G68,0,SUMIFS(Transacciones!$N$5:$N$20,Transacciones!$T$5:$T$20,E68,Transacciones!$F$5:$F$20,"&lt;="&amp;A68)),SUMIFS(Transacciones!$N$5:$N$20,Transacciones!$T$5:$T$20,E68,Transacciones!$F$5:$F$20,"&lt;="&amp;A68))</f>
        <v>400</v>
      </c>
      <c r="J68" s="14">
        <f>_xlfn.MAXIFS(Transacciones!$U$5:$U$20,Transacciones!$T$5:$T$20,E68,Transacciones!$F$5:$F$20,"&lt;="&amp;A68)</f>
        <v>46276005</v>
      </c>
      <c r="K68" s="18">
        <f>IF(I68=0,0,INDEX(Transacciones!$Z$5:$Z$20,MATCH(J68,Transacciones!$U$5:$U$20,0)))</f>
        <v>25.054949999999998</v>
      </c>
      <c r="L68" s="17">
        <f t="shared" si="1"/>
        <v>10021.98</v>
      </c>
      <c r="M68" s="15">
        <f>IF(F68="cetes",IF(COUNTIFS(CETES!$A$5:$A$95,A68,CETES!$B$5:$B$95,C68)=0,"",A68),SUMIFS(Precios!$K$5:$K$109,Precios!$I$5:$I$109,A68,Precios!$J$5:$J$109,C68))</f>
        <v>46280</v>
      </c>
      <c r="N68" s="18">
        <f>IF(F68="cetes",IF(COUNTIFS(CETES!$A$5:$A$95,A68,CETES!$B$5:$B$95,C68)=0,"",SUMIFS(CETES!$AF$5:$AF$95,CETES!$A$5:$A$95,A68,CETES!$B$5:$B$95,C68)),SUMIFS(Precios!$L$5:$L$109,Precios!$I$5:$I$109,A68,Precios!$J$5:$J$109,C68))</f>
        <v>25.41</v>
      </c>
      <c r="O68" s="17">
        <f t="shared" si="2"/>
        <v>10164</v>
      </c>
      <c r="P68" s="17">
        <f t="shared" si="3"/>
        <v>142.02000000000044</v>
      </c>
      <c r="Q68" s="17">
        <f>IF(F68="cetes",IF(A68=G68,SUMIFS(Transacciones!$N$5:$N$20,Transacciones!$T$5:$T$20,E68,Transacciones!$F$5:$F$20,"&lt;"&amp;A68)*H68,0),0)</f>
        <v>0</v>
      </c>
      <c r="R68" s="11" t="str">
        <f>IF(COUNTIF(Entradas!$A$14:$A$17,A68)&gt;0,"sí","")</f>
        <v>sí</v>
      </c>
      <c r="S68" s="11" t="str">
        <f t="shared" si="4"/>
        <v>46281|Principal|DEMOFIB|Casa A</v>
      </c>
    </row>
    <row r="69" spans="1:19" x14ac:dyDescent="0.3">
      <c r="A69" s="20">
        <v>46281</v>
      </c>
      <c r="B69" s="21" t="s">
        <v>94</v>
      </c>
      <c r="C69" s="21" t="s">
        <v>132</v>
      </c>
      <c r="D69" s="21" t="s">
        <v>112</v>
      </c>
      <c r="E69" s="11" t="str">
        <f t="shared" ref="E69:E132" si="5">B69&amp;"|"&amp;C69&amp;"|"&amp;D69</f>
        <v>Principal|BI261008|Casa A</v>
      </c>
      <c r="F69" s="11" t="str">
        <f>INDEX(Entradas!$C$40:$C$46,MATCH(C69,Entradas!$A$40:$A$46,0))</f>
        <v>cetes</v>
      </c>
      <c r="G69" s="15">
        <f>IF(F69="cetes",INDEX(Entradas!$F$40:$F$46,MATCH(C69,Entradas!$A$40:$A$46,0)),"")</f>
        <v>46303</v>
      </c>
      <c r="H69" s="17">
        <f>IF(F69="cetes",INDEX(Entradas!$G$40:$G$46,MATCH(C69,Entradas!$A$40:$A$46,0)),"")</f>
        <v>10</v>
      </c>
      <c r="I69" s="14">
        <f>IF(F69="cetes",IF(A69&gt;=G69,0,SUMIFS(Transacciones!$N$5:$N$20,Transacciones!$T$5:$T$20,E69,Transacciones!$F$5:$F$20,"&lt;="&amp;A69)),SUMIFS(Transacciones!$N$5:$N$20,Transacciones!$T$5:$T$20,E69,Transacciones!$F$5:$F$20,"&lt;="&amp;A69))</f>
        <v>1500</v>
      </c>
      <c r="J69" s="14">
        <f>_xlfn.MAXIFS(Transacciones!$U$5:$U$20,Transacciones!$T$5:$T$20,E69,Transacciones!$F$5:$F$20,"&lt;="&amp;A69)</f>
        <v>46275003</v>
      </c>
      <c r="K69" s="18">
        <f>IF(I69=0,0,INDEX(Transacciones!$Z$5:$Z$20,MATCH(J69,Transacciones!$U$5:$U$20,0)))</f>
        <v>9.9516240000000007</v>
      </c>
      <c r="L69" s="17">
        <f t="shared" ref="L69:L132" si="6">I69*K69</f>
        <v>14927.436000000002</v>
      </c>
      <c r="M69" s="15">
        <f>IF(F69="cetes",IF(COUNTIFS(CETES!$A$5:$A$95,A69,CETES!$B$5:$B$95,C69)=0,"",A69),SUMIFS(Precios!$K$5:$K$109,Precios!$I$5:$I$109,A69,Precios!$J$5:$J$109,C69))</f>
        <v>46281</v>
      </c>
      <c r="N69" s="18">
        <f>IF(F69="cetes",IF(COUNTIFS(CETES!$A$5:$A$95,A69,CETES!$B$5:$B$95,C69)=0,"",SUMIFS(CETES!$AF$5:$AF$95,CETES!$A$5:$A$95,A69,CETES!$B$5:$B$95,C69)),SUMIFS(Precios!$L$5:$L$109,Precios!$I$5:$I$109,A69,Precios!$J$5:$J$109,C69))</f>
        <v>9.9619508999999997</v>
      </c>
      <c r="O69" s="17">
        <f t="shared" ref="O69:O132" si="7">IF(I69=0,0,I69*N69)</f>
        <v>14942.92635</v>
      </c>
      <c r="P69" s="17">
        <f t="shared" ref="P69:P132" si="8">O69-L69</f>
        <v>15.490349999998216</v>
      </c>
      <c r="Q69" s="17">
        <f>IF(F69="cetes",IF(A69=G69,SUMIFS(Transacciones!$N$5:$N$20,Transacciones!$T$5:$T$20,E69,Transacciones!$F$5:$F$20,"&lt;"&amp;A69)*H69,0),0)</f>
        <v>0</v>
      </c>
      <c r="R69" s="11" t="str">
        <f>IF(COUNTIF(Entradas!$A$14:$A$17,A69)&gt;0,"sí","")</f>
        <v>sí</v>
      </c>
      <c r="S69" s="11" t="str">
        <f t="shared" ref="S69:S132" si="9">A69&amp;"|"&amp;E69</f>
        <v>46281|Principal|BI261008|Casa A</v>
      </c>
    </row>
    <row r="70" spans="1:19" x14ac:dyDescent="0.3">
      <c r="A70" s="20">
        <v>46281</v>
      </c>
      <c r="B70" s="21" t="s">
        <v>94</v>
      </c>
      <c r="C70" s="21" t="s">
        <v>132</v>
      </c>
      <c r="D70" s="21" t="s">
        <v>113</v>
      </c>
      <c r="E70" s="11" t="str">
        <f t="shared" si="5"/>
        <v>Principal|BI261008|Casa B</v>
      </c>
      <c r="F70" s="11" t="str">
        <f>INDEX(Entradas!$C$40:$C$46,MATCH(C70,Entradas!$A$40:$A$46,0))</f>
        <v>cetes</v>
      </c>
      <c r="G70" s="15">
        <f>IF(F70="cetes",INDEX(Entradas!$F$40:$F$46,MATCH(C70,Entradas!$A$40:$A$46,0)),"")</f>
        <v>46303</v>
      </c>
      <c r="H70" s="17">
        <f>IF(F70="cetes",INDEX(Entradas!$G$40:$G$46,MATCH(C70,Entradas!$A$40:$A$46,0)),"")</f>
        <v>10</v>
      </c>
      <c r="I70" s="14">
        <f>IF(F70="cetes",IF(A70&gt;=G70,0,SUMIFS(Transacciones!$N$5:$N$20,Transacciones!$T$5:$T$20,E70,Transacciones!$F$5:$F$20,"&lt;="&amp;A70)),SUMIFS(Transacciones!$N$5:$N$20,Transacciones!$T$5:$T$20,E70,Transacciones!$F$5:$F$20,"&lt;="&amp;A70))</f>
        <v>1000</v>
      </c>
      <c r="J70" s="14">
        <f>_xlfn.MAXIFS(Transacciones!$U$5:$U$20,Transacciones!$T$5:$T$20,E70,Transacciones!$F$5:$F$20,"&lt;="&amp;A70)</f>
        <v>46275004</v>
      </c>
      <c r="K70" s="18">
        <f>IF(I70=0,0,INDEX(Transacciones!$Z$5:$Z$20,MATCH(J70,Transacciones!$U$5:$U$20,0)))</f>
        <v>9.9516239999999989</v>
      </c>
      <c r="L70" s="17">
        <f t="shared" si="6"/>
        <v>9951.6239999999998</v>
      </c>
      <c r="M70" s="15">
        <f>IF(F70="cetes",IF(COUNTIFS(CETES!$A$5:$A$95,A70,CETES!$B$5:$B$95,C70)=0,"",A70),SUMIFS(Precios!$K$5:$K$109,Precios!$I$5:$I$109,A70,Precios!$J$5:$J$109,C70))</f>
        <v>46281</v>
      </c>
      <c r="N70" s="18">
        <f>IF(F70="cetes",IF(COUNTIFS(CETES!$A$5:$A$95,A70,CETES!$B$5:$B$95,C70)=0,"",SUMIFS(CETES!$AF$5:$AF$95,CETES!$A$5:$A$95,A70,CETES!$B$5:$B$95,C70)),SUMIFS(Precios!$L$5:$L$109,Precios!$I$5:$I$109,A70,Precios!$J$5:$J$109,C70))</f>
        <v>9.9619508999999997</v>
      </c>
      <c r="O70" s="17">
        <f t="shared" si="7"/>
        <v>9961.9508999999998</v>
      </c>
      <c r="P70" s="17">
        <f t="shared" si="8"/>
        <v>10.326900000000023</v>
      </c>
      <c r="Q70" s="17">
        <f>IF(F70="cetes",IF(A70=G70,SUMIFS(Transacciones!$N$5:$N$20,Transacciones!$T$5:$T$20,E70,Transacciones!$F$5:$F$20,"&lt;"&amp;A70)*H70,0),0)</f>
        <v>0</v>
      </c>
      <c r="R70" s="11" t="str">
        <f>IF(COUNTIF(Entradas!$A$14:$A$17,A70)&gt;0,"sí","")</f>
        <v>sí</v>
      </c>
      <c r="S70" s="11" t="str">
        <f t="shared" si="9"/>
        <v>46281|Principal|BI261008|Casa B</v>
      </c>
    </row>
    <row r="71" spans="1:19" x14ac:dyDescent="0.3">
      <c r="A71" s="20">
        <v>46281</v>
      </c>
      <c r="B71" s="21" t="s">
        <v>94</v>
      </c>
      <c r="C71" s="21" t="s">
        <v>135</v>
      </c>
      <c r="D71" s="21" t="s">
        <v>113</v>
      </c>
      <c r="E71" s="11" t="str">
        <f t="shared" si="5"/>
        <v>Principal|BI261105|Casa B</v>
      </c>
      <c r="F71" s="11" t="str">
        <f>INDEX(Entradas!$C$40:$C$46,MATCH(C71,Entradas!$A$40:$A$46,0))</f>
        <v>cetes</v>
      </c>
      <c r="G71" s="15">
        <f>IF(F71="cetes",INDEX(Entradas!$F$40:$F$46,MATCH(C71,Entradas!$A$40:$A$46,0)),"")</f>
        <v>46331</v>
      </c>
      <c r="H71" s="17">
        <f>IF(F71="cetes",INDEX(Entradas!$G$40:$G$46,MATCH(C71,Entradas!$A$40:$A$46,0)),"")</f>
        <v>10</v>
      </c>
      <c r="I71" s="14">
        <f>IF(F71="cetes",IF(A71&gt;=G71,0,SUMIFS(Transacciones!$N$5:$N$20,Transacciones!$T$5:$T$20,E71,Transacciones!$F$5:$F$20,"&lt;="&amp;A71)),SUMIFS(Transacciones!$N$5:$N$20,Transacciones!$T$5:$T$20,E71,Transacciones!$F$5:$F$20,"&lt;="&amp;A71))</f>
        <v>0</v>
      </c>
      <c r="J71" s="14">
        <f>_xlfn.MAXIFS(Transacciones!$U$5:$U$20,Transacciones!$T$5:$T$20,E71,Transacciones!$F$5:$F$20,"&lt;="&amp;A71)</f>
        <v>0</v>
      </c>
      <c r="K71" s="18">
        <f>IF(I71=0,0,INDEX(Transacciones!$Z$5:$Z$20,MATCH(J71,Transacciones!$U$5:$U$20,0)))</f>
        <v>0</v>
      </c>
      <c r="L71" s="17">
        <f t="shared" si="6"/>
        <v>0</v>
      </c>
      <c r="M71" s="15" t="str">
        <f>IF(F71="cetes",IF(COUNTIFS(CETES!$A$5:$A$95,A71,CETES!$B$5:$B$95,C71)=0,"",A71),SUMIFS(Precios!$K$5:$K$109,Precios!$I$5:$I$109,A71,Precios!$J$5:$J$109,C71))</f>
        <v/>
      </c>
      <c r="N71" s="18" t="str">
        <f>IF(F71="cetes",IF(COUNTIFS(CETES!$A$5:$A$95,A71,CETES!$B$5:$B$95,C71)=0,"",SUMIFS(CETES!$AF$5:$AF$95,CETES!$A$5:$A$95,A71,CETES!$B$5:$B$95,C71)),SUMIFS(Precios!$L$5:$L$109,Precios!$I$5:$I$109,A71,Precios!$J$5:$J$109,C71))</f>
        <v/>
      </c>
      <c r="O71" s="17">
        <f t="shared" si="7"/>
        <v>0</v>
      </c>
      <c r="P71" s="17">
        <f t="shared" si="8"/>
        <v>0</v>
      </c>
      <c r="Q71" s="17">
        <f>IF(F71="cetes",IF(A71=G71,SUMIFS(Transacciones!$N$5:$N$20,Transacciones!$T$5:$T$20,E71,Transacciones!$F$5:$F$20,"&lt;"&amp;A71)*H71,0),0)</f>
        <v>0</v>
      </c>
      <c r="R71" s="11" t="str">
        <f>IF(COUNTIF(Entradas!$A$14:$A$17,A71)&gt;0,"sí","")</f>
        <v>sí</v>
      </c>
      <c r="S71" s="11" t="str">
        <f t="shared" si="9"/>
        <v>46281|Principal|BI261105|Casa B</v>
      </c>
    </row>
    <row r="72" spans="1:19" x14ac:dyDescent="0.3">
      <c r="A72" s="20">
        <v>46281</v>
      </c>
      <c r="B72" s="21" t="s">
        <v>94</v>
      </c>
      <c r="C72" s="21" t="s">
        <v>137</v>
      </c>
      <c r="D72" s="21" t="s">
        <v>112</v>
      </c>
      <c r="E72" s="11" t="str">
        <f t="shared" si="5"/>
        <v>Principal|BI261217|Casa A</v>
      </c>
      <c r="F72" s="11" t="str">
        <f>INDEX(Entradas!$C$40:$C$46,MATCH(C72,Entradas!$A$40:$A$46,0))</f>
        <v>cetes</v>
      </c>
      <c r="G72" s="15">
        <f>IF(F72="cetes",INDEX(Entradas!$F$40:$F$46,MATCH(C72,Entradas!$A$40:$A$46,0)),"")</f>
        <v>46373</v>
      </c>
      <c r="H72" s="17">
        <f>IF(F72="cetes",INDEX(Entradas!$G$40:$G$46,MATCH(C72,Entradas!$A$40:$A$46,0)),"")</f>
        <v>10</v>
      </c>
      <c r="I72" s="14">
        <f>IF(F72="cetes",IF(A72&gt;=G72,0,SUMIFS(Transacciones!$N$5:$N$20,Transacciones!$T$5:$T$20,E72,Transacciones!$F$5:$F$20,"&lt;="&amp;A72)),SUMIFS(Transacciones!$N$5:$N$20,Transacciones!$T$5:$T$20,E72,Transacciones!$F$5:$F$20,"&lt;="&amp;A72))</f>
        <v>0</v>
      </c>
      <c r="J72" s="14">
        <f>_xlfn.MAXIFS(Transacciones!$U$5:$U$20,Transacciones!$T$5:$T$20,E72,Transacciones!$F$5:$F$20,"&lt;="&amp;A72)</f>
        <v>0</v>
      </c>
      <c r="K72" s="18">
        <f>IF(I72=0,0,INDEX(Transacciones!$Z$5:$Z$20,MATCH(J72,Transacciones!$U$5:$U$20,0)))</f>
        <v>0</v>
      </c>
      <c r="L72" s="17">
        <f t="shared" si="6"/>
        <v>0</v>
      </c>
      <c r="M72" s="15" t="str">
        <f>IF(F72="cetes",IF(COUNTIFS(CETES!$A$5:$A$95,A72,CETES!$B$5:$B$95,C72)=0,"",A72),SUMIFS(Precios!$K$5:$K$109,Precios!$I$5:$I$109,A72,Precios!$J$5:$J$109,C72))</f>
        <v/>
      </c>
      <c r="N72" s="18" t="str">
        <f>IF(F72="cetes",IF(COUNTIFS(CETES!$A$5:$A$95,A72,CETES!$B$5:$B$95,C72)=0,"",SUMIFS(CETES!$AF$5:$AF$95,CETES!$A$5:$A$95,A72,CETES!$B$5:$B$95,C72)),SUMIFS(Precios!$L$5:$L$109,Precios!$I$5:$I$109,A72,Precios!$J$5:$J$109,C72))</f>
        <v/>
      </c>
      <c r="O72" s="17">
        <f t="shared" si="7"/>
        <v>0</v>
      </c>
      <c r="P72" s="17">
        <f t="shared" si="8"/>
        <v>0</v>
      </c>
      <c r="Q72" s="17">
        <f>IF(F72="cetes",IF(A72=G72,SUMIFS(Transacciones!$N$5:$N$20,Transacciones!$T$5:$T$20,E72,Transacciones!$F$5:$F$20,"&lt;"&amp;A72)*H72,0),0)</f>
        <v>0</v>
      </c>
      <c r="R72" s="11" t="str">
        <f>IF(COUNTIF(Entradas!$A$14:$A$17,A72)&gt;0,"sí","")</f>
        <v>sí</v>
      </c>
      <c r="S72" s="11" t="str">
        <f t="shared" si="9"/>
        <v>46281|Principal|BI261217|Casa A</v>
      </c>
    </row>
    <row r="73" spans="1:19" x14ac:dyDescent="0.3">
      <c r="A73" s="20">
        <v>46281</v>
      </c>
      <c r="B73" s="21" t="s">
        <v>94</v>
      </c>
      <c r="C73" s="21" t="s">
        <v>139</v>
      </c>
      <c r="D73" s="21" t="s">
        <v>113</v>
      </c>
      <c r="E73" s="11" t="str">
        <f t="shared" si="5"/>
        <v>Principal|BI270318|Casa B</v>
      </c>
      <c r="F73" s="11" t="str">
        <f>INDEX(Entradas!$C$40:$C$46,MATCH(C73,Entradas!$A$40:$A$46,0))</f>
        <v>cetes</v>
      </c>
      <c r="G73" s="15">
        <f>IF(F73="cetes",INDEX(Entradas!$F$40:$F$46,MATCH(C73,Entradas!$A$40:$A$46,0)),"")</f>
        <v>46464</v>
      </c>
      <c r="H73" s="17">
        <f>IF(F73="cetes",INDEX(Entradas!$G$40:$G$46,MATCH(C73,Entradas!$A$40:$A$46,0)),"")</f>
        <v>10</v>
      </c>
      <c r="I73" s="14">
        <f>IF(F73="cetes",IF(A73&gt;=G73,0,SUMIFS(Transacciones!$N$5:$N$20,Transacciones!$T$5:$T$20,E73,Transacciones!$F$5:$F$20,"&lt;="&amp;A73)),SUMIFS(Transacciones!$N$5:$N$20,Transacciones!$T$5:$T$20,E73,Transacciones!$F$5:$F$20,"&lt;="&amp;A73))</f>
        <v>0</v>
      </c>
      <c r="J73" s="14">
        <f>_xlfn.MAXIFS(Transacciones!$U$5:$U$20,Transacciones!$T$5:$T$20,E73,Transacciones!$F$5:$F$20,"&lt;="&amp;A73)</f>
        <v>0</v>
      </c>
      <c r="K73" s="18">
        <f>IF(I73=0,0,INDEX(Transacciones!$Z$5:$Z$20,MATCH(J73,Transacciones!$U$5:$U$20,0)))</f>
        <v>0</v>
      </c>
      <c r="L73" s="17">
        <f t="shared" si="6"/>
        <v>0</v>
      </c>
      <c r="M73" s="15" t="str">
        <f>IF(F73="cetes",IF(COUNTIFS(CETES!$A$5:$A$95,A73,CETES!$B$5:$B$95,C73)=0,"",A73),SUMIFS(Precios!$K$5:$K$109,Precios!$I$5:$I$109,A73,Precios!$J$5:$J$109,C73))</f>
        <v/>
      </c>
      <c r="N73" s="18" t="str">
        <f>IF(F73="cetes",IF(COUNTIFS(CETES!$A$5:$A$95,A73,CETES!$B$5:$B$95,C73)=0,"",SUMIFS(CETES!$AF$5:$AF$95,CETES!$A$5:$A$95,A73,CETES!$B$5:$B$95,C73)),SUMIFS(Precios!$L$5:$L$109,Precios!$I$5:$I$109,A73,Precios!$J$5:$J$109,C73))</f>
        <v/>
      </c>
      <c r="O73" s="17">
        <f t="shared" si="7"/>
        <v>0</v>
      </c>
      <c r="P73" s="17">
        <f t="shared" si="8"/>
        <v>0</v>
      </c>
      <c r="Q73" s="17">
        <f>IF(F73="cetes",IF(A73=G73,SUMIFS(Transacciones!$N$5:$N$20,Transacciones!$T$5:$T$20,E73,Transacciones!$F$5:$F$20,"&lt;"&amp;A73)*H73,0),0)</f>
        <v>0</v>
      </c>
      <c r="R73" s="11" t="str">
        <f>IF(COUNTIF(Entradas!$A$14:$A$17,A73)&gt;0,"sí","")</f>
        <v>sí</v>
      </c>
      <c r="S73" s="11" t="str">
        <f t="shared" si="9"/>
        <v>46281|Principal|BI270318|Casa B</v>
      </c>
    </row>
    <row r="74" spans="1:19" x14ac:dyDescent="0.3">
      <c r="A74" s="20">
        <v>46281</v>
      </c>
      <c r="B74" s="21" t="s">
        <v>103</v>
      </c>
      <c r="C74" s="21" t="s">
        <v>123</v>
      </c>
      <c r="D74" s="21" t="s">
        <v>112</v>
      </c>
      <c r="E74" s="11" t="str">
        <f t="shared" si="5"/>
        <v>Secundario|DEMOACC|Casa A</v>
      </c>
      <c r="F74" s="11" t="str">
        <f>INDEX(Entradas!$C$40:$C$46,MATCH(C74,Entradas!$A$40:$A$46,0))</f>
        <v>accion</v>
      </c>
      <c r="G74" s="15" t="str">
        <f>IF(F74="cetes",INDEX(Entradas!$F$40:$F$46,MATCH(C74,Entradas!$A$40:$A$46,0)),"")</f>
        <v/>
      </c>
      <c r="H74" s="17" t="str">
        <f>IF(F74="cetes",INDEX(Entradas!$G$40:$G$46,MATCH(C74,Entradas!$A$40:$A$46,0)),"")</f>
        <v/>
      </c>
      <c r="I74" s="14">
        <f>IF(F74="cetes",IF(A74&gt;=G74,0,SUMIFS(Transacciones!$N$5:$N$20,Transacciones!$T$5:$T$20,E74,Transacciones!$F$5:$F$20,"&lt;="&amp;A74)),SUMIFS(Transacciones!$N$5:$N$20,Transacciones!$T$5:$T$20,E74,Transacciones!$F$5:$F$20,"&lt;="&amp;A74))</f>
        <v>150</v>
      </c>
      <c r="J74" s="14">
        <f>_xlfn.MAXIFS(Transacciones!$U$5:$U$20,Transacciones!$T$5:$T$20,E74,Transacciones!$F$5:$F$20,"&lt;="&amp;A74)</f>
        <v>46279007</v>
      </c>
      <c r="K74" s="18">
        <f>IF(I74=0,0,INDEX(Transacciones!$Z$5:$Z$20,MATCH(J74,Transacciones!$U$5:$U$20,0)))</f>
        <v>103.90046666666666</v>
      </c>
      <c r="L74" s="17">
        <f t="shared" si="6"/>
        <v>15585.07</v>
      </c>
      <c r="M74" s="15">
        <f>IF(F74="cetes",IF(COUNTIFS(CETES!$A$5:$A$95,A74,CETES!$B$5:$B$95,C74)=0,"",A74),SUMIFS(Precios!$K$5:$K$109,Precios!$I$5:$I$109,A74,Precios!$J$5:$J$109,C74))</f>
        <v>46280</v>
      </c>
      <c r="N74" s="18">
        <f>IF(F74="cetes",IF(COUNTIFS(CETES!$A$5:$A$95,A74,CETES!$B$5:$B$95,C74)=0,"",SUMIFS(CETES!$AF$5:$AF$95,CETES!$A$5:$A$95,A74,CETES!$B$5:$B$95,C74)),SUMIFS(Precios!$L$5:$L$109,Precios!$I$5:$I$109,A74,Precios!$J$5:$J$109,C74))</f>
        <v>104.75</v>
      </c>
      <c r="O74" s="17">
        <f t="shared" si="7"/>
        <v>15712.5</v>
      </c>
      <c r="P74" s="17">
        <f t="shared" si="8"/>
        <v>127.43000000000029</v>
      </c>
      <c r="Q74" s="17">
        <f>IF(F74="cetes",IF(A74=G74,SUMIFS(Transacciones!$N$5:$N$20,Transacciones!$T$5:$T$20,E74,Transacciones!$F$5:$F$20,"&lt;"&amp;A74)*H74,0),0)</f>
        <v>0</v>
      </c>
      <c r="R74" s="11" t="str">
        <f>IF(COUNTIF(Entradas!$A$14:$A$17,A74)&gt;0,"sí","")</f>
        <v>sí</v>
      </c>
      <c r="S74" s="11" t="str">
        <f t="shared" si="9"/>
        <v>46281|Secundario|DEMOACC|Casa A</v>
      </c>
    </row>
    <row r="75" spans="1:19" x14ac:dyDescent="0.3">
      <c r="A75" s="20">
        <v>46282</v>
      </c>
      <c r="B75" s="21" t="s">
        <v>94</v>
      </c>
      <c r="C75" s="21" t="s">
        <v>123</v>
      </c>
      <c r="D75" s="21" t="s">
        <v>112</v>
      </c>
      <c r="E75" s="11" t="str">
        <f t="shared" si="5"/>
        <v>Principal|DEMOACC|Casa A</v>
      </c>
      <c r="F75" s="11" t="str">
        <f>INDEX(Entradas!$C$40:$C$46,MATCH(C75,Entradas!$A$40:$A$46,0))</f>
        <v>accion</v>
      </c>
      <c r="G75" s="15" t="str">
        <f>IF(F75="cetes",INDEX(Entradas!$F$40:$F$46,MATCH(C75,Entradas!$A$40:$A$46,0)),"")</f>
        <v/>
      </c>
      <c r="H75" s="17" t="str">
        <f>IF(F75="cetes",INDEX(Entradas!$G$40:$G$46,MATCH(C75,Entradas!$A$40:$A$46,0)),"")</f>
        <v/>
      </c>
      <c r="I75" s="14">
        <f>IF(F75="cetes",IF(A75&gt;=G75,0,SUMIFS(Transacciones!$N$5:$N$20,Transacciones!$T$5:$T$20,E75,Transacciones!$F$5:$F$20,"&lt;="&amp;A75)),SUMIFS(Transacciones!$N$5:$N$20,Transacciones!$T$5:$T$20,E75,Transacciones!$F$5:$F$20,"&lt;="&amp;A75))</f>
        <v>200</v>
      </c>
      <c r="J75" s="14">
        <f>_xlfn.MAXIFS(Transacciones!$U$5:$U$20,Transacciones!$T$5:$T$20,E75,Transacciones!$F$5:$F$20,"&lt;="&amp;A75)</f>
        <v>46275001</v>
      </c>
      <c r="K75" s="18">
        <f>IF(I75=0,0,INDEX(Transacciones!$Z$5:$Z$20,MATCH(J75,Transacciones!$U$5:$U$20,0)))</f>
        <v>100.23985</v>
      </c>
      <c r="L75" s="17">
        <f t="shared" si="6"/>
        <v>20047.97</v>
      </c>
      <c r="M75" s="15">
        <f>IF(F75="cetes",IF(COUNTIFS(CETES!$A$5:$A$95,A75,CETES!$B$5:$B$95,C75)=0,"",A75),SUMIFS(Precios!$K$5:$K$109,Precios!$I$5:$I$109,A75,Precios!$J$5:$J$109,C75))</f>
        <v>46282</v>
      </c>
      <c r="N75" s="18">
        <f>IF(F75="cetes",IF(COUNTIFS(CETES!$A$5:$A$95,A75,CETES!$B$5:$B$95,C75)=0,"",SUMIFS(CETES!$AF$5:$AF$95,CETES!$A$5:$A$95,A75,CETES!$B$5:$B$95,C75)),SUMIFS(Precios!$L$5:$L$109,Precios!$I$5:$I$109,A75,Precios!$J$5:$J$109,C75))</f>
        <v>102.1</v>
      </c>
      <c r="O75" s="17">
        <f t="shared" si="7"/>
        <v>20420</v>
      </c>
      <c r="P75" s="17">
        <f t="shared" si="8"/>
        <v>372.02999999999884</v>
      </c>
      <c r="Q75" s="17">
        <f>IF(F75="cetes",IF(A75=G75,SUMIFS(Transacciones!$N$5:$N$20,Transacciones!$T$5:$T$20,E75,Transacciones!$F$5:$F$20,"&lt;"&amp;A75)*H75,0),0)</f>
        <v>0</v>
      </c>
      <c r="R75" s="11" t="str">
        <f>IF(COUNTIF(Entradas!$A$14:$A$17,A75)&gt;0,"sí","")</f>
        <v/>
      </c>
      <c r="S75" s="11" t="str">
        <f t="shared" si="9"/>
        <v>46282|Principal|DEMOACC|Casa A</v>
      </c>
    </row>
    <row r="76" spans="1:19" x14ac:dyDescent="0.3">
      <c r="A76" s="20">
        <v>46282</v>
      </c>
      <c r="B76" s="21" t="s">
        <v>94</v>
      </c>
      <c r="C76" s="21" t="s">
        <v>123</v>
      </c>
      <c r="D76" s="21" t="s">
        <v>113</v>
      </c>
      <c r="E76" s="11" t="str">
        <f t="shared" si="5"/>
        <v>Principal|DEMOACC|Casa B</v>
      </c>
      <c r="F76" s="11" t="str">
        <f>INDEX(Entradas!$C$40:$C$46,MATCH(C76,Entradas!$A$40:$A$46,0))</f>
        <v>accion</v>
      </c>
      <c r="G76" s="15" t="str">
        <f>IF(F76="cetes",INDEX(Entradas!$F$40:$F$46,MATCH(C76,Entradas!$A$40:$A$46,0)),"")</f>
        <v/>
      </c>
      <c r="H76" s="17" t="str">
        <f>IF(F76="cetes",INDEX(Entradas!$G$40:$G$46,MATCH(C76,Entradas!$A$40:$A$46,0)),"")</f>
        <v/>
      </c>
      <c r="I76" s="14">
        <f>IF(F76="cetes",IF(A76&gt;=G76,0,SUMIFS(Transacciones!$N$5:$N$20,Transacciones!$T$5:$T$20,E76,Transacciones!$F$5:$F$20,"&lt;="&amp;A76)),SUMIFS(Transacciones!$N$5:$N$20,Transacciones!$T$5:$T$20,E76,Transacciones!$F$5:$F$20,"&lt;="&amp;A76))</f>
        <v>100</v>
      </c>
      <c r="J76" s="14">
        <f>_xlfn.MAXIFS(Transacciones!$U$5:$U$20,Transacciones!$T$5:$T$20,E76,Transacciones!$F$5:$F$20,"&lt;="&amp;A76)</f>
        <v>46279006</v>
      </c>
      <c r="K76" s="18">
        <f>IF(I76=0,0,INDEX(Transacciones!$Z$5:$Z$20,MATCH(J76,Transacciones!$U$5:$U$20,0)))</f>
        <v>103.399</v>
      </c>
      <c r="L76" s="17">
        <f t="shared" si="6"/>
        <v>10339.9</v>
      </c>
      <c r="M76" s="15">
        <f>IF(F76="cetes",IF(COUNTIFS(CETES!$A$5:$A$95,A76,CETES!$B$5:$B$95,C76)=0,"",A76),SUMIFS(Precios!$K$5:$K$109,Precios!$I$5:$I$109,A76,Precios!$J$5:$J$109,C76))</f>
        <v>46282</v>
      </c>
      <c r="N76" s="18">
        <f>IF(F76="cetes",IF(COUNTIFS(CETES!$A$5:$A$95,A76,CETES!$B$5:$B$95,C76)=0,"",SUMIFS(CETES!$AF$5:$AF$95,CETES!$A$5:$A$95,A76,CETES!$B$5:$B$95,C76)),SUMIFS(Precios!$L$5:$L$109,Precios!$I$5:$I$109,A76,Precios!$J$5:$J$109,C76))</f>
        <v>102.1</v>
      </c>
      <c r="O76" s="17">
        <f t="shared" si="7"/>
        <v>10210</v>
      </c>
      <c r="P76" s="17">
        <f t="shared" si="8"/>
        <v>-129.89999999999964</v>
      </c>
      <c r="Q76" s="17">
        <f>IF(F76="cetes",IF(A76=G76,SUMIFS(Transacciones!$N$5:$N$20,Transacciones!$T$5:$T$20,E76,Transacciones!$F$5:$F$20,"&lt;"&amp;A76)*H76,0),0)</f>
        <v>0</v>
      </c>
      <c r="R76" s="11" t="str">
        <f>IF(COUNTIF(Entradas!$A$14:$A$17,A76)&gt;0,"sí","")</f>
        <v/>
      </c>
      <c r="S76" s="11" t="str">
        <f t="shared" si="9"/>
        <v>46282|Principal|DEMOACC|Casa B</v>
      </c>
    </row>
    <row r="77" spans="1:19" x14ac:dyDescent="0.3">
      <c r="A77" s="20">
        <v>46282</v>
      </c>
      <c r="B77" s="21" t="s">
        <v>94</v>
      </c>
      <c r="C77" s="21" t="s">
        <v>126</v>
      </c>
      <c r="D77" s="21" t="s">
        <v>113</v>
      </c>
      <c r="E77" s="11" t="str">
        <f t="shared" si="5"/>
        <v>Principal|DEMOETF|Casa B</v>
      </c>
      <c r="F77" s="11" t="str">
        <f>INDEX(Entradas!$C$40:$C$46,MATCH(C77,Entradas!$A$40:$A$46,0))</f>
        <v>etf</v>
      </c>
      <c r="G77" s="15" t="str">
        <f>IF(F77="cetes",INDEX(Entradas!$F$40:$F$46,MATCH(C77,Entradas!$A$40:$A$46,0)),"")</f>
        <v/>
      </c>
      <c r="H77" s="17" t="str">
        <f>IF(F77="cetes",INDEX(Entradas!$G$40:$G$46,MATCH(C77,Entradas!$A$40:$A$46,0)),"")</f>
        <v/>
      </c>
      <c r="I77" s="14">
        <f>IF(F77="cetes",IF(A77&gt;=G77,0,SUMIFS(Transacciones!$N$5:$N$20,Transacciones!$T$5:$T$20,E77,Transacciones!$F$5:$F$20,"&lt;="&amp;A77)),SUMIFS(Transacciones!$N$5:$N$20,Transacciones!$T$5:$T$20,E77,Transacciones!$F$5:$F$20,"&lt;="&amp;A77))</f>
        <v>100</v>
      </c>
      <c r="J77" s="14">
        <f>_xlfn.MAXIFS(Transacciones!$U$5:$U$20,Transacciones!$T$5:$T$20,E77,Transacciones!$F$5:$F$20,"&lt;="&amp;A77)</f>
        <v>46275002</v>
      </c>
      <c r="K77" s="18">
        <f>IF(I77=0,0,INDEX(Transacciones!$Z$5:$Z$20,MATCH(J77,Transacciones!$U$5:$U$20,0)))</f>
        <v>50.195100000000004</v>
      </c>
      <c r="L77" s="17">
        <f t="shared" si="6"/>
        <v>5019.51</v>
      </c>
      <c r="M77" s="15">
        <f>IF(F77="cetes",IF(COUNTIFS(CETES!$A$5:$A$95,A77,CETES!$B$5:$B$95,C77)=0,"",A77),SUMIFS(Precios!$K$5:$K$109,Precios!$I$5:$I$109,A77,Precios!$J$5:$J$109,C77))</f>
        <v>46282</v>
      </c>
      <c r="N77" s="18">
        <f>IF(F77="cetes",IF(COUNTIFS(CETES!$A$5:$A$95,A77,CETES!$B$5:$B$95,C77)=0,"",SUMIFS(CETES!$AF$5:$AF$95,CETES!$A$5:$A$95,A77,CETES!$B$5:$B$95,C77)),SUMIFS(Precios!$L$5:$L$109,Precios!$I$5:$I$109,A77,Precios!$J$5:$J$109,C77))</f>
        <v>50.71</v>
      </c>
      <c r="O77" s="17">
        <f t="shared" si="7"/>
        <v>5071</v>
      </c>
      <c r="P77" s="17">
        <f t="shared" si="8"/>
        <v>51.489999999999782</v>
      </c>
      <c r="Q77" s="17">
        <f>IF(F77="cetes",IF(A77=G77,SUMIFS(Transacciones!$N$5:$N$20,Transacciones!$T$5:$T$20,E77,Transacciones!$F$5:$F$20,"&lt;"&amp;A77)*H77,0),0)</f>
        <v>0</v>
      </c>
      <c r="R77" s="11" t="str">
        <f>IF(COUNTIF(Entradas!$A$14:$A$17,A77)&gt;0,"sí","")</f>
        <v/>
      </c>
      <c r="S77" s="11" t="str">
        <f t="shared" si="9"/>
        <v>46282|Principal|DEMOETF|Casa B</v>
      </c>
    </row>
    <row r="78" spans="1:19" x14ac:dyDescent="0.3">
      <c r="A78" s="20">
        <v>46282</v>
      </c>
      <c r="B78" s="21" t="s">
        <v>94</v>
      </c>
      <c r="C78" s="21" t="s">
        <v>129</v>
      </c>
      <c r="D78" s="21" t="s">
        <v>112</v>
      </c>
      <c r="E78" s="11" t="str">
        <f t="shared" si="5"/>
        <v>Principal|DEMOFIB|Casa A</v>
      </c>
      <c r="F78" s="11" t="str">
        <f>INDEX(Entradas!$C$40:$C$46,MATCH(C78,Entradas!$A$40:$A$46,0))</f>
        <v>fibra</v>
      </c>
      <c r="G78" s="15" t="str">
        <f>IF(F78="cetes",INDEX(Entradas!$F$40:$F$46,MATCH(C78,Entradas!$A$40:$A$46,0)),"")</f>
        <v/>
      </c>
      <c r="H78" s="17" t="str">
        <f>IF(F78="cetes",INDEX(Entradas!$G$40:$G$46,MATCH(C78,Entradas!$A$40:$A$46,0)),"")</f>
        <v/>
      </c>
      <c r="I78" s="14">
        <f>IF(F78="cetes",IF(A78&gt;=G78,0,SUMIFS(Transacciones!$N$5:$N$20,Transacciones!$T$5:$T$20,E78,Transacciones!$F$5:$F$20,"&lt;="&amp;A78)),SUMIFS(Transacciones!$N$5:$N$20,Transacciones!$T$5:$T$20,E78,Transacciones!$F$5:$F$20,"&lt;="&amp;A78))</f>
        <v>400</v>
      </c>
      <c r="J78" s="14">
        <f>_xlfn.MAXIFS(Transacciones!$U$5:$U$20,Transacciones!$T$5:$T$20,E78,Transacciones!$F$5:$F$20,"&lt;="&amp;A78)</f>
        <v>46276005</v>
      </c>
      <c r="K78" s="18">
        <f>IF(I78=0,0,INDEX(Transacciones!$Z$5:$Z$20,MATCH(J78,Transacciones!$U$5:$U$20,0)))</f>
        <v>25.054949999999998</v>
      </c>
      <c r="L78" s="17">
        <f t="shared" si="6"/>
        <v>10021.98</v>
      </c>
      <c r="M78" s="15">
        <f>IF(F78="cetes",IF(COUNTIFS(CETES!$A$5:$A$95,A78,CETES!$B$5:$B$95,C78)=0,"",A78),SUMIFS(Precios!$K$5:$K$109,Precios!$I$5:$I$109,A78,Precios!$J$5:$J$109,C78))</f>
        <v>46282</v>
      </c>
      <c r="N78" s="18">
        <f>IF(F78="cetes",IF(COUNTIFS(CETES!$A$5:$A$95,A78,CETES!$B$5:$B$95,C78)=0,"",SUMIFS(CETES!$AF$5:$AF$95,CETES!$A$5:$A$95,A78,CETES!$B$5:$B$95,C78)),SUMIFS(Precios!$L$5:$L$109,Precios!$I$5:$I$109,A78,Precios!$J$5:$J$109,C78))</f>
        <v>24.965</v>
      </c>
      <c r="O78" s="17">
        <f t="shared" si="7"/>
        <v>9986</v>
      </c>
      <c r="P78" s="17">
        <f t="shared" si="8"/>
        <v>-35.979999999999563</v>
      </c>
      <c r="Q78" s="17">
        <f>IF(F78="cetes",IF(A78=G78,SUMIFS(Transacciones!$N$5:$N$20,Transacciones!$T$5:$T$20,E78,Transacciones!$F$5:$F$20,"&lt;"&amp;A78)*H78,0),0)</f>
        <v>0</v>
      </c>
      <c r="R78" s="11" t="str">
        <f>IF(COUNTIF(Entradas!$A$14:$A$17,A78)&gt;0,"sí","")</f>
        <v/>
      </c>
      <c r="S78" s="11" t="str">
        <f t="shared" si="9"/>
        <v>46282|Principal|DEMOFIB|Casa A</v>
      </c>
    </row>
    <row r="79" spans="1:19" x14ac:dyDescent="0.3">
      <c r="A79" s="20">
        <v>46282</v>
      </c>
      <c r="B79" s="21" t="s">
        <v>94</v>
      </c>
      <c r="C79" s="21" t="s">
        <v>132</v>
      </c>
      <c r="D79" s="21" t="s">
        <v>112</v>
      </c>
      <c r="E79" s="11" t="str">
        <f t="shared" si="5"/>
        <v>Principal|BI261008|Casa A</v>
      </c>
      <c r="F79" s="11" t="str">
        <f>INDEX(Entradas!$C$40:$C$46,MATCH(C79,Entradas!$A$40:$A$46,0))</f>
        <v>cetes</v>
      </c>
      <c r="G79" s="15">
        <f>IF(F79="cetes",INDEX(Entradas!$F$40:$F$46,MATCH(C79,Entradas!$A$40:$A$46,0)),"")</f>
        <v>46303</v>
      </c>
      <c r="H79" s="17">
        <f>IF(F79="cetes",INDEX(Entradas!$G$40:$G$46,MATCH(C79,Entradas!$A$40:$A$46,0)),"")</f>
        <v>10</v>
      </c>
      <c r="I79" s="14">
        <f>IF(F79="cetes",IF(A79&gt;=G79,0,SUMIFS(Transacciones!$N$5:$N$20,Transacciones!$T$5:$T$20,E79,Transacciones!$F$5:$F$20,"&lt;="&amp;A79)),SUMIFS(Transacciones!$N$5:$N$20,Transacciones!$T$5:$T$20,E79,Transacciones!$F$5:$F$20,"&lt;="&amp;A79))</f>
        <v>1500</v>
      </c>
      <c r="J79" s="14">
        <f>_xlfn.MAXIFS(Transacciones!$U$5:$U$20,Transacciones!$T$5:$T$20,E79,Transacciones!$F$5:$F$20,"&lt;="&amp;A79)</f>
        <v>46275003</v>
      </c>
      <c r="K79" s="18">
        <f>IF(I79=0,0,INDEX(Transacciones!$Z$5:$Z$20,MATCH(J79,Transacciones!$U$5:$U$20,0)))</f>
        <v>9.9516240000000007</v>
      </c>
      <c r="L79" s="17">
        <f t="shared" si="6"/>
        <v>14927.436000000002</v>
      </c>
      <c r="M79" s="15">
        <f>IF(F79="cetes",IF(COUNTIFS(CETES!$A$5:$A$95,A79,CETES!$B$5:$B$95,C79)=0,"",A79),SUMIFS(Precios!$K$5:$K$109,Precios!$I$5:$I$109,A79,Precios!$J$5:$J$109,C79))</f>
        <v>46282</v>
      </c>
      <c r="N79" s="18">
        <f>IF(F79="cetes",IF(COUNTIFS(CETES!$A$5:$A$95,A79,CETES!$B$5:$B$95,C79)=0,"",SUMIFS(CETES!$AF$5:$AF$95,CETES!$A$5:$A$95,A79,CETES!$B$5:$B$95,C79)),SUMIFS(Precios!$L$5:$L$109,Precios!$I$5:$I$109,A79,Precios!$J$5:$J$109,C79))</f>
        <v>9.9636741000000004</v>
      </c>
      <c r="O79" s="17">
        <f t="shared" si="7"/>
        <v>14945.51115</v>
      </c>
      <c r="P79" s="17">
        <f t="shared" si="8"/>
        <v>18.075149999998757</v>
      </c>
      <c r="Q79" s="17">
        <f>IF(F79="cetes",IF(A79=G79,SUMIFS(Transacciones!$N$5:$N$20,Transacciones!$T$5:$T$20,E79,Transacciones!$F$5:$F$20,"&lt;"&amp;A79)*H79,0),0)</f>
        <v>0</v>
      </c>
      <c r="R79" s="11" t="str">
        <f>IF(COUNTIF(Entradas!$A$14:$A$17,A79)&gt;0,"sí","")</f>
        <v/>
      </c>
      <c r="S79" s="11" t="str">
        <f t="shared" si="9"/>
        <v>46282|Principal|BI261008|Casa A</v>
      </c>
    </row>
    <row r="80" spans="1:19" x14ac:dyDescent="0.3">
      <c r="A80" s="20">
        <v>46282</v>
      </c>
      <c r="B80" s="21" t="s">
        <v>94</v>
      </c>
      <c r="C80" s="21" t="s">
        <v>132</v>
      </c>
      <c r="D80" s="21" t="s">
        <v>113</v>
      </c>
      <c r="E80" s="11" t="str">
        <f t="shared" si="5"/>
        <v>Principal|BI261008|Casa B</v>
      </c>
      <c r="F80" s="11" t="str">
        <f>INDEX(Entradas!$C$40:$C$46,MATCH(C80,Entradas!$A$40:$A$46,0))</f>
        <v>cetes</v>
      </c>
      <c r="G80" s="15">
        <f>IF(F80="cetes",INDEX(Entradas!$F$40:$F$46,MATCH(C80,Entradas!$A$40:$A$46,0)),"")</f>
        <v>46303</v>
      </c>
      <c r="H80" s="17">
        <f>IF(F80="cetes",INDEX(Entradas!$G$40:$G$46,MATCH(C80,Entradas!$A$40:$A$46,0)),"")</f>
        <v>10</v>
      </c>
      <c r="I80" s="14">
        <f>IF(F80="cetes",IF(A80&gt;=G80,0,SUMIFS(Transacciones!$N$5:$N$20,Transacciones!$T$5:$T$20,E80,Transacciones!$F$5:$F$20,"&lt;="&amp;A80)),SUMIFS(Transacciones!$N$5:$N$20,Transacciones!$T$5:$T$20,E80,Transacciones!$F$5:$F$20,"&lt;="&amp;A80))</f>
        <v>1000</v>
      </c>
      <c r="J80" s="14">
        <f>_xlfn.MAXIFS(Transacciones!$U$5:$U$20,Transacciones!$T$5:$T$20,E80,Transacciones!$F$5:$F$20,"&lt;="&amp;A80)</f>
        <v>46275004</v>
      </c>
      <c r="K80" s="18">
        <f>IF(I80=0,0,INDEX(Transacciones!$Z$5:$Z$20,MATCH(J80,Transacciones!$U$5:$U$20,0)))</f>
        <v>9.9516239999999989</v>
      </c>
      <c r="L80" s="17">
        <f t="shared" si="6"/>
        <v>9951.6239999999998</v>
      </c>
      <c r="M80" s="15">
        <f>IF(F80="cetes",IF(COUNTIFS(CETES!$A$5:$A$95,A80,CETES!$B$5:$B$95,C80)=0,"",A80),SUMIFS(Precios!$K$5:$K$109,Precios!$I$5:$I$109,A80,Precios!$J$5:$J$109,C80))</f>
        <v>46282</v>
      </c>
      <c r="N80" s="18">
        <f>IF(F80="cetes",IF(COUNTIFS(CETES!$A$5:$A$95,A80,CETES!$B$5:$B$95,C80)=0,"",SUMIFS(CETES!$AF$5:$AF$95,CETES!$A$5:$A$95,A80,CETES!$B$5:$B$95,C80)),SUMIFS(Precios!$L$5:$L$109,Precios!$I$5:$I$109,A80,Precios!$J$5:$J$109,C80))</f>
        <v>9.9636741000000004</v>
      </c>
      <c r="O80" s="17">
        <f t="shared" si="7"/>
        <v>9963.6741000000002</v>
      </c>
      <c r="P80" s="17">
        <f t="shared" si="8"/>
        <v>12.050100000000384</v>
      </c>
      <c r="Q80" s="17">
        <f>IF(F80="cetes",IF(A80=G80,SUMIFS(Transacciones!$N$5:$N$20,Transacciones!$T$5:$T$20,E80,Transacciones!$F$5:$F$20,"&lt;"&amp;A80)*H80,0),0)</f>
        <v>0</v>
      </c>
      <c r="R80" s="11" t="str">
        <f>IF(COUNTIF(Entradas!$A$14:$A$17,A80)&gt;0,"sí","")</f>
        <v/>
      </c>
      <c r="S80" s="11" t="str">
        <f t="shared" si="9"/>
        <v>46282|Principal|BI261008|Casa B</v>
      </c>
    </row>
    <row r="81" spans="1:19" x14ac:dyDescent="0.3">
      <c r="A81" s="20">
        <v>46282</v>
      </c>
      <c r="B81" s="21" t="s">
        <v>94</v>
      </c>
      <c r="C81" s="21" t="s">
        <v>135</v>
      </c>
      <c r="D81" s="21" t="s">
        <v>113</v>
      </c>
      <c r="E81" s="11" t="str">
        <f t="shared" si="5"/>
        <v>Principal|BI261105|Casa B</v>
      </c>
      <c r="F81" s="11" t="str">
        <f>INDEX(Entradas!$C$40:$C$46,MATCH(C81,Entradas!$A$40:$A$46,0))</f>
        <v>cetes</v>
      </c>
      <c r="G81" s="15">
        <f>IF(F81="cetes",INDEX(Entradas!$F$40:$F$46,MATCH(C81,Entradas!$A$40:$A$46,0)),"")</f>
        <v>46331</v>
      </c>
      <c r="H81" s="17">
        <f>IF(F81="cetes",INDEX(Entradas!$G$40:$G$46,MATCH(C81,Entradas!$A$40:$A$46,0)),"")</f>
        <v>10</v>
      </c>
      <c r="I81" s="14">
        <f>IF(F81="cetes",IF(A81&gt;=G81,0,SUMIFS(Transacciones!$N$5:$N$20,Transacciones!$T$5:$T$20,E81,Transacciones!$F$5:$F$20,"&lt;="&amp;A81)),SUMIFS(Transacciones!$N$5:$N$20,Transacciones!$T$5:$T$20,E81,Transacciones!$F$5:$F$20,"&lt;="&amp;A81))</f>
        <v>0</v>
      </c>
      <c r="J81" s="14">
        <f>_xlfn.MAXIFS(Transacciones!$U$5:$U$20,Transacciones!$T$5:$T$20,E81,Transacciones!$F$5:$F$20,"&lt;="&amp;A81)</f>
        <v>0</v>
      </c>
      <c r="K81" s="18">
        <f>IF(I81=0,0,INDEX(Transacciones!$Z$5:$Z$20,MATCH(J81,Transacciones!$U$5:$U$20,0)))</f>
        <v>0</v>
      </c>
      <c r="L81" s="17">
        <f t="shared" si="6"/>
        <v>0</v>
      </c>
      <c r="M81" s="15" t="str">
        <f>IF(F81="cetes",IF(COUNTIFS(CETES!$A$5:$A$95,A81,CETES!$B$5:$B$95,C81)=0,"",A81),SUMIFS(Precios!$K$5:$K$109,Precios!$I$5:$I$109,A81,Precios!$J$5:$J$109,C81))</f>
        <v/>
      </c>
      <c r="N81" s="18" t="str">
        <f>IF(F81="cetes",IF(COUNTIFS(CETES!$A$5:$A$95,A81,CETES!$B$5:$B$95,C81)=0,"",SUMIFS(CETES!$AF$5:$AF$95,CETES!$A$5:$A$95,A81,CETES!$B$5:$B$95,C81)),SUMIFS(Precios!$L$5:$L$109,Precios!$I$5:$I$109,A81,Precios!$J$5:$J$109,C81))</f>
        <v/>
      </c>
      <c r="O81" s="17">
        <f t="shared" si="7"/>
        <v>0</v>
      </c>
      <c r="P81" s="17">
        <f t="shared" si="8"/>
        <v>0</v>
      </c>
      <c r="Q81" s="17">
        <f>IF(F81="cetes",IF(A81=G81,SUMIFS(Transacciones!$N$5:$N$20,Transacciones!$T$5:$T$20,E81,Transacciones!$F$5:$F$20,"&lt;"&amp;A81)*H81,0),0)</f>
        <v>0</v>
      </c>
      <c r="R81" s="11" t="str">
        <f>IF(COUNTIF(Entradas!$A$14:$A$17,A81)&gt;0,"sí","")</f>
        <v/>
      </c>
      <c r="S81" s="11" t="str">
        <f t="shared" si="9"/>
        <v>46282|Principal|BI261105|Casa B</v>
      </c>
    </row>
    <row r="82" spans="1:19" x14ac:dyDescent="0.3">
      <c r="A82" s="20">
        <v>46282</v>
      </c>
      <c r="B82" s="21" t="s">
        <v>94</v>
      </c>
      <c r="C82" s="21" t="s">
        <v>137</v>
      </c>
      <c r="D82" s="21" t="s">
        <v>112</v>
      </c>
      <c r="E82" s="11" t="str">
        <f t="shared" si="5"/>
        <v>Principal|BI261217|Casa A</v>
      </c>
      <c r="F82" s="11" t="str">
        <f>INDEX(Entradas!$C$40:$C$46,MATCH(C82,Entradas!$A$40:$A$46,0))</f>
        <v>cetes</v>
      </c>
      <c r="G82" s="15">
        <f>IF(F82="cetes",INDEX(Entradas!$F$40:$F$46,MATCH(C82,Entradas!$A$40:$A$46,0)),"")</f>
        <v>46373</v>
      </c>
      <c r="H82" s="17">
        <f>IF(F82="cetes",INDEX(Entradas!$G$40:$G$46,MATCH(C82,Entradas!$A$40:$A$46,0)),"")</f>
        <v>10</v>
      </c>
      <c r="I82" s="14">
        <f>IF(F82="cetes",IF(A82&gt;=G82,0,SUMIFS(Transacciones!$N$5:$N$20,Transacciones!$T$5:$T$20,E82,Transacciones!$F$5:$F$20,"&lt;="&amp;A82)),SUMIFS(Transacciones!$N$5:$N$20,Transacciones!$T$5:$T$20,E82,Transacciones!$F$5:$F$20,"&lt;="&amp;A82))</f>
        <v>1000</v>
      </c>
      <c r="J82" s="14">
        <f>_xlfn.MAXIFS(Transacciones!$U$5:$U$20,Transacciones!$T$5:$T$20,E82,Transacciones!$F$5:$F$20,"&lt;="&amp;A82)</f>
        <v>46282008</v>
      </c>
      <c r="K82" s="18">
        <f>IF(I82=0,0,INDEX(Transacciones!$Z$5:$Z$20,MATCH(J82,Transacciones!$U$5:$U$20,0)))</f>
        <v>9.8344372</v>
      </c>
      <c r="L82" s="17">
        <f t="shared" si="6"/>
        <v>9834.4372000000003</v>
      </c>
      <c r="M82" s="15">
        <f>IF(F82="cetes",IF(COUNTIFS(CETES!$A$5:$A$95,A82,CETES!$B$5:$B$95,C82)=0,"",A82),SUMIFS(Precios!$K$5:$K$109,Precios!$I$5:$I$109,A82,Precios!$J$5:$J$109,C82))</f>
        <v>46282</v>
      </c>
      <c r="N82" s="18">
        <f>IF(F82="cetes",IF(COUNTIFS(CETES!$A$5:$A$95,A82,CETES!$B$5:$B$95,C82)=0,"",SUMIFS(CETES!$AF$5:$AF$95,CETES!$A$5:$A$95,A82,CETES!$B$5:$B$95,C82)),SUMIFS(Precios!$L$5:$L$109,Precios!$I$5:$I$109,A82,Precios!$J$5:$J$109,C82))</f>
        <v>9.8344372</v>
      </c>
      <c r="O82" s="17">
        <f t="shared" si="7"/>
        <v>9834.4372000000003</v>
      </c>
      <c r="P82" s="17">
        <f t="shared" si="8"/>
        <v>0</v>
      </c>
      <c r="Q82" s="17">
        <f>IF(F82="cetes",IF(A82=G82,SUMIFS(Transacciones!$N$5:$N$20,Transacciones!$T$5:$T$20,E82,Transacciones!$F$5:$F$20,"&lt;"&amp;A82)*H82,0),0)</f>
        <v>0</v>
      </c>
      <c r="R82" s="11" t="str">
        <f>IF(COUNTIF(Entradas!$A$14:$A$17,A82)&gt;0,"sí","")</f>
        <v/>
      </c>
      <c r="S82" s="11" t="str">
        <f t="shared" si="9"/>
        <v>46282|Principal|BI261217|Casa A</v>
      </c>
    </row>
    <row r="83" spans="1:19" x14ac:dyDescent="0.3">
      <c r="A83" s="20">
        <v>46282</v>
      </c>
      <c r="B83" s="21" t="s">
        <v>94</v>
      </c>
      <c r="C83" s="21" t="s">
        <v>139</v>
      </c>
      <c r="D83" s="21" t="s">
        <v>113</v>
      </c>
      <c r="E83" s="11" t="str">
        <f t="shared" si="5"/>
        <v>Principal|BI270318|Casa B</v>
      </c>
      <c r="F83" s="11" t="str">
        <f>INDEX(Entradas!$C$40:$C$46,MATCH(C83,Entradas!$A$40:$A$46,0))</f>
        <v>cetes</v>
      </c>
      <c r="G83" s="15">
        <f>IF(F83="cetes",INDEX(Entradas!$F$40:$F$46,MATCH(C83,Entradas!$A$40:$A$46,0)),"")</f>
        <v>46464</v>
      </c>
      <c r="H83" s="17">
        <f>IF(F83="cetes",INDEX(Entradas!$G$40:$G$46,MATCH(C83,Entradas!$A$40:$A$46,0)),"")</f>
        <v>10</v>
      </c>
      <c r="I83" s="14">
        <f>IF(F83="cetes",IF(A83&gt;=G83,0,SUMIFS(Transacciones!$N$5:$N$20,Transacciones!$T$5:$T$20,E83,Transacciones!$F$5:$F$20,"&lt;="&amp;A83)),SUMIFS(Transacciones!$N$5:$N$20,Transacciones!$T$5:$T$20,E83,Transacciones!$F$5:$F$20,"&lt;="&amp;A83))</f>
        <v>500</v>
      </c>
      <c r="J83" s="14">
        <f>_xlfn.MAXIFS(Transacciones!$U$5:$U$20,Transacciones!$T$5:$T$20,E83,Transacciones!$F$5:$F$20,"&lt;="&amp;A83)</f>
        <v>46282009</v>
      </c>
      <c r="K83" s="18">
        <f>IF(I83=0,0,INDEX(Transacciones!$Z$5:$Z$20,MATCH(J83,Transacciones!$U$5:$U$20,0)))</f>
        <v>9.6629249999999995</v>
      </c>
      <c r="L83" s="17">
        <f t="shared" si="6"/>
        <v>4831.4624999999996</v>
      </c>
      <c r="M83" s="15">
        <f>IF(F83="cetes",IF(COUNTIFS(CETES!$A$5:$A$95,A83,CETES!$B$5:$B$95,C83)=0,"",A83),SUMIFS(Precios!$K$5:$K$109,Precios!$I$5:$I$109,A83,Precios!$J$5:$J$109,C83))</f>
        <v>46282</v>
      </c>
      <c r="N83" s="18">
        <f>IF(F83="cetes",IF(COUNTIFS(CETES!$A$5:$A$95,A83,CETES!$B$5:$B$95,C83)=0,"",SUMIFS(CETES!$AF$5:$AF$95,CETES!$A$5:$A$95,A83,CETES!$B$5:$B$95,C83)),SUMIFS(Precios!$L$5:$L$109,Precios!$I$5:$I$109,A83,Precios!$J$5:$J$109,C83))</f>
        <v>9.6629249999999995</v>
      </c>
      <c r="O83" s="17">
        <f t="shared" si="7"/>
        <v>4831.4624999999996</v>
      </c>
      <c r="P83" s="17">
        <f t="shared" si="8"/>
        <v>0</v>
      </c>
      <c r="Q83" s="17">
        <f>IF(F83="cetes",IF(A83=G83,SUMIFS(Transacciones!$N$5:$N$20,Transacciones!$T$5:$T$20,E83,Transacciones!$F$5:$F$20,"&lt;"&amp;A83)*H83,0),0)</f>
        <v>0</v>
      </c>
      <c r="R83" s="11" t="str">
        <f>IF(COUNTIF(Entradas!$A$14:$A$17,A83)&gt;0,"sí","")</f>
        <v/>
      </c>
      <c r="S83" s="11" t="str">
        <f t="shared" si="9"/>
        <v>46282|Principal|BI270318|Casa B</v>
      </c>
    </row>
    <row r="84" spans="1:19" x14ac:dyDescent="0.3">
      <c r="A84" s="20">
        <v>46282</v>
      </c>
      <c r="B84" s="21" t="s">
        <v>103</v>
      </c>
      <c r="C84" s="21" t="s">
        <v>123</v>
      </c>
      <c r="D84" s="21" t="s">
        <v>112</v>
      </c>
      <c r="E84" s="11" t="str">
        <f t="shared" si="5"/>
        <v>Secundario|DEMOACC|Casa A</v>
      </c>
      <c r="F84" s="11" t="str">
        <f>INDEX(Entradas!$C$40:$C$46,MATCH(C84,Entradas!$A$40:$A$46,0))</f>
        <v>accion</v>
      </c>
      <c r="G84" s="15" t="str">
        <f>IF(F84="cetes",INDEX(Entradas!$F$40:$F$46,MATCH(C84,Entradas!$A$40:$A$46,0)),"")</f>
        <v/>
      </c>
      <c r="H84" s="17" t="str">
        <f>IF(F84="cetes",INDEX(Entradas!$G$40:$G$46,MATCH(C84,Entradas!$A$40:$A$46,0)),"")</f>
        <v/>
      </c>
      <c r="I84" s="14">
        <f>IF(F84="cetes",IF(A84&gt;=G84,0,SUMIFS(Transacciones!$N$5:$N$20,Transacciones!$T$5:$T$20,E84,Transacciones!$F$5:$F$20,"&lt;="&amp;A84)),SUMIFS(Transacciones!$N$5:$N$20,Transacciones!$T$5:$T$20,E84,Transacciones!$F$5:$F$20,"&lt;="&amp;A84))</f>
        <v>150</v>
      </c>
      <c r="J84" s="14">
        <f>_xlfn.MAXIFS(Transacciones!$U$5:$U$20,Transacciones!$T$5:$T$20,E84,Transacciones!$F$5:$F$20,"&lt;="&amp;A84)</f>
        <v>46279007</v>
      </c>
      <c r="K84" s="18">
        <f>IF(I84=0,0,INDEX(Transacciones!$Z$5:$Z$20,MATCH(J84,Transacciones!$U$5:$U$20,0)))</f>
        <v>103.90046666666666</v>
      </c>
      <c r="L84" s="17">
        <f t="shared" si="6"/>
        <v>15585.07</v>
      </c>
      <c r="M84" s="15">
        <f>IF(F84="cetes",IF(COUNTIFS(CETES!$A$5:$A$95,A84,CETES!$B$5:$B$95,C84)=0,"",A84),SUMIFS(Precios!$K$5:$K$109,Precios!$I$5:$I$109,A84,Precios!$J$5:$J$109,C84))</f>
        <v>46282</v>
      </c>
      <c r="N84" s="18">
        <f>IF(F84="cetes",IF(COUNTIFS(CETES!$A$5:$A$95,A84,CETES!$B$5:$B$95,C84)=0,"",SUMIFS(CETES!$AF$5:$AF$95,CETES!$A$5:$A$95,A84,CETES!$B$5:$B$95,C84)),SUMIFS(Precios!$L$5:$L$109,Precios!$I$5:$I$109,A84,Precios!$J$5:$J$109,C84))</f>
        <v>102.1</v>
      </c>
      <c r="O84" s="17">
        <f t="shared" si="7"/>
        <v>15315</v>
      </c>
      <c r="P84" s="17">
        <f t="shared" si="8"/>
        <v>-270.06999999999971</v>
      </c>
      <c r="Q84" s="17">
        <f>IF(F84="cetes",IF(A84=G84,SUMIFS(Transacciones!$N$5:$N$20,Transacciones!$T$5:$T$20,E84,Transacciones!$F$5:$F$20,"&lt;"&amp;A84)*H84,0),0)</f>
        <v>0</v>
      </c>
      <c r="R84" s="11" t="str">
        <f>IF(COUNTIF(Entradas!$A$14:$A$17,A84)&gt;0,"sí","")</f>
        <v/>
      </c>
      <c r="S84" s="11" t="str">
        <f t="shared" si="9"/>
        <v>46282|Secundario|DEMOACC|Casa A</v>
      </c>
    </row>
    <row r="85" spans="1:19" x14ac:dyDescent="0.3">
      <c r="A85" s="20">
        <v>46283</v>
      </c>
      <c r="B85" s="21" t="s">
        <v>94</v>
      </c>
      <c r="C85" s="21" t="s">
        <v>123</v>
      </c>
      <c r="D85" s="21" t="s">
        <v>112</v>
      </c>
      <c r="E85" s="11" t="str">
        <f t="shared" si="5"/>
        <v>Principal|DEMOACC|Casa A</v>
      </c>
      <c r="F85" s="11" t="str">
        <f>INDEX(Entradas!$C$40:$C$46,MATCH(C85,Entradas!$A$40:$A$46,0))</f>
        <v>accion</v>
      </c>
      <c r="G85" s="15" t="str">
        <f>IF(F85="cetes",INDEX(Entradas!$F$40:$F$46,MATCH(C85,Entradas!$A$40:$A$46,0)),"")</f>
        <v/>
      </c>
      <c r="H85" s="17" t="str">
        <f>IF(F85="cetes",INDEX(Entradas!$G$40:$G$46,MATCH(C85,Entradas!$A$40:$A$46,0)),"")</f>
        <v/>
      </c>
      <c r="I85" s="14">
        <f>IF(F85="cetes",IF(A85&gt;=G85,0,SUMIFS(Transacciones!$N$5:$N$20,Transacciones!$T$5:$T$20,E85,Transacciones!$F$5:$F$20,"&lt;="&amp;A85)),SUMIFS(Transacciones!$N$5:$N$20,Transacciones!$T$5:$T$20,E85,Transacciones!$F$5:$F$20,"&lt;="&amp;A85))</f>
        <v>200</v>
      </c>
      <c r="J85" s="14">
        <f>_xlfn.MAXIFS(Transacciones!$U$5:$U$20,Transacciones!$T$5:$T$20,E85,Transacciones!$F$5:$F$20,"&lt;="&amp;A85)</f>
        <v>46275001</v>
      </c>
      <c r="K85" s="18">
        <f>IF(I85=0,0,INDEX(Transacciones!$Z$5:$Z$20,MATCH(J85,Transacciones!$U$5:$U$20,0)))</f>
        <v>100.23985</v>
      </c>
      <c r="L85" s="17">
        <f t="shared" si="6"/>
        <v>20047.97</v>
      </c>
      <c r="M85" s="15">
        <f>IF(F85="cetes",IF(COUNTIFS(CETES!$A$5:$A$95,A85,CETES!$B$5:$B$95,C85)=0,"",A85),SUMIFS(Precios!$K$5:$K$109,Precios!$I$5:$I$109,A85,Precios!$J$5:$J$109,C85))</f>
        <v>46283</v>
      </c>
      <c r="N85" s="18">
        <f>IF(F85="cetes",IF(COUNTIFS(CETES!$A$5:$A$95,A85,CETES!$B$5:$B$95,C85)=0,"",SUMIFS(CETES!$AF$5:$AF$95,CETES!$A$5:$A$95,A85,CETES!$B$5:$B$95,C85)),SUMIFS(Precios!$L$5:$L$109,Precios!$I$5:$I$109,A85,Precios!$J$5:$J$109,C85))</f>
        <v>98.65</v>
      </c>
      <c r="O85" s="17">
        <f t="shared" si="7"/>
        <v>19730</v>
      </c>
      <c r="P85" s="17">
        <f t="shared" si="8"/>
        <v>-317.97000000000116</v>
      </c>
      <c r="Q85" s="17">
        <f>IF(F85="cetes",IF(A85=G85,SUMIFS(Transacciones!$N$5:$N$20,Transacciones!$T$5:$T$20,E85,Transacciones!$F$5:$F$20,"&lt;"&amp;A85)*H85,0),0)</f>
        <v>0</v>
      </c>
      <c r="R85" s="11" t="str">
        <f>IF(COUNTIF(Entradas!$A$14:$A$17,A85)&gt;0,"sí","")</f>
        <v/>
      </c>
      <c r="S85" s="11" t="str">
        <f t="shared" si="9"/>
        <v>46283|Principal|DEMOACC|Casa A</v>
      </c>
    </row>
    <row r="86" spans="1:19" x14ac:dyDescent="0.3">
      <c r="A86" s="20">
        <v>46283</v>
      </c>
      <c r="B86" s="21" t="s">
        <v>94</v>
      </c>
      <c r="C86" s="21" t="s">
        <v>123</v>
      </c>
      <c r="D86" s="21" t="s">
        <v>113</v>
      </c>
      <c r="E86" s="11" t="str">
        <f t="shared" si="5"/>
        <v>Principal|DEMOACC|Casa B</v>
      </c>
      <c r="F86" s="11" t="str">
        <f>INDEX(Entradas!$C$40:$C$46,MATCH(C86,Entradas!$A$40:$A$46,0))</f>
        <v>accion</v>
      </c>
      <c r="G86" s="15" t="str">
        <f>IF(F86="cetes",INDEX(Entradas!$F$40:$F$46,MATCH(C86,Entradas!$A$40:$A$46,0)),"")</f>
        <v/>
      </c>
      <c r="H86" s="17" t="str">
        <f>IF(F86="cetes",INDEX(Entradas!$G$40:$G$46,MATCH(C86,Entradas!$A$40:$A$46,0)),"")</f>
        <v/>
      </c>
      <c r="I86" s="14">
        <f>IF(F86="cetes",IF(A86&gt;=G86,0,SUMIFS(Transacciones!$N$5:$N$20,Transacciones!$T$5:$T$20,E86,Transacciones!$F$5:$F$20,"&lt;="&amp;A86)),SUMIFS(Transacciones!$N$5:$N$20,Transacciones!$T$5:$T$20,E86,Transacciones!$F$5:$F$20,"&lt;="&amp;A86))</f>
        <v>100</v>
      </c>
      <c r="J86" s="14">
        <f>_xlfn.MAXIFS(Transacciones!$U$5:$U$20,Transacciones!$T$5:$T$20,E86,Transacciones!$F$5:$F$20,"&lt;="&amp;A86)</f>
        <v>46279006</v>
      </c>
      <c r="K86" s="18">
        <f>IF(I86=0,0,INDEX(Transacciones!$Z$5:$Z$20,MATCH(J86,Transacciones!$U$5:$U$20,0)))</f>
        <v>103.399</v>
      </c>
      <c r="L86" s="17">
        <f t="shared" si="6"/>
        <v>10339.9</v>
      </c>
      <c r="M86" s="15">
        <f>IF(F86="cetes",IF(COUNTIFS(CETES!$A$5:$A$95,A86,CETES!$B$5:$B$95,C86)=0,"",A86),SUMIFS(Precios!$K$5:$K$109,Precios!$I$5:$I$109,A86,Precios!$J$5:$J$109,C86))</f>
        <v>46283</v>
      </c>
      <c r="N86" s="18">
        <f>IF(F86="cetes",IF(COUNTIFS(CETES!$A$5:$A$95,A86,CETES!$B$5:$B$95,C86)=0,"",SUMIFS(CETES!$AF$5:$AF$95,CETES!$A$5:$A$95,A86,CETES!$B$5:$B$95,C86)),SUMIFS(Precios!$L$5:$L$109,Precios!$I$5:$I$109,A86,Precios!$J$5:$J$109,C86))</f>
        <v>98.65</v>
      </c>
      <c r="O86" s="17">
        <f t="shared" si="7"/>
        <v>9865</v>
      </c>
      <c r="P86" s="17">
        <f t="shared" si="8"/>
        <v>-474.89999999999964</v>
      </c>
      <c r="Q86" s="17">
        <f>IF(F86="cetes",IF(A86=G86,SUMIFS(Transacciones!$N$5:$N$20,Transacciones!$T$5:$T$20,E86,Transacciones!$F$5:$F$20,"&lt;"&amp;A86)*H86,0),0)</f>
        <v>0</v>
      </c>
      <c r="R86" s="11" t="str">
        <f>IF(COUNTIF(Entradas!$A$14:$A$17,A86)&gt;0,"sí","")</f>
        <v/>
      </c>
      <c r="S86" s="11" t="str">
        <f t="shared" si="9"/>
        <v>46283|Principal|DEMOACC|Casa B</v>
      </c>
    </row>
    <row r="87" spans="1:19" x14ac:dyDescent="0.3">
      <c r="A87" s="20">
        <v>46283</v>
      </c>
      <c r="B87" s="21" t="s">
        <v>94</v>
      </c>
      <c r="C87" s="21" t="s">
        <v>126</v>
      </c>
      <c r="D87" s="21" t="s">
        <v>113</v>
      </c>
      <c r="E87" s="11" t="str">
        <f t="shared" si="5"/>
        <v>Principal|DEMOETF|Casa B</v>
      </c>
      <c r="F87" s="11" t="str">
        <f>INDEX(Entradas!$C$40:$C$46,MATCH(C87,Entradas!$A$40:$A$46,0))</f>
        <v>etf</v>
      </c>
      <c r="G87" s="15" t="str">
        <f>IF(F87="cetes",INDEX(Entradas!$F$40:$F$46,MATCH(C87,Entradas!$A$40:$A$46,0)),"")</f>
        <v/>
      </c>
      <c r="H87" s="17" t="str">
        <f>IF(F87="cetes",INDEX(Entradas!$G$40:$G$46,MATCH(C87,Entradas!$A$40:$A$46,0)),"")</f>
        <v/>
      </c>
      <c r="I87" s="14">
        <f>IF(F87="cetes",IF(A87&gt;=G87,0,SUMIFS(Transacciones!$N$5:$N$20,Transacciones!$T$5:$T$20,E87,Transacciones!$F$5:$F$20,"&lt;="&amp;A87)),SUMIFS(Transacciones!$N$5:$N$20,Transacciones!$T$5:$T$20,E87,Transacciones!$F$5:$F$20,"&lt;="&amp;A87))</f>
        <v>100</v>
      </c>
      <c r="J87" s="14">
        <f>_xlfn.MAXIFS(Transacciones!$U$5:$U$20,Transacciones!$T$5:$T$20,E87,Transacciones!$F$5:$F$20,"&lt;="&amp;A87)</f>
        <v>46275002</v>
      </c>
      <c r="K87" s="18">
        <f>IF(I87=0,0,INDEX(Transacciones!$Z$5:$Z$20,MATCH(J87,Transacciones!$U$5:$U$20,0)))</f>
        <v>50.195100000000004</v>
      </c>
      <c r="L87" s="17">
        <f t="shared" si="6"/>
        <v>5019.51</v>
      </c>
      <c r="M87" s="15">
        <f>IF(F87="cetes",IF(COUNTIFS(CETES!$A$5:$A$95,A87,CETES!$B$5:$B$95,C87)=0,"",A87),SUMIFS(Precios!$K$5:$K$109,Precios!$I$5:$I$109,A87,Precios!$J$5:$J$109,C87))</f>
        <v>46283</v>
      </c>
      <c r="N87" s="18">
        <f>IF(F87="cetes",IF(COUNTIFS(CETES!$A$5:$A$95,A87,CETES!$B$5:$B$95,C87)=0,"",SUMIFS(CETES!$AF$5:$AF$95,CETES!$A$5:$A$95,A87,CETES!$B$5:$B$95,C87)),SUMIFS(Precios!$L$5:$L$109,Precios!$I$5:$I$109,A87,Precios!$J$5:$J$109,C87))</f>
        <v>49.34</v>
      </c>
      <c r="O87" s="17">
        <f t="shared" si="7"/>
        <v>4934</v>
      </c>
      <c r="P87" s="17">
        <f t="shared" si="8"/>
        <v>-85.510000000000218</v>
      </c>
      <c r="Q87" s="17">
        <f>IF(F87="cetes",IF(A87=G87,SUMIFS(Transacciones!$N$5:$N$20,Transacciones!$T$5:$T$20,E87,Transacciones!$F$5:$F$20,"&lt;"&amp;A87)*H87,0),0)</f>
        <v>0</v>
      </c>
      <c r="R87" s="11" t="str">
        <f>IF(COUNTIF(Entradas!$A$14:$A$17,A87)&gt;0,"sí","")</f>
        <v/>
      </c>
      <c r="S87" s="11" t="str">
        <f t="shared" si="9"/>
        <v>46283|Principal|DEMOETF|Casa B</v>
      </c>
    </row>
    <row r="88" spans="1:19" x14ac:dyDescent="0.3">
      <c r="A88" s="20">
        <v>46283</v>
      </c>
      <c r="B88" s="21" t="s">
        <v>94</v>
      </c>
      <c r="C88" s="21" t="s">
        <v>129</v>
      </c>
      <c r="D88" s="21" t="s">
        <v>112</v>
      </c>
      <c r="E88" s="11" t="str">
        <f t="shared" si="5"/>
        <v>Principal|DEMOFIB|Casa A</v>
      </c>
      <c r="F88" s="11" t="str">
        <f>INDEX(Entradas!$C$40:$C$46,MATCH(C88,Entradas!$A$40:$A$46,0))</f>
        <v>fibra</v>
      </c>
      <c r="G88" s="15" t="str">
        <f>IF(F88="cetes",INDEX(Entradas!$F$40:$F$46,MATCH(C88,Entradas!$A$40:$A$46,0)),"")</f>
        <v/>
      </c>
      <c r="H88" s="17" t="str">
        <f>IF(F88="cetes",INDEX(Entradas!$G$40:$G$46,MATCH(C88,Entradas!$A$40:$A$46,0)),"")</f>
        <v/>
      </c>
      <c r="I88" s="14">
        <f>IF(F88="cetes",IF(A88&gt;=G88,0,SUMIFS(Transacciones!$N$5:$N$20,Transacciones!$T$5:$T$20,E88,Transacciones!$F$5:$F$20,"&lt;="&amp;A88)),SUMIFS(Transacciones!$N$5:$N$20,Transacciones!$T$5:$T$20,E88,Transacciones!$F$5:$F$20,"&lt;="&amp;A88))</f>
        <v>400</v>
      </c>
      <c r="J88" s="14">
        <f>_xlfn.MAXIFS(Transacciones!$U$5:$U$20,Transacciones!$T$5:$T$20,E88,Transacciones!$F$5:$F$20,"&lt;="&amp;A88)</f>
        <v>46276005</v>
      </c>
      <c r="K88" s="18">
        <f>IF(I88=0,0,INDEX(Transacciones!$Z$5:$Z$20,MATCH(J88,Transacciones!$U$5:$U$20,0)))</f>
        <v>25.054949999999998</v>
      </c>
      <c r="L88" s="17">
        <f t="shared" si="6"/>
        <v>10021.98</v>
      </c>
      <c r="M88" s="15">
        <f>IF(F88="cetes",IF(COUNTIFS(CETES!$A$5:$A$95,A88,CETES!$B$5:$B$95,C88)=0,"",A88),SUMIFS(Precios!$K$5:$K$109,Precios!$I$5:$I$109,A88,Precios!$J$5:$J$109,C88))</f>
        <v>46283</v>
      </c>
      <c r="N88" s="18">
        <f>IF(F88="cetes",IF(COUNTIFS(CETES!$A$5:$A$95,A88,CETES!$B$5:$B$95,C88)=0,"",SUMIFS(CETES!$AF$5:$AF$95,CETES!$A$5:$A$95,A88,CETES!$B$5:$B$95,C88)),SUMIFS(Precios!$L$5:$L$109,Precios!$I$5:$I$109,A88,Precios!$J$5:$J$109,C88))</f>
        <v>24.302499999999998</v>
      </c>
      <c r="O88" s="17">
        <f t="shared" si="7"/>
        <v>9721</v>
      </c>
      <c r="P88" s="17">
        <f t="shared" si="8"/>
        <v>-300.97999999999956</v>
      </c>
      <c r="Q88" s="17">
        <f>IF(F88="cetes",IF(A88=G88,SUMIFS(Transacciones!$N$5:$N$20,Transacciones!$T$5:$T$20,E88,Transacciones!$F$5:$F$20,"&lt;"&amp;A88)*H88,0),0)</f>
        <v>0</v>
      </c>
      <c r="R88" s="11" t="str">
        <f>IF(COUNTIF(Entradas!$A$14:$A$17,A88)&gt;0,"sí","")</f>
        <v/>
      </c>
      <c r="S88" s="11" t="str">
        <f t="shared" si="9"/>
        <v>46283|Principal|DEMOFIB|Casa A</v>
      </c>
    </row>
    <row r="89" spans="1:19" x14ac:dyDescent="0.3">
      <c r="A89" s="20">
        <v>46283</v>
      </c>
      <c r="B89" s="21" t="s">
        <v>94</v>
      </c>
      <c r="C89" s="21" t="s">
        <v>132</v>
      </c>
      <c r="D89" s="21" t="s">
        <v>112</v>
      </c>
      <c r="E89" s="11" t="str">
        <f t="shared" si="5"/>
        <v>Principal|BI261008|Casa A</v>
      </c>
      <c r="F89" s="11" t="str">
        <f>INDEX(Entradas!$C$40:$C$46,MATCH(C89,Entradas!$A$40:$A$46,0))</f>
        <v>cetes</v>
      </c>
      <c r="G89" s="15">
        <f>IF(F89="cetes",INDEX(Entradas!$F$40:$F$46,MATCH(C89,Entradas!$A$40:$A$46,0)),"")</f>
        <v>46303</v>
      </c>
      <c r="H89" s="17">
        <f>IF(F89="cetes",INDEX(Entradas!$G$40:$G$46,MATCH(C89,Entradas!$A$40:$A$46,0)),"")</f>
        <v>10</v>
      </c>
      <c r="I89" s="14">
        <f>IF(F89="cetes",IF(A89&gt;=G89,0,SUMIFS(Transacciones!$N$5:$N$20,Transacciones!$T$5:$T$20,E89,Transacciones!$F$5:$F$20,"&lt;="&amp;A89)),SUMIFS(Transacciones!$N$5:$N$20,Transacciones!$T$5:$T$20,E89,Transacciones!$F$5:$F$20,"&lt;="&amp;A89))</f>
        <v>1500</v>
      </c>
      <c r="J89" s="14">
        <f>_xlfn.MAXIFS(Transacciones!$U$5:$U$20,Transacciones!$T$5:$T$20,E89,Transacciones!$F$5:$F$20,"&lt;="&amp;A89)</f>
        <v>46275003</v>
      </c>
      <c r="K89" s="18">
        <f>IF(I89=0,0,INDEX(Transacciones!$Z$5:$Z$20,MATCH(J89,Transacciones!$U$5:$U$20,0)))</f>
        <v>9.9516240000000007</v>
      </c>
      <c r="L89" s="17">
        <f t="shared" si="6"/>
        <v>14927.436000000002</v>
      </c>
      <c r="M89" s="15">
        <f>IF(F89="cetes",IF(COUNTIFS(CETES!$A$5:$A$95,A89,CETES!$B$5:$B$95,C89)=0,"",A89),SUMIFS(Precios!$K$5:$K$109,Precios!$I$5:$I$109,A89,Precios!$J$5:$J$109,C89))</f>
        <v>46283</v>
      </c>
      <c r="N89" s="18">
        <f>IF(F89="cetes",IF(COUNTIFS(CETES!$A$5:$A$95,A89,CETES!$B$5:$B$95,C89)=0,"",SUMIFS(CETES!$AF$5:$AF$95,CETES!$A$5:$A$95,A89,CETES!$B$5:$B$95,C89)),SUMIFS(Precios!$L$5:$L$109,Precios!$I$5:$I$109,A89,Precios!$J$5:$J$109,C89))</f>
        <v>9.9653978999999993</v>
      </c>
      <c r="O89" s="17">
        <f t="shared" si="7"/>
        <v>14948.096849999998</v>
      </c>
      <c r="P89" s="17">
        <f t="shared" si="8"/>
        <v>20.660849999996572</v>
      </c>
      <c r="Q89" s="17">
        <f>IF(F89="cetes",IF(A89=G89,SUMIFS(Transacciones!$N$5:$N$20,Transacciones!$T$5:$T$20,E89,Transacciones!$F$5:$F$20,"&lt;"&amp;A89)*H89,0),0)</f>
        <v>0</v>
      </c>
      <c r="R89" s="11" t="str">
        <f>IF(COUNTIF(Entradas!$A$14:$A$17,A89)&gt;0,"sí","")</f>
        <v/>
      </c>
      <c r="S89" s="11" t="str">
        <f t="shared" si="9"/>
        <v>46283|Principal|BI261008|Casa A</v>
      </c>
    </row>
    <row r="90" spans="1:19" x14ac:dyDescent="0.3">
      <c r="A90" s="20">
        <v>46283</v>
      </c>
      <c r="B90" s="21" t="s">
        <v>94</v>
      </c>
      <c r="C90" s="21" t="s">
        <v>132</v>
      </c>
      <c r="D90" s="21" t="s">
        <v>113</v>
      </c>
      <c r="E90" s="11" t="str">
        <f t="shared" si="5"/>
        <v>Principal|BI261008|Casa B</v>
      </c>
      <c r="F90" s="11" t="str">
        <f>INDEX(Entradas!$C$40:$C$46,MATCH(C90,Entradas!$A$40:$A$46,0))</f>
        <v>cetes</v>
      </c>
      <c r="G90" s="15">
        <f>IF(F90="cetes",INDEX(Entradas!$F$40:$F$46,MATCH(C90,Entradas!$A$40:$A$46,0)),"")</f>
        <v>46303</v>
      </c>
      <c r="H90" s="17">
        <f>IF(F90="cetes",INDEX(Entradas!$G$40:$G$46,MATCH(C90,Entradas!$A$40:$A$46,0)),"")</f>
        <v>10</v>
      </c>
      <c r="I90" s="14">
        <f>IF(F90="cetes",IF(A90&gt;=G90,0,SUMIFS(Transacciones!$N$5:$N$20,Transacciones!$T$5:$T$20,E90,Transacciones!$F$5:$F$20,"&lt;="&amp;A90)),SUMIFS(Transacciones!$N$5:$N$20,Transacciones!$T$5:$T$20,E90,Transacciones!$F$5:$F$20,"&lt;="&amp;A90))</f>
        <v>1000</v>
      </c>
      <c r="J90" s="14">
        <f>_xlfn.MAXIFS(Transacciones!$U$5:$U$20,Transacciones!$T$5:$T$20,E90,Transacciones!$F$5:$F$20,"&lt;="&amp;A90)</f>
        <v>46275004</v>
      </c>
      <c r="K90" s="18">
        <f>IF(I90=0,0,INDEX(Transacciones!$Z$5:$Z$20,MATCH(J90,Transacciones!$U$5:$U$20,0)))</f>
        <v>9.9516239999999989</v>
      </c>
      <c r="L90" s="17">
        <f t="shared" si="6"/>
        <v>9951.6239999999998</v>
      </c>
      <c r="M90" s="15">
        <f>IF(F90="cetes",IF(COUNTIFS(CETES!$A$5:$A$95,A90,CETES!$B$5:$B$95,C90)=0,"",A90),SUMIFS(Precios!$K$5:$K$109,Precios!$I$5:$I$109,A90,Precios!$J$5:$J$109,C90))</f>
        <v>46283</v>
      </c>
      <c r="N90" s="18">
        <f>IF(F90="cetes",IF(COUNTIFS(CETES!$A$5:$A$95,A90,CETES!$B$5:$B$95,C90)=0,"",SUMIFS(CETES!$AF$5:$AF$95,CETES!$A$5:$A$95,A90,CETES!$B$5:$B$95,C90)),SUMIFS(Precios!$L$5:$L$109,Precios!$I$5:$I$109,A90,Precios!$J$5:$J$109,C90))</f>
        <v>9.9653978999999993</v>
      </c>
      <c r="O90" s="17">
        <f t="shared" si="7"/>
        <v>9965.3978999999999</v>
      </c>
      <c r="P90" s="17">
        <f t="shared" si="8"/>
        <v>13.77390000000014</v>
      </c>
      <c r="Q90" s="17">
        <f>IF(F90="cetes",IF(A90=G90,SUMIFS(Transacciones!$N$5:$N$20,Transacciones!$T$5:$T$20,E90,Transacciones!$F$5:$F$20,"&lt;"&amp;A90)*H90,0),0)</f>
        <v>0</v>
      </c>
      <c r="R90" s="11" t="str">
        <f>IF(COUNTIF(Entradas!$A$14:$A$17,A90)&gt;0,"sí","")</f>
        <v/>
      </c>
      <c r="S90" s="11" t="str">
        <f t="shared" si="9"/>
        <v>46283|Principal|BI261008|Casa B</v>
      </c>
    </row>
    <row r="91" spans="1:19" x14ac:dyDescent="0.3">
      <c r="A91" s="20">
        <v>46283</v>
      </c>
      <c r="B91" s="21" t="s">
        <v>94</v>
      </c>
      <c r="C91" s="21" t="s">
        <v>135</v>
      </c>
      <c r="D91" s="21" t="s">
        <v>113</v>
      </c>
      <c r="E91" s="11" t="str">
        <f t="shared" si="5"/>
        <v>Principal|BI261105|Casa B</v>
      </c>
      <c r="F91" s="11" t="str">
        <f>INDEX(Entradas!$C$40:$C$46,MATCH(C91,Entradas!$A$40:$A$46,0))</f>
        <v>cetes</v>
      </c>
      <c r="G91" s="15">
        <f>IF(F91="cetes",INDEX(Entradas!$F$40:$F$46,MATCH(C91,Entradas!$A$40:$A$46,0)),"")</f>
        <v>46331</v>
      </c>
      <c r="H91" s="17">
        <f>IF(F91="cetes",INDEX(Entradas!$G$40:$G$46,MATCH(C91,Entradas!$A$40:$A$46,0)),"")</f>
        <v>10</v>
      </c>
      <c r="I91" s="14">
        <f>IF(F91="cetes",IF(A91&gt;=G91,0,SUMIFS(Transacciones!$N$5:$N$20,Transacciones!$T$5:$T$20,E91,Transacciones!$F$5:$F$20,"&lt;="&amp;A91)),SUMIFS(Transacciones!$N$5:$N$20,Transacciones!$T$5:$T$20,E91,Transacciones!$F$5:$F$20,"&lt;="&amp;A91))</f>
        <v>0</v>
      </c>
      <c r="J91" s="14">
        <f>_xlfn.MAXIFS(Transacciones!$U$5:$U$20,Transacciones!$T$5:$T$20,E91,Transacciones!$F$5:$F$20,"&lt;="&amp;A91)</f>
        <v>0</v>
      </c>
      <c r="K91" s="18">
        <f>IF(I91=0,0,INDEX(Transacciones!$Z$5:$Z$20,MATCH(J91,Transacciones!$U$5:$U$20,0)))</f>
        <v>0</v>
      </c>
      <c r="L91" s="17">
        <f t="shared" si="6"/>
        <v>0</v>
      </c>
      <c r="M91" s="15" t="str">
        <f>IF(F91="cetes",IF(COUNTIFS(CETES!$A$5:$A$95,A91,CETES!$B$5:$B$95,C91)=0,"",A91),SUMIFS(Precios!$K$5:$K$109,Precios!$I$5:$I$109,A91,Precios!$J$5:$J$109,C91))</f>
        <v/>
      </c>
      <c r="N91" s="18" t="str">
        <f>IF(F91="cetes",IF(COUNTIFS(CETES!$A$5:$A$95,A91,CETES!$B$5:$B$95,C91)=0,"",SUMIFS(CETES!$AF$5:$AF$95,CETES!$A$5:$A$95,A91,CETES!$B$5:$B$95,C91)),SUMIFS(Precios!$L$5:$L$109,Precios!$I$5:$I$109,A91,Precios!$J$5:$J$109,C91))</f>
        <v/>
      </c>
      <c r="O91" s="17">
        <f t="shared" si="7"/>
        <v>0</v>
      </c>
      <c r="P91" s="17">
        <f t="shared" si="8"/>
        <v>0</v>
      </c>
      <c r="Q91" s="17">
        <f>IF(F91="cetes",IF(A91=G91,SUMIFS(Transacciones!$N$5:$N$20,Transacciones!$T$5:$T$20,E91,Transacciones!$F$5:$F$20,"&lt;"&amp;A91)*H91,0),0)</f>
        <v>0</v>
      </c>
      <c r="R91" s="11" t="str">
        <f>IF(COUNTIF(Entradas!$A$14:$A$17,A91)&gt;0,"sí","")</f>
        <v/>
      </c>
      <c r="S91" s="11" t="str">
        <f t="shared" si="9"/>
        <v>46283|Principal|BI261105|Casa B</v>
      </c>
    </row>
    <row r="92" spans="1:19" x14ac:dyDescent="0.3">
      <c r="A92" s="20">
        <v>46283</v>
      </c>
      <c r="B92" s="21" t="s">
        <v>94</v>
      </c>
      <c r="C92" s="21" t="s">
        <v>137</v>
      </c>
      <c r="D92" s="21" t="s">
        <v>112</v>
      </c>
      <c r="E92" s="11" t="str">
        <f t="shared" si="5"/>
        <v>Principal|BI261217|Casa A</v>
      </c>
      <c r="F92" s="11" t="str">
        <f>INDEX(Entradas!$C$40:$C$46,MATCH(C92,Entradas!$A$40:$A$46,0))</f>
        <v>cetes</v>
      </c>
      <c r="G92" s="15">
        <f>IF(F92="cetes",INDEX(Entradas!$F$40:$F$46,MATCH(C92,Entradas!$A$40:$A$46,0)),"")</f>
        <v>46373</v>
      </c>
      <c r="H92" s="17">
        <f>IF(F92="cetes",INDEX(Entradas!$G$40:$G$46,MATCH(C92,Entradas!$A$40:$A$46,0)),"")</f>
        <v>10</v>
      </c>
      <c r="I92" s="14">
        <f>IF(F92="cetes",IF(A92&gt;=G92,0,SUMIFS(Transacciones!$N$5:$N$20,Transacciones!$T$5:$T$20,E92,Transacciones!$F$5:$F$20,"&lt;="&amp;A92)),SUMIFS(Transacciones!$N$5:$N$20,Transacciones!$T$5:$T$20,E92,Transacciones!$F$5:$F$20,"&lt;="&amp;A92))</f>
        <v>1000</v>
      </c>
      <c r="J92" s="14">
        <f>_xlfn.MAXIFS(Transacciones!$U$5:$U$20,Transacciones!$T$5:$T$20,E92,Transacciones!$F$5:$F$20,"&lt;="&amp;A92)</f>
        <v>46282008</v>
      </c>
      <c r="K92" s="18">
        <f>IF(I92=0,0,INDEX(Transacciones!$Z$5:$Z$20,MATCH(J92,Transacciones!$U$5:$U$20,0)))</f>
        <v>9.8344372</v>
      </c>
      <c r="L92" s="17">
        <f t="shared" si="6"/>
        <v>9834.4372000000003</v>
      </c>
      <c r="M92" s="15">
        <f>IF(F92="cetes",IF(COUNTIFS(CETES!$A$5:$A$95,A92,CETES!$B$5:$B$95,C92)=0,"",A92),SUMIFS(Precios!$K$5:$K$109,Precios!$I$5:$I$109,A92,Precios!$J$5:$J$109,C92))</f>
        <v>46283</v>
      </c>
      <c r="N92" s="18">
        <f>IF(F92="cetes",IF(COUNTIFS(CETES!$A$5:$A$95,A92,CETES!$B$5:$B$95,C92)=0,"",SUMIFS(CETES!$AF$5:$AF$95,CETES!$A$5:$A$95,A92,CETES!$B$5:$B$95,C92)),SUMIFS(Precios!$L$5:$L$109,Precios!$I$5:$I$109,A92,Precios!$J$5:$J$109,C92))</f>
        <v>9.8363841999999995</v>
      </c>
      <c r="O92" s="17">
        <f t="shared" si="7"/>
        <v>9836.3841999999986</v>
      </c>
      <c r="P92" s="17">
        <f t="shared" si="8"/>
        <v>1.9469999999982974</v>
      </c>
      <c r="Q92" s="17">
        <f>IF(F92="cetes",IF(A92=G92,SUMIFS(Transacciones!$N$5:$N$20,Transacciones!$T$5:$T$20,E92,Transacciones!$F$5:$F$20,"&lt;"&amp;A92)*H92,0),0)</f>
        <v>0</v>
      </c>
      <c r="R92" s="11" t="str">
        <f>IF(COUNTIF(Entradas!$A$14:$A$17,A92)&gt;0,"sí","")</f>
        <v/>
      </c>
      <c r="S92" s="11" t="str">
        <f t="shared" si="9"/>
        <v>46283|Principal|BI261217|Casa A</v>
      </c>
    </row>
    <row r="93" spans="1:19" x14ac:dyDescent="0.3">
      <c r="A93" s="20">
        <v>46283</v>
      </c>
      <c r="B93" s="21" t="s">
        <v>94</v>
      </c>
      <c r="C93" s="21" t="s">
        <v>139</v>
      </c>
      <c r="D93" s="21" t="s">
        <v>113</v>
      </c>
      <c r="E93" s="11" t="str">
        <f t="shared" si="5"/>
        <v>Principal|BI270318|Casa B</v>
      </c>
      <c r="F93" s="11" t="str">
        <f>INDEX(Entradas!$C$40:$C$46,MATCH(C93,Entradas!$A$40:$A$46,0))</f>
        <v>cetes</v>
      </c>
      <c r="G93" s="15">
        <f>IF(F93="cetes",INDEX(Entradas!$F$40:$F$46,MATCH(C93,Entradas!$A$40:$A$46,0)),"")</f>
        <v>46464</v>
      </c>
      <c r="H93" s="17">
        <f>IF(F93="cetes",INDEX(Entradas!$G$40:$G$46,MATCH(C93,Entradas!$A$40:$A$46,0)),"")</f>
        <v>10</v>
      </c>
      <c r="I93" s="14">
        <f>IF(F93="cetes",IF(A93&gt;=G93,0,SUMIFS(Transacciones!$N$5:$N$20,Transacciones!$T$5:$T$20,E93,Transacciones!$F$5:$F$20,"&lt;="&amp;A93)),SUMIFS(Transacciones!$N$5:$N$20,Transacciones!$T$5:$T$20,E93,Transacciones!$F$5:$F$20,"&lt;="&amp;A93))</f>
        <v>500</v>
      </c>
      <c r="J93" s="14">
        <f>_xlfn.MAXIFS(Transacciones!$U$5:$U$20,Transacciones!$T$5:$T$20,E93,Transacciones!$F$5:$F$20,"&lt;="&amp;A93)</f>
        <v>46282009</v>
      </c>
      <c r="K93" s="18">
        <f>IF(I93=0,0,INDEX(Transacciones!$Z$5:$Z$20,MATCH(J93,Transacciones!$U$5:$U$20,0)))</f>
        <v>9.6629249999999995</v>
      </c>
      <c r="L93" s="17">
        <f t="shared" si="6"/>
        <v>4831.4624999999996</v>
      </c>
      <c r="M93" s="15">
        <f>IF(F93="cetes",IF(COUNTIFS(CETES!$A$5:$A$95,A93,CETES!$B$5:$B$95,C93)=0,"",A93),SUMIFS(Precios!$K$5:$K$109,Precios!$I$5:$I$109,A93,Precios!$J$5:$J$109,C93))</f>
        <v>46283</v>
      </c>
      <c r="N93" s="18">
        <f>IF(F93="cetes",IF(COUNTIFS(CETES!$A$5:$A$95,A93,CETES!$B$5:$B$95,C93)=0,"",SUMIFS(CETES!$AF$5:$AF$95,CETES!$A$5:$A$95,A93,CETES!$B$5:$B$95,C93)),SUMIFS(Precios!$L$5:$L$109,Precios!$I$5:$I$109,A93,Precios!$J$5:$J$109,C93))</f>
        <v>9.6648388000000001</v>
      </c>
      <c r="O93" s="17">
        <f t="shared" si="7"/>
        <v>4832.4193999999998</v>
      </c>
      <c r="P93" s="17">
        <f t="shared" si="8"/>
        <v>0.95690000000013242</v>
      </c>
      <c r="Q93" s="17">
        <f>IF(F93="cetes",IF(A93=G93,SUMIFS(Transacciones!$N$5:$N$20,Transacciones!$T$5:$T$20,E93,Transacciones!$F$5:$F$20,"&lt;"&amp;A93)*H93,0),0)</f>
        <v>0</v>
      </c>
      <c r="R93" s="11" t="str">
        <f>IF(COUNTIF(Entradas!$A$14:$A$17,A93)&gt;0,"sí","")</f>
        <v/>
      </c>
      <c r="S93" s="11" t="str">
        <f t="shared" si="9"/>
        <v>46283|Principal|BI270318|Casa B</v>
      </c>
    </row>
    <row r="94" spans="1:19" x14ac:dyDescent="0.3">
      <c r="A94" s="20">
        <v>46283</v>
      </c>
      <c r="B94" s="21" t="s">
        <v>103</v>
      </c>
      <c r="C94" s="21" t="s">
        <v>123</v>
      </c>
      <c r="D94" s="21" t="s">
        <v>112</v>
      </c>
      <c r="E94" s="11" t="str">
        <f t="shared" si="5"/>
        <v>Secundario|DEMOACC|Casa A</v>
      </c>
      <c r="F94" s="11" t="str">
        <f>INDEX(Entradas!$C$40:$C$46,MATCH(C94,Entradas!$A$40:$A$46,0))</f>
        <v>accion</v>
      </c>
      <c r="G94" s="15" t="str">
        <f>IF(F94="cetes",INDEX(Entradas!$F$40:$F$46,MATCH(C94,Entradas!$A$40:$A$46,0)),"")</f>
        <v/>
      </c>
      <c r="H94" s="17" t="str">
        <f>IF(F94="cetes",INDEX(Entradas!$G$40:$G$46,MATCH(C94,Entradas!$A$40:$A$46,0)),"")</f>
        <v/>
      </c>
      <c r="I94" s="14">
        <f>IF(F94="cetes",IF(A94&gt;=G94,0,SUMIFS(Transacciones!$N$5:$N$20,Transacciones!$T$5:$T$20,E94,Transacciones!$F$5:$F$20,"&lt;="&amp;A94)),SUMIFS(Transacciones!$N$5:$N$20,Transacciones!$T$5:$T$20,E94,Transacciones!$F$5:$F$20,"&lt;="&amp;A94))</f>
        <v>150</v>
      </c>
      <c r="J94" s="14">
        <f>_xlfn.MAXIFS(Transacciones!$U$5:$U$20,Transacciones!$T$5:$T$20,E94,Transacciones!$F$5:$F$20,"&lt;="&amp;A94)</f>
        <v>46279007</v>
      </c>
      <c r="K94" s="18">
        <f>IF(I94=0,0,INDEX(Transacciones!$Z$5:$Z$20,MATCH(J94,Transacciones!$U$5:$U$20,0)))</f>
        <v>103.90046666666666</v>
      </c>
      <c r="L94" s="17">
        <f t="shared" si="6"/>
        <v>15585.07</v>
      </c>
      <c r="M94" s="15">
        <f>IF(F94="cetes",IF(COUNTIFS(CETES!$A$5:$A$95,A94,CETES!$B$5:$B$95,C94)=0,"",A94),SUMIFS(Precios!$K$5:$K$109,Precios!$I$5:$I$109,A94,Precios!$J$5:$J$109,C94))</f>
        <v>46283</v>
      </c>
      <c r="N94" s="18">
        <f>IF(F94="cetes",IF(COUNTIFS(CETES!$A$5:$A$95,A94,CETES!$B$5:$B$95,C94)=0,"",SUMIFS(CETES!$AF$5:$AF$95,CETES!$A$5:$A$95,A94,CETES!$B$5:$B$95,C94)),SUMIFS(Precios!$L$5:$L$109,Precios!$I$5:$I$109,A94,Precios!$J$5:$J$109,C94))</f>
        <v>98.65</v>
      </c>
      <c r="O94" s="17">
        <f t="shared" si="7"/>
        <v>14797.5</v>
      </c>
      <c r="P94" s="17">
        <f t="shared" si="8"/>
        <v>-787.56999999999971</v>
      </c>
      <c r="Q94" s="17">
        <f>IF(F94="cetes",IF(A94=G94,SUMIFS(Transacciones!$N$5:$N$20,Transacciones!$T$5:$T$20,E94,Transacciones!$F$5:$F$20,"&lt;"&amp;A94)*H94,0),0)</f>
        <v>0</v>
      </c>
      <c r="R94" s="11" t="str">
        <f>IF(COUNTIF(Entradas!$A$14:$A$17,A94)&gt;0,"sí","")</f>
        <v/>
      </c>
      <c r="S94" s="11" t="str">
        <f t="shared" si="9"/>
        <v>46283|Secundario|DEMOACC|Casa A</v>
      </c>
    </row>
    <row r="95" spans="1:19" x14ac:dyDescent="0.3">
      <c r="A95" s="20">
        <v>46284</v>
      </c>
      <c r="B95" s="21" t="s">
        <v>94</v>
      </c>
      <c r="C95" s="21" t="s">
        <v>123</v>
      </c>
      <c r="D95" s="21" t="s">
        <v>112</v>
      </c>
      <c r="E95" s="11" t="str">
        <f t="shared" si="5"/>
        <v>Principal|DEMOACC|Casa A</v>
      </c>
      <c r="F95" s="11" t="str">
        <f>INDEX(Entradas!$C$40:$C$46,MATCH(C95,Entradas!$A$40:$A$46,0))</f>
        <v>accion</v>
      </c>
      <c r="G95" s="15" t="str">
        <f>IF(F95="cetes",INDEX(Entradas!$F$40:$F$46,MATCH(C95,Entradas!$A$40:$A$46,0)),"")</f>
        <v/>
      </c>
      <c r="H95" s="17" t="str">
        <f>IF(F95="cetes",INDEX(Entradas!$G$40:$G$46,MATCH(C95,Entradas!$A$40:$A$46,0)),"")</f>
        <v/>
      </c>
      <c r="I95" s="14">
        <f>IF(F95="cetes",IF(A95&gt;=G95,0,SUMIFS(Transacciones!$N$5:$N$20,Transacciones!$T$5:$T$20,E95,Transacciones!$F$5:$F$20,"&lt;="&amp;A95)),SUMIFS(Transacciones!$N$5:$N$20,Transacciones!$T$5:$T$20,E95,Transacciones!$F$5:$F$20,"&lt;="&amp;A95))</f>
        <v>200</v>
      </c>
      <c r="J95" s="14">
        <f>_xlfn.MAXIFS(Transacciones!$U$5:$U$20,Transacciones!$T$5:$T$20,E95,Transacciones!$F$5:$F$20,"&lt;="&amp;A95)</f>
        <v>46275001</v>
      </c>
      <c r="K95" s="18">
        <f>IF(I95=0,0,INDEX(Transacciones!$Z$5:$Z$20,MATCH(J95,Transacciones!$U$5:$U$20,0)))</f>
        <v>100.23985</v>
      </c>
      <c r="L95" s="17">
        <f t="shared" si="6"/>
        <v>20047.97</v>
      </c>
      <c r="M95" s="15">
        <f>IF(F95="cetes",IF(COUNTIFS(CETES!$A$5:$A$95,A95,CETES!$B$5:$B$95,C95)=0,"",A95),SUMIFS(Precios!$K$5:$K$109,Precios!$I$5:$I$109,A95,Precios!$J$5:$J$109,C95))</f>
        <v>46283</v>
      </c>
      <c r="N95" s="18">
        <f>IF(F95="cetes",IF(COUNTIFS(CETES!$A$5:$A$95,A95,CETES!$B$5:$B$95,C95)=0,"",SUMIFS(CETES!$AF$5:$AF$95,CETES!$A$5:$A$95,A95,CETES!$B$5:$B$95,C95)),SUMIFS(Precios!$L$5:$L$109,Precios!$I$5:$I$109,A95,Precios!$J$5:$J$109,C95))</f>
        <v>98.65</v>
      </c>
      <c r="O95" s="17">
        <f t="shared" si="7"/>
        <v>19730</v>
      </c>
      <c r="P95" s="17">
        <f t="shared" si="8"/>
        <v>-317.97000000000116</v>
      </c>
      <c r="Q95" s="17">
        <f>IF(F95="cetes",IF(A95=G95,SUMIFS(Transacciones!$N$5:$N$20,Transacciones!$T$5:$T$20,E95,Transacciones!$F$5:$F$20,"&lt;"&amp;A95)*H95,0),0)</f>
        <v>0</v>
      </c>
      <c r="R95" s="11" t="str">
        <f>IF(COUNTIF(Entradas!$A$14:$A$17,A95)&gt;0,"sí","")</f>
        <v/>
      </c>
      <c r="S95" s="11" t="str">
        <f t="shared" si="9"/>
        <v>46284|Principal|DEMOACC|Casa A</v>
      </c>
    </row>
    <row r="96" spans="1:19" x14ac:dyDescent="0.3">
      <c r="A96" s="20">
        <v>46284</v>
      </c>
      <c r="B96" s="21" t="s">
        <v>94</v>
      </c>
      <c r="C96" s="21" t="s">
        <v>123</v>
      </c>
      <c r="D96" s="21" t="s">
        <v>113</v>
      </c>
      <c r="E96" s="11" t="str">
        <f t="shared" si="5"/>
        <v>Principal|DEMOACC|Casa B</v>
      </c>
      <c r="F96" s="11" t="str">
        <f>INDEX(Entradas!$C$40:$C$46,MATCH(C96,Entradas!$A$40:$A$46,0))</f>
        <v>accion</v>
      </c>
      <c r="G96" s="15" t="str">
        <f>IF(F96="cetes",INDEX(Entradas!$F$40:$F$46,MATCH(C96,Entradas!$A$40:$A$46,0)),"")</f>
        <v/>
      </c>
      <c r="H96" s="17" t="str">
        <f>IF(F96="cetes",INDEX(Entradas!$G$40:$G$46,MATCH(C96,Entradas!$A$40:$A$46,0)),"")</f>
        <v/>
      </c>
      <c r="I96" s="14">
        <f>IF(F96="cetes",IF(A96&gt;=G96,0,SUMIFS(Transacciones!$N$5:$N$20,Transacciones!$T$5:$T$20,E96,Transacciones!$F$5:$F$20,"&lt;="&amp;A96)),SUMIFS(Transacciones!$N$5:$N$20,Transacciones!$T$5:$T$20,E96,Transacciones!$F$5:$F$20,"&lt;="&amp;A96))</f>
        <v>100</v>
      </c>
      <c r="J96" s="14">
        <f>_xlfn.MAXIFS(Transacciones!$U$5:$U$20,Transacciones!$T$5:$T$20,E96,Transacciones!$F$5:$F$20,"&lt;="&amp;A96)</f>
        <v>46279006</v>
      </c>
      <c r="K96" s="18">
        <f>IF(I96=0,0,INDEX(Transacciones!$Z$5:$Z$20,MATCH(J96,Transacciones!$U$5:$U$20,0)))</f>
        <v>103.399</v>
      </c>
      <c r="L96" s="17">
        <f t="shared" si="6"/>
        <v>10339.9</v>
      </c>
      <c r="M96" s="15">
        <f>IF(F96="cetes",IF(COUNTIFS(CETES!$A$5:$A$95,A96,CETES!$B$5:$B$95,C96)=0,"",A96),SUMIFS(Precios!$K$5:$K$109,Precios!$I$5:$I$109,A96,Precios!$J$5:$J$109,C96))</f>
        <v>46283</v>
      </c>
      <c r="N96" s="18">
        <f>IF(F96="cetes",IF(COUNTIFS(CETES!$A$5:$A$95,A96,CETES!$B$5:$B$95,C96)=0,"",SUMIFS(CETES!$AF$5:$AF$95,CETES!$A$5:$A$95,A96,CETES!$B$5:$B$95,C96)),SUMIFS(Precios!$L$5:$L$109,Precios!$I$5:$I$109,A96,Precios!$J$5:$J$109,C96))</f>
        <v>98.65</v>
      </c>
      <c r="O96" s="17">
        <f t="shared" si="7"/>
        <v>9865</v>
      </c>
      <c r="P96" s="17">
        <f t="shared" si="8"/>
        <v>-474.89999999999964</v>
      </c>
      <c r="Q96" s="17">
        <f>IF(F96="cetes",IF(A96=G96,SUMIFS(Transacciones!$N$5:$N$20,Transacciones!$T$5:$T$20,E96,Transacciones!$F$5:$F$20,"&lt;"&amp;A96)*H96,0),0)</f>
        <v>0</v>
      </c>
      <c r="R96" s="11" t="str">
        <f>IF(COUNTIF(Entradas!$A$14:$A$17,A96)&gt;0,"sí","")</f>
        <v/>
      </c>
      <c r="S96" s="11" t="str">
        <f t="shared" si="9"/>
        <v>46284|Principal|DEMOACC|Casa B</v>
      </c>
    </row>
    <row r="97" spans="1:19" x14ac:dyDescent="0.3">
      <c r="A97" s="20">
        <v>46284</v>
      </c>
      <c r="B97" s="21" t="s">
        <v>94</v>
      </c>
      <c r="C97" s="21" t="s">
        <v>126</v>
      </c>
      <c r="D97" s="21" t="s">
        <v>113</v>
      </c>
      <c r="E97" s="11" t="str">
        <f t="shared" si="5"/>
        <v>Principal|DEMOETF|Casa B</v>
      </c>
      <c r="F97" s="11" t="str">
        <f>INDEX(Entradas!$C$40:$C$46,MATCH(C97,Entradas!$A$40:$A$46,0))</f>
        <v>etf</v>
      </c>
      <c r="G97" s="15" t="str">
        <f>IF(F97="cetes",INDEX(Entradas!$F$40:$F$46,MATCH(C97,Entradas!$A$40:$A$46,0)),"")</f>
        <v/>
      </c>
      <c r="H97" s="17" t="str">
        <f>IF(F97="cetes",INDEX(Entradas!$G$40:$G$46,MATCH(C97,Entradas!$A$40:$A$46,0)),"")</f>
        <v/>
      </c>
      <c r="I97" s="14">
        <f>IF(F97="cetes",IF(A97&gt;=G97,0,SUMIFS(Transacciones!$N$5:$N$20,Transacciones!$T$5:$T$20,E97,Transacciones!$F$5:$F$20,"&lt;="&amp;A97)),SUMIFS(Transacciones!$N$5:$N$20,Transacciones!$T$5:$T$20,E97,Transacciones!$F$5:$F$20,"&lt;="&amp;A97))</f>
        <v>100</v>
      </c>
      <c r="J97" s="14">
        <f>_xlfn.MAXIFS(Transacciones!$U$5:$U$20,Transacciones!$T$5:$T$20,E97,Transacciones!$F$5:$F$20,"&lt;="&amp;A97)</f>
        <v>46275002</v>
      </c>
      <c r="K97" s="18">
        <f>IF(I97=0,0,INDEX(Transacciones!$Z$5:$Z$20,MATCH(J97,Transacciones!$U$5:$U$20,0)))</f>
        <v>50.195100000000004</v>
      </c>
      <c r="L97" s="17">
        <f t="shared" si="6"/>
        <v>5019.51</v>
      </c>
      <c r="M97" s="15">
        <f>IF(F97="cetes",IF(COUNTIFS(CETES!$A$5:$A$95,A97,CETES!$B$5:$B$95,C97)=0,"",A97),SUMIFS(Precios!$K$5:$K$109,Precios!$I$5:$I$109,A97,Precios!$J$5:$J$109,C97))</f>
        <v>46283</v>
      </c>
      <c r="N97" s="18">
        <f>IF(F97="cetes",IF(COUNTIFS(CETES!$A$5:$A$95,A97,CETES!$B$5:$B$95,C97)=0,"",SUMIFS(CETES!$AF$5:$AF$95,CETES!$A$5:$A$95,A97,CETES!$B$5:$B$95,C97)),SUMIFS(Precios!$L$5:$L$109,Precios!$I$5:$I$109,A97,Precios!$J$5:$J$109,C97))</f>
        <v>49.34</v>
      </c>
      <c r="O97" s="17">
        <f t="shared" si="7"/>
        <v>4934</v>
      </c>
      <c r="P97" s="17">
        <f t="shared" si="8"/>
        <v>-85.510000000000218</v>
      </c>
      <c r="Q97" s="17">
        <f>IF(F97="cetes",IF(A97=G97,SUMIFS(Transacciones!$N$5:$N$20,Transacciones!$T$5:$T$20,E97,Transacciones!$F$5:$F$20,"&lt;"&amp;A97)*H97,0),0)</f>
        <v>0</v>
      </c>
      <c r="R97" s="11" t="str">
        <f>IF(COUNTIF(Entradas!$A$14:$A$17,A97)&gt;0,"sí","")</f>
        <v/>
      </c>
      <c r="S97" s="11" t="str">
        <f t="shared" si="9"/>
        <v>46284|Principal|DEMOETF|Casa B</v>
      </c>
    </row>
    <row r="98" spans="1:19" x14ac:dyDescent="0.3">
      <c r="A98" s="20">
        <v>46284</v>
      </c>
      <c r="B98" s="21" t="s">
        <v>94</v>
      </c>
      <c r="C98" s="21" t="s">
        <v>129</v>
      </c>
      <c r="D98" s="21" t="s">
        <v>112</v>
      </c>
      <c r="E98" s="11" t="str">
        <f t="shared" si="5"/>
        <v>Principal|DEMOFIB|Casa A</v>
      </c>
      <c r="F98" s="11" t="str">
        <f>INDEX(Entradas!$C$40:$C$46,MATCH(C98,Entradas!$A$40:$A$46,0))</f>
        <v>fibra</v>
      </c>
      <c r="G98" s="15" t="str">
        <f>IF(F98="cetes",INDEX(Entradas!$F$40:$F$46,MATCH(C98,Entradas!$A$40:$A$46,0)),"")</f>
        <v/>
      </c>
      <c r="H98" s="17" t="str">
        <f>IF(F98="cetes",INDEX(Entradas!$G$40:$G$46,MATCH(C98,Entradas!$A$40:$A$46,0)),"")</f>
        <v/>
      </c>
      <c r="I98" s="14">
        <f>IF(F98="cetes",IF(A98&gt;=G98,0,SUMIFS(Transacciones!$N$5:$N$20,Transacciones!$T$5:$T$20,E98,Transacciones!$F$5:$F$20,"&lt;="&amp;A98)),SUMIFS(Transacciones!$N$5:$N$20,Transacciones!$T$5:$T$20,E98,Transacciones!$F$5:$F$20,"&lt;="&amp;A98))</f>
        <v>400</v>
      </c>
      <c r="J98" s="14">
        <f>_xlfn.MAXIFS(Transacciones!$U$5:$U$20,Transacciones!$T$5:$T$20,E98,Transacciones!$F$5:$F$20,"&lt;="&amp;A98)</f>
        <v>46276005</v>
      </c>
      <c r="K98" s="18">
        <f>IF(I98=0,0,INDEX(Transacciones!$Z$5:$Z$20,MATCH(J98,Transacciones!$U$5:$U$20,0)))</f>
        <v>25.054949999999998</v>
      </c>
      <c r="L98" s="17">
        <f t="shared" si="6"/>
        <v>10021.98</v>
      </c>
      <c r="M98" s="15">
        <f>IF(F98="cetes",IF(COUNTIFS(CETES!$A$5:$A$95,A98,CETES!$B$5:$B$95,C98)=0,"",A98),SUMIFS(Precios!$K$5:$K$109,Precios!$I$5:$I$109,A98,Precios!$J$5:$J$109,C98))</f>
        <v>46283</v>
      </c>
      <c r="N98" s="18">
        <f>IF(F98="cetes",IF(COUNTIFS(CETES!$A$5:$A$95,A98,CETES!$B$5:$B$95,C98)=0,"",SUMIFS(CETES!$AF$5:$AF$95,CETES!$A$5:$A$95,A98,CETES!$B$5:$B$95,C98)),SUMIFS(Precios!$L$5:$L$109,Precios!$I$5:$I$109,A98,Precios!$J$5:$J$109,C98))</f>
        <v>24.302499999999998</v>
      </c>
      <c r="O98" s="17">
        <f t="shared" si="7"/>
        <v>9721</v>
      </c>
      <c r="P98" s="17">
        <f t="shared" si="8"/>
        <v>-300.97999999999956</v>
      </c>
      <c r="Q98" s="17">
        <f>IF(F98="cetes",IF(A98=G98,SUMIFS(Transacciones!$N$5:$N$20,Transacciones!$T$5:$T$20,E98,Transacciones!$F$5:$F$20,"&lt;"&amp;A98)*H98,0),0)</f>
        <v>0</v>
      </c>
      <c r="R98" s="11" t="str">
        <f>IF(COUNTIF(Entradas!$A$14:$A$17,A98)&gt;0,"sí","")</f>
        <v/>
      </c>
      <c r="S98" s="11" t="str">
        <f t="shared" si="9"/>
        <v>46284|Principal|DEMOFIB|Casa A</v>
      </c>
    </row>
    <row r="99" spans="1:19" x14ac:dyDescent="0.3">
      <c r="A99" s="20">
        <v>46284</v>
      </c>
      <c r="B99" s="21" t="s">
        <v>94</v>
      </c>
      <c r="C99" s="21" t="s">
        <v>132</v>
      </c>
      <c r="D99" s="21" t="s">
        <v>112</v>
      </c>
      <c r="E99" s="11" t="str">
        <f t="shared" si="5"/>
        <v>Principal|BI261008|Casa A</v>
      </c>
      <c r="F99" s="11" t="str">
        <f>INDEX(Entradas!$C$40:$C$46,MATCH(C99,Entradas!$A$40:$A$46,0))</f>
        <v>cetes</v>
      </c>
      <c r="G99" s="15">
        <f>IF(F99="cetes",INDEX(Entradas!$F$40:$F$46,MATCH(C99,Entradas!$A$40:$A$46,0)),"")</f>
        <v>46303</v>
      </c>
      <c r="H99" s="17">
        <f>IF(F99="cetes",INDEX(Entradas!$G$40:$G$46,MATCH(C99,Entradas!$A$40:$A$46,0)),"")</f>
        <v>10</v>
      </c>
      <c r="I99" s="14">
        <f>IF(F99="cetes",IF(A99&gt;=G99,0,SUMIFS(Transacciones!$N$5:$N$20,Transacciones!$T$5:$T$20,E99,Transacciones!$F$5:$F$20,"&lt;="&amp;A99)),SUMIFS(Transacciones!$N$5:$N$20,Transacciones!$T$5:$T$20,E99,Transacciones!$F$5:$F$20,"&lt;="&amp;A99))</f>
        <v>1500</v>
      </c>
      <c r="J99" s="14">
        <f>_xlfn.MAXIFS(Transacciones!$U$5:$U$20,Transacciones!$T$5:$T$20,E99,Transacciones!$F$5:$F$20,"&lt;="&amp;A99)</f>
        <v>46275003</v>
      </c>
      <c r="K99" s="18">
        <f>IF(I99=0,0,INDEX(Transacciones!$Z$5:$Z$20,MATCH(J99,Transacciones!$U$5:$U$20,0)))</f>
        <v>9.9516240000000007</v>
      </c>
      <c r="L99" s="17">
        <f t="shared" si="6"/>
        <v>14927.436000000002</v>
      </c>
      <c r="M99" s="15">
        <f>IF(F99="cetes",IF(COUNTIFS(CETES!$A$5:$A$95,A99,CETES!$B$5:$B$95,C99)=0,"",A99),SUMIFS(Precios!$K$5:$K$109,Precios!$I$5:$I$109,A99,Precios!$J$5:$J$109,C99))</f>
        <v>46284</v>
      </c>
      <c r="N99" s="18">
        <f>IF(F99="cetes",IF(COUNTIFS(CETES!$A$5:$A$95,A99,CETES!$B$5:$B$95,C99)=0,"",SUMIFS(CETES!$AF$5:$AF$95,CETES!$A$5:$A$95,A99,CETES!$B$5:$B$95,C99)),SUMIFS(Precios!$L$5:$L$109,Precios!$I$5:$I$109,A99,Precios!$J$5:$J$109,C99))</f>
        <v>9.9671222999999998</v>
      </c>
      <c r="O99" s="17">
        <f t="shared" si="7"/>
        <v>14950.68345</v>
      </c>
      <c r="P99" s="17">
        <f t="shared" si="8"/>
        <v>23.247449999998935</v>
      </c>
      <c r="Q99" s="17">
        <f>IF(F99="cetes",IF(A99=G99,SUMIFS(Transacciones!$N$5:$N$20,Transacciones!$T$5:$T$20,E99,Transacciones!$F$5:$F$20,"&lt;"&amp;A99)*H99,0),0)</f>
        <v>0</v>
      </c>
      <c r="R99" s="11" t="str">
        <f>IF(COUNTIF(Entradas!$A$14:$A$17,A99)&gt;0,"sí","")</f>
        <v/>
      </c>
      <c r="S99" s="11" t="str">
        <f t="shared" si="9"/>
        <v>46284|Principal|BI261008|Casa A</v>
      </c>
    </row>
    <row r="100" spans="1:19" x14ac:dyDescent="0.3">
      <c r="A100" s="20">
        <v>46284</v>
      </c>
      <c r="B100" s="21" t="s">
        <v>94</v>
      </c>
      <c r="C100" s="21" t="s">
        <v>132</v>
      </c>
      <c r="D100" s="21" t="s">
        <v>113</v>
      </c>
      <c r="E100" s="11" t="str">
        <f t="shared" si="5"/>
        <v>Principal|BI261008|Casa B</v>
      </c>
      <c r="F100" s="11" t="str">
        <f>INDEX(Entradas!$C$40:$C$46,MATCH(C100,Entradas!$A$40:$A$46,0))</f>
        <v>cetes</v>
      </c>
      <c r="G100" s="15">
        <f>IF(F100="cetes",INDEX(Entradas!$F$40:$F$46,MATCH(C100,Entradas!$A$40:$A$46,0)),"")</f>
        <v>46303</v>
      </c>
      <c r="H100" s="17">
        <f>IF(F100="cetes",INDEX(Entradas!$G$40:$G$46,MATCH(C100,Entradas!$A$40:$A$46,0)),"")</f>
        <v>10</v>
      </c>
      <c r="I100" s="14">
        <f>IF(F100="cetes",IF(A100&gt;=G100,0,SUMIFS(Transacciones!$N$5:$N$20,Transacciones!$T$5:$T$20,E100,Transacciones!$F$5:$F$20,"&lt;="&amp;A100)),SUMIFS(Transacciones!$N$5:$N$20,Transacciones!$T$5:$T$20,E100,Transacciones!$F$5:$F$20,"&lt;="&amp;A100))</f>
        <v>1000</v>
      </c>
      <c r="J100" s="14">
        <f>_xlfn.MAXIFS(Transacciones!$U$5:$U$20,Transacciones!$T$5:$T$20,E100,Transacciones!$F$5:$F$20,"&lt;="&amp;A100)</f>
        <v>46275004</v>
      </c>
      <c r="K100" s="18">
        <f>IF(I100=0,0,INDEX(Transacciones!$Z$5:$Z$20,MATCH(J100,Transacciones!$U$5:$U$20,0)))</f>
        <v>9.9516239999999989</v>
      </c>
      <c r="L100" s="17">
        <f t="shared" si="6"/>
        <v>9951.6239999999998</v>
      </c>
      <c r="M100" s="15">
        <f>IF(F100="cetes",IF(COUNTIFS(CETES!$A$5:$A$95,A100,CETES!$B$5:$B$95,C100)=0,"",A100),SUMIFS(Precios!$K$5:$K$109,Precios!$I$5:$I$109,A100,Precios!$J$5:$J$109,C100))</f>
        <v>46284</v>
      </c>
      <c r="N100" s="18">
        <f>IF(F100="cetes",IF(COUNTIFS(CETES!$A$5:$A$95,A100,CETES!$B$5:$B$95,C100)=0,"",SUMIFS(CETES!$AF$5:$AF$95,CETES!$A$5:$A$95,A100,CETES!$B$5:$B$95,C100)),SUMIFS(Precios!$L$5:$L$109,Precios!$I$5:$I$109,A100,Precios!$J$5:$J$109,C100))</f>
        <v>9.9671222999999998</v>
      </c>
      <c r="O100" s="17">
        <f t="shared" si="7"/>
        <v>9967.1222999999991</v>
      </c>
      <c r="P100" s="17">
        <f t="shared" si="8"/>
        <v>15.49829999999929</v>
      </c>
      <c r="Q100" s="17">
        <f>IF(F100="cetes",IF(A100=G100,SUMIFS(Transacciones!$N$5:$N$20,Transacciones!$T$5:$T$20,E100,Transacciones!$F$5:$F$20,"&lt;"&amp;A100)*H100,0),0)</f>
        <v>0</v>
      </c>
      <c r="R100" s="11" t="str">
        <f>IF(COUNTIF(Entradas!$A$14:$A$17,A100)&gt;0,"sí","")</f>
        <v/>
      </c>
      <c r="S100" s="11" t="str">
        <f t="shared" si="9"/>
        <v>46284|Principal|BI261008|Casa B</v>
      </c>
    </row>
    <row r="101" spans="1:19" x14ac:dyDescent="0.3">
      <c r="A101" s="20">
        <v>46284</v>
      </c>
      <c r="B101" s="21" t="s">
        <v>94</v>
      </c>
      <c r="C101" s="21" t="s">
        <v>135</v>
      </c>
      <c r="D101" s="21" t="s">
        <v>113</v>
      </c>
      <c r="E101" s="11" t="str">
        <f t="shared" si="5"/>
        <v>Principal|BI261105|Casa B</v>
      </c>
      <c r="F101" s="11" t="str">
        <f>INDEX(Entradas!$C$40:$C$46,MATCH(C101,Entradas!$A$40:$A$46,0))</f>
        <v>cetes</v>
      </c>
      <c r="G101" s="15">
        <f>IF(F101="cetes",INDEX(Entradas!$F$40:$F$46,MATCH(C101,Entradas!$A$40:$A$46,0)),"")</f>
        <v>46331</v>
      </c>
      <c r="H101" s="17">
        <f>IF(F101="cetes",INDEX(Entradas!$G$40:$G$46,MATCH(C101,Entradas!$A$40:$A$46,0)),"")</f>
        <v>10</v>
      </c>
      <c r="I101" s="14">
        <f>IF(F101="cetes",IF(A101&gt;=G101,0,SUMIFS(Transacciones!$N$5:$N$20,Transacciones!$T$5:$T$20,E101,Transacciones!$F$5:$F$20,"&lt;="&amp;A101)),SUMIFS(Transacciones!$N$5:$N$20,Transacciones!$T$5:$T$20,E101,Transacciones!$F$5:$F$20,"&lt;="&amp;A101))</f>
        <v>0</v>
      </c>
      <c r="J101" s="14">
        <f>_xlfn.MAXIFS(Transacciones!$U$5:$U$20,Transacciones!$T$5:$T$20,E101,Transacciones!$F$5:$F$20,"&lt;="&amp;A101)</f>
        <v>0</v>
      </c>
      <c r="K101" s="18">
        <f>IF(I101=0,0,INDEX(Transacciones!$Z$5:$Z$20,MATCH(J101,Transacciones!$U$5:$U$20,0)))</f>
        <v>0</v>
      </c>
      <c r="L101" s="17">
        <f t="shared" si="6"/>
        <v>0</v>
      </c>
      <c r="M101" s="15" t="str">
        <f>IF(F101="cetes",IF(COUNTIFS(CETES!$A$5:$A$95,A101,CETES!$B$5:$B$95,C101)=0,"",A101),SUMIFS(Precios!$K$5:$K$109,Precios!$I$5:$I$109,A101,Precios!$J$5:$J$109,C101))</f>
        <v/>
      </c>
      <c r="N101" s="18" t="str">
        <f>IF(F101="cetes",IF(COUNTIFS(CETES!$A$5:$A$95,A101,CETES!$B$5:$B$95,C101)=0,"",SUMIFS(CETES!$AF$5:$AF$95,CETES!$A$5:$A$95,A101,CETES!$B$5:$B$95,C101)),SUMIFS(Precios!$L$5:$L$109,Precios!$I$5:$I$109,A101,Precios!$J$5:$J$109,C101))</f>
        <v/>
      </c>
      <c r="O101" s="17">
        <f t="shared" si="7"/>
        <v>0</v>
      </c>
      <c r="P101" s="17">
        <f t="shared" si="8"/>
        <v>0</v>
      </c>
      <c r="Q101" s="17">
        <f>IF(F101="cetes",IF(A101=G101,SUMIFS(Transacciones!$N$5:$N$20,Transacciones!$T$5:$T$20,E101,Transacciones!$F$5:$F$20,"&lt;"&amp;A101)*H101,0),0)</f>
        <v>0</v>
      </c>
      <c r="R101" s="11" t="str">
        <f>IF(COUNTIF(Entradas!$A$14:$A$17,A101)&gt;0,"sí","")</f>
        <v/>
      </c>
      <c r="S101" s="11" t="str">
        <f t="shared" si="9"/>
        <v>46284|Principal|BI261105|Casa B</v>
      </c>
    </row>
    <row r="102" spans="1:19" x14ac:dyDescent="0.3">
      <c r="A102" s="20">
        <v>46284</v>
      </c>
      <c r="B102" s="21" t="s">
        <v>94</v>
      </c>
      <c r="C102" s="21" t="s">
        <v>137</v>
      </c>
      <c r="D102" s="21" t="s">
        <v>112</v>
      </c>
      <c r="E102" s="11" t="str">
        <f t="shared" si="5"/>
        <v>Principal|BI261217|Casa A</v>
      </c>
      <c r="F102" s="11" t="str">
        <f>INDEX(Entradas!$C$40:$C$46,MATCH(C102,Entradas!$A$40:$A$46,0))</f>
        <v>cetes</v>
      </c>
      <c r="G102" s="15">
        <f>IF(F102="cetes",INDEX(Entradas!$F$40:$F$46,MATCH(C102,Entradas!$A$40:$A$46,0)),"")</f>
        <v>46373</v>
      </c>
      <c r="H102" s="17">
        <f>IF(F102="cetes",INDEX(Entradas!$G$40:$G$46,MATCH(C102,Entradas!$A$40:$A$46,0)),"")</f>
        <v>10</v>
      </c>
      <c r="I102" s="14">
        <f>IF(F102="cetes",IF(A102&gt;=G102,0,SUMIFS(Transacciones!$N$5:$N$20,Transacciones!$T$5:$T$20,E102,Transacciones!$F$5:$F$20,"&lt;="&amp;A102)),SUMIFS(Transacciones!$N$5:$N$20,Transacciones!$T$5:$T$20,E102,Transacciones!$F$5:$F$20,"&lt;="&amp;A102))</f>
        <v>1000</v>
      </c>
      <c r="J102" s="14">
        <f>_xlfn.MAXIFS(Transacciones!$U$5:$U$20,Transacciones!$T$5:$T$20,E102,Transacciones!$F$5:$F$20,"&lt;="&amp;A102)</f>
        <v>46282008</v>
      </c>
      <c r="K102" s="18">
        <f>IF(I102=0,0,INDEX(Transacciones!$Z$5:$Z$20,MATCH(J102,Transacciones!$U$5:$U$20,0)))</f>
        <v>9.8344372</v>
      </c>
      <c r="L102" s="17">
        <f t="shared" si="6"/>
        <v>9834.4372000000003</v>
      </c>
      <c r="M102" s="15">
        <f>IF(F102="cetes",IF(COUNTIFS(CETES!$A$5:$A$95,A102,CETES!$B$5:$B$95,C102)=0,"",A102),SUMIFS(Precios!$K$5:$K$109,Precios!$I$5:$I$109,A102,Precios!$J$5:$J$109,C102))</f>
        <v>46284</v>
      </c>
      <c r="N102" s="18">
        <f>IF(F102="cetes",IF(COUNTIFS(CETES!$A$5:$A$95,A102,CETES!$B$5:$B$95,C102)=0,"",SUMIFS(CETES!$AF$5:$AF$95,CETES!$A$5:$A$95,A102,CETES!$B$5:$B$95,C102)),SUMIFS(Precios!$L$5:$L$109,Precios!$I$5:$I$109,A102,Precios!$J$5:$J$109,C102))</f>
        <v>9.8383284999999994</v>
      </c>
      <c r="O102" s="17">
        <f t="shared" si="7"/>
        <v>9838.3284999999996</v>
      </c>
      <c r="P102" s="17">
        <f t="shared" si="8"/>
        <v>3.891299999999319</v>
      </c>
      <c r="Q102" s="17">
        <f>IF(F102="cetes",IF(A102=G102,SUMIFS(Transacciones!$N$5:$N$20,Transacciones!$T$5:$T$20,E102,Transacciones!$F$5:$F$20,"&lt;"&amp;A102)*H102,0),0)</f>
        <v>0</v>
      </c>
      <c r="R102" s="11" t="str">
        <f>IF(COUNTIF(Entradas!$A$14:$A$17,A102)&gt;0,"sí","")</f>
        <v/>
      </c>
      <c r="S102" s="11" t="str">
        <f t="shared" si="9"/>
        <v>46284|Principal|BI261217|Casa A</v>
      </c>
    </row>
    <row r="103" spans="1:19" x14ac:dyDescent="0.3">
      <c r="A103" s="20">
        <v>46284</v>
      </c>
      <c r="B103" s="21" t="s">
        <v>94</v>
      </c>
      <c r="C103" s="21" t="s">
        <v>139</v>
      </c>
      <c r="D103" s="21" t="s">
        <v>113</v>
      </c>
      <c r="E103" s="11" t="str">
        <f t="shared" si="5"/>
        <v>Principal|BI270318|Casa B</v>
      </c>
      <c r="F103" s="11" t="str">
        <f>INDEX(Entradas!$C$40:$C$46,MATCH(C103,Entradas!$A$40:$A$46,0))</f>
        <v>cetes</v>
      </c>
      <c r="G103" s="15">
        <f>IF(F103="cetes",INDEX(Entradas!$F$40:$F$46,MATCH(C103,Entradas!$A$40:$A$46,0)),"")</f>
        <v>46464</v>
      </c>
      <c r="H103" s="17">
        <f>IF(F103="cetes",INDEX(Entradas!$G$40:$G$46,MATCH(C103,Entradas!$A$40:$A$46,0)),"")</f>
        <v>10</v>
      </c>
      <c r="I103" s="14">
        <f>IF(F103="cetes",IF(A103&gt;=G103,0,SUMIFS(Transacciones!$N$5:$N$20,Transacciones!$T$5:$T$20,E103,Transacciones!$F$5:$F$20,"&lt;="&amp;A103)),SUMIFS(Transacciones!$N$5:$N$20,Transacciones!$T$5:$T$20,E103,Transacciones!$F$5:$F$20,"&lt;="&amp;A103))</f>
        <v>500</v>
      </c>
      <c r="J103" s="14">
        <f>_xlfn.MAXIFS(Transacciones!$U$5:$U$20,Transacciones!$T$5:$T$20,E103,Transacciones!$F$5:$F$20,"&lt;="&amp;A103)</f>
        <v>46282009</v>
      </c>
      <c r="K103" s="18">
        <f>IF(I103=0,0,INDEX(Transacciones!$Z$5:$Z$20,MATCH(J103,Transacciones!$U$5:$U$20,0)))</f>
        <v>9.6629249999999995</v>
      </c>
      <c r="L103" s="17">
        <f t="shared" si="6"/>
        <v>4831.4624999999996</v>
      </c>
      <c r="M103" s="15">
        <f>IF(F103="cetes",IF(COUNTIFS(CETES!$A$5:$A$95,A103,CETES!$B$5:$B$95,C103)=0,"",A103),SUMIFS(Precios!$K$5:$K$109,Precios!$I$5:$I$109,A103,Precios!$J$5:$J$109,C103))</f>
        <v>46284</v>
      </c>
      <c r="N103" s="18">
        <f>IF(F103="cetes",IF(COUNTIFS(CETES!$A$5:$A$95,A103,CETES!$B$5:$B$95,C103)=0,"",SUMIFS(CETES!$AF$5:$AF$95,CETES!$A$5:$A$95,A103,CETES!$B$5:$B$95,C103)),SUMIFS(Precios!$L$5:$L$109,Precios!$I$5:$I$109,A103,Precios!$J$5:$J$109,C103))</f>
        <v>9.6667520000000007</v>
      </c>
      <c r="O103" s="17">
        <f t="shared" si="7"/>
        <v>4833.3760000000002</v>
      </c>
      <c r="P103" s="17">
        <f t="shared" si="8"/>
        <v>1.9135000000005675</v>
      </c>
      <c r="Q103" s="17">
        <f>IF(F103="cetes",IF(A103=G103,SUMIFS(Transacciones!$N$5:$N$20,Transacciones!$T$5:$T$20,E103,Transacciones!$F$5:$F$20,"&lt;"&amp;A103)*H103,0),0)</f>
        <v>0</v>
      </c>
      <c r="R103" s="11" t="str">
        <f>IF(COUNTIF(Entradas!$A$14:$A$17,A103)&gt;0,"sí","")</f>
        <v/>
      </c>
      <c r="S103" s="11" t="str">
        <f t="shared" si="9"/>
        <v>46284|Principal|BI270318|Casa B</v>
      </c>
    </row>
    <row r="104" spans="1:19" x14ac:dyDescent="0.3">
      <c r="A104" s="20">
        <v>46284</v>
      </c>
      <c r="B104" s="21" t="s">
        <v>103</v>
      </c>
      <c r="C104" s="21" t="s">
        <v>123</v>
      </c>
      <c r="D104" s="21" t="s">
        <v>112</v>
      </c>
      <c r="E104" s="11" t="str">
        <f t="shared" si="5"/>
        <v>Secundario|DEMOACC|Casa A</v>
      </c>
      <c r="F104" s="11" t="str">
        <f>INDEX(Entradas!$C$40:$C$46,MATCH(C104,Entradas!$A$40:$A$46,0))</f>
        <v>accion</v>
      </c>
      <c r="G104" s="15" t="str">
        <f>IF(F104="cetes",INDEX(Entradas!$F$40:$F$46,MATCH(C104,Entradas!$A$40:$A$46,0)),"")</f>
        <v/>
      </c>
      <c r="H104" s="17" t="str">
        <f>IF(F104="cetes",INDEX(Entradas!$G$40:$G$46,MATCH(C104,Entradas!$A$40:$A$46,0)),"")</f>
        <v/>
      </c>
      <c r="I104" s="14">
        <f>IF(F104="cetes",IF(A104&gt;=G104,0,SUMIFS(Transacciones!$N$5:$N$20,Transacciones!$T$5:$T$20,E104,Transacciones!$F$5:$F$20,"&lt;="&amp;A104)),SUMIFS(Transacciones!$N$5:$N$20,Transacciones!$T$5:$T$20,E104,Transacciones!$F$5:$F$20,"&lt;="&amp;A104))</f>
        <v>150</v>
      </c>
      <c r="J104" s="14">
        <f>_xlfn.MAXIFS(Transacciones!$U$5:$U$20,Transacciones!$T$5:$T$20,E104,Transacciones!$F$5:$F$20,"&lt;="&amp;A104)</f>
        <v>46279007</v>
      </c>
      <c r="K104" s="18">
        <f>IF(I104=0,0,INDEX(Transacciones!$Z$5:$Z$20,MATCH(J104,Transacciones!$U$5:$U$20,0)))</f>
        <v>103.90046666666666</v>
      </c>
      <c r="L104" s="17">
        <f t="shared" si="6"/>
        <v>15585.07</v>
      </c>
      <c r="M104" s="15">
        <f>IF(F104="cetes",IF(COUNTIFS(CETES!$A$5:$A$95,A104,CETES!$B$5:$B$95,C104)=0,"",A104),SUMIFS(Precios!$K$5:$K$109,Precios!$I$5:$I$109,A104,Precios!$J$5:$J$109,C104))</f>
        <v>46283</v>
      </c>
      <c r="N104" s="18">
        <f>IF(F104="cetes",IF(COUNTIFS(CETES!$A$5:$A$95,A104,CETES!$B$5:$B$95,C104)=0,"",SUMIFS(CETES!$AF$5:$AF$95,CETES!$A$5:$A$95,A104,CETES!$B$5:$B$95,C104)),SUMIFS(Precios!$L$5:$L$109,Precios!$I$5:$I$109,A104,Precios!$J$5:$J$109,C104))</f>
        <v>98.65</v>
      </c>
      <c r="O104" s="17">
        <f t="shared" si="7"/>
        <v>14797.5</v>
      </c>
      <c r="P104" s="17">
        <f t="shared" si="8"/>
        <v>-787.56999999999971</v>
      </c>
      <c r="Q104" s="17">
        <f>IF(F104="cetes",IF(A104=G104,SUMIFS(Transacciones!$N$5:$N$20,Transacciones!$T$5:$T$20,E104,Transacciones!$F$5:$F$20,"&lt;"&amp;A104)*H104,0),0)</f>
        <v>0</v>
      </c>
      <c r="R104" s="11" t="str">
        <f>IF(COUNTIF(Entradas!$A$14:$A$17,A104)&gt;0,"sí","")</f>
        <v/>
      </c>
      <c r="S104" s="11" t="str">
        <f t="shared" si="9"/>
        <v>46284|Secundario|DEMOACC|Casa A</v>
      </c>
    </row>
    <row r="105" spans="1:19" x14ac:dyDescent="0.3">
      <c r="A105" s="20">
        <v>46285</v>
      </c>
      <c r="B105" s="21" t="s">
        <v>94</v>
      </c>
      <c r="C105" s="21" t="s">
        <v>123</v>
      </c>
      <c r="D105" s="21" t="s">
        <v>112</v>
      </c>
      <c r="E105" s="11" t="str">
        <f t="shared" si="5"/>
        <v>Principal|DEMOACC|Casa A</v>
      </c>
      <c r="F105" s="11" t="str">
        <f>INDEX(Entradas!$C$40:$C$46,MATCH(C105,Entradas!$A$40:$A$46,0))</f>
        <v>accion</v>
      </c>
      <c r="G105" s="15" t="str">
        <f>IF(F105="cetes",INDEX(Entradas!$F$40:$F$46,MATCH(C105,Entradas!$A$40:$A$46,0)),"")</f>
        <v/>
      </c>
      <c r="H105" s="17" t="str">
        <f>IF(F105="cetes",INDEX(Entradas!$G$40:$G$46,MATCH(C105,Entradas!$A$40:$A$46,0)),"")</f>
        <v/>
      </c>
      <c r="I105" s="14">
        <f>IF(F105="cetes",IF(A105&gt;=G105,0,SUMIFS(Transacciones!$N$5:$N$20,Transacciones!$T$5:$T$20,E105,Transacciones!$F$5:$F$20,"&lt;="&amp;A105)),SUMIFS(Transacciones!$N$5:$N$20,Transacciones!$T$5:$T$20,E105,Transacciones!$F$5:$F$20,"&lt;="&amp;A105))</f>
        <v>200</v>
      </c>
      <c r="J105" s="14">
        <f>_xlfn.MAXIFS(Transacciones!$U$5:$U$20,Transacciones!$T$5:$T$20,E105,Transacciones!$F$5:$F$20,"&lt;="&amp;A105)</f>
        <v>46275001</v>
      </c>
      <c r="K105" s="18">
        <f>IF(I105=0,0,INDEX(Transacciones!$Z$5:$Z$20,MATCH(J105,Transacciones!$U$5:$U$20,0)))</f>
        <v>100.23985</v>
      </c>
      <c r="L105" s="17">
        <f t="shared" si="6"/>
        <v>20047.97</v>
      </c>
      <c r="M105" s="15">
        <f>IF(F105="cetes",IF(COUNTIFS(CETES!$A$5:$A$95,A105,CETES!$B$5:$B$95,C105)=0,"",A105),SUMIFS(Precios!$K$5:$K$109,Precios!$I$5:$I$109,A105,Precios!$J$5:$J$109,C105))</f>
        <v>46283</v>
      </c>
      <c r="N105" s="18">
        <f>IF(F105="cetes",IF(COUNTIFS(CETES!$A$5:$A$95,A105,CETES!$B$5:$B$95,C105)=0,"",SUMIFS(CETES!$AF$5:$AF$95,CETES!$A$5:$A$95,A105,CETES!$B$5:$B$95,C105)),SUMIFS(Precios!$L$5:$L$109,Precios!$I$5:$I$109,A105,Precios!$J$5:$J$109,C105))</f>
        <v>98.65</v>
      </c>
      <c r="O105" s="17">
        <f t="shared" si="7"/>
        <v>19730</v>
      </c>
      <c r="P105" s="17">
        <f t="shared" si="8"/>
        <v>-317.97000000000116</v>
      </c>
      <c r="Q105" s="17">
        <f>IF(F105="cetes",IF(A105=G105,SUMIFS(Transacciones!$N$5:$N$20,Transacciones!$T$5:$T$20,E105,Transacciones!$F$5:$F$20,"&lt;"&amp;A105)*H105,0),0)</f>
        <v>0</v>
      </c>
      <c r="R105" s="11" t="str">
        <f>IF(COUNTIF(Entradas!$A$14:$A$17,A105)&gt;0,"sí","")</f>
        <v/>
      </c>
      <c r="S105" s="11" t="str">
        <f t="shared" si="9"/>
        <v>46285|Principal|DEMOACC|Casa A</v>
      </c>
    </row>
    <row r="106" spans="1:19" x14ac:dyDescent="0.3">
      <c r="A106" s="20">
        <v>46285</v>
      </c>
      <c r="B106" s="21" t="s">
        <v>94</v>
      </c>
      <c r="C106" s="21" t="s">
        <v>123</v>
      </c>
      <c r="D106" s="21" t="s">
        <v>113</v>
      </c>
      <c r="E106" s="11" t="str">
        <f t="shared" si="5"/>
        <v>Principal|DEMOACC|Casa B</v>
      </c>
      <c r="F106" s="11" t="str">
        <f>INDEX(Entradas!$C$40:$C$46,MATCH(C106,Entradas!$A$40:$A$46,0))</f>
        <v>accion</v>
      </c>
      <c r="G106" s="15" t="str">
        <f>IF(F106="cetes",INDEX(Entradas!$F$40:$F$46,MATCH(C106,Entradas!$A$40:$A$46,0)),"")</f>
        <v/>
      </c>
      <c r="H106" s="17" t="str">
        <f>IF(F106="cetes",INDEX(Entradas!$G$40:$G$46,MATCH(C106,Entradas!$A$40:$A$46,0)),"")</f>
        <v/>
      </c>
      <c r="I106" s="14">
        <f>IF(F106="cetes",IF(A106&gt;=G106,0,SUMIFS(Transacciones!$N$5:$N$20,Transacciones!$T$5:$T$20,E106,Transacciones!$F$5:$F$20,"&lt;="&amp;A106)),SUMIFS(Transacciones!$N$5:$N$20,Transacciones!$T$5:$T$20,E106,Transacciones!$F$5:$F$20,"&lt;="&amp;A106))</f>
        <v>100</v>
      </c>
      <c r="J106" s="14">
        <f>_xlfn.MAXIFS(Transacciones!$U$5:$U$20,Transacciones!$T$5:$T$20,E106,Transacciones!$F$5:$F$20,"&lt;="&amp;A106)</f>
        <v>46279006</v>
      </c>
      <c r="K106" s="18">
        <f>IF(I106=0,0,INDEX(Transacciones!$Z$5:$Z$20,MATCH(J106,Transacciones!$U$5:$U$20,0)))</f>
        <v>103.399</v>
      </c>
      <c r="L106" s="17">
        <f t="shared" si="6"/>
        <v>10339.9</v>
      </c>
      <c r="M106" s="15">
        <f>IF(F106="cetes",IF(COUNTIFS(CETES!$A$5:$A$95,A106,CETES!$B$5:$B$95,C106)=0,"",A106),SUMIFS(Precios!$K$5:$K$109,Precios!$I$5:$I$109,A106,Precios!$J$5:$J$109,C106))</f>
        <v>46283</v>
      </c>
      <c r="N106" s="18">
        <f>IF(F106="cetes",IF(COUNTIFS(CETES!$A$5:$A$95,A106,CETES!$B$5:$B$95,C106)=0,"",SUMIFS(CETES!$AF$5:$AF$95,CETES!$A$5:$A$95,A106,CETES!$B$5:$B$95,C106)),SUMIFS(Precios!$L$5:$L$109,Precios!$I$5:$I$109,A106,Precios!$J$5:$J$109,C106))</f>
        <v>98.65</v>
      </c>
      <c r="O106" s="17">
        <f t="shared" si="7"/>
        <v>9865</v>
      </c>
      <c r="P106" s="17">
        <f t="shared" si="8"/>
        <v>-474.89999999999964</v>
      </c>
      <c r="Q106" s="17">
        <f>IF(F106="cetes",IF(A106=G106,SUMIFS(Transacciones!$N$5:$N$20,Transacciones!$T$5:$T$20,E106,Transacciones!$F$5:$F$20,"&lt;"&amp;A106)*H106,0),0)</f>
        <v>0</v>
      </c>
      <c r="R106" s="11" t="str">
        <f>IF(COUNTIF(Entradas!$A$14:$A$17,A106)&gt;0,"sí","")</f>
        <v/>
      </c>
      <c r="S106" s="11" t="str">
        <f t="shared" si="9"/>
        <v>46285|Principal|DEMOACC|Casa B</v>
      </c>
    </row>
    <row r="107" spans="1:19" x14ac:dyDescent="0.3">
      <c r="A107" s="20">
        <v>46285</v>
      </c>
      <c r="B107" s="21" t="s">
        <v>94</v>
      </c>
      <c r="C107" s="21" t="s">
        <v>126</v>
      </c>
      <c r="D107" s="21" t="s">
        <v>113</v>
      </c>
      <c r="E107" s="11" t="str">
        <f t="shared" si="5"/>
        <v>Principal|DEMOETF|Casa B</v>
      </c>
      <c r="F107" s="11" t="str">
        <f>INDEX(Entradas!$C$40:$C$46,MATCH(C107,Entradas!$A$40:$A$46,0))</f>
        <v>etf</v>
      </c>
      <c r="G107" s="15" t="str">
        <f>IF(F107="cetes",INDEX(Entradas!$F$40:$F$46,MATCH(C107,Entradas!$A$40:$A$46,0)),"")</f>
        <v/>
      </c>
      <c r="H107" s="17" t="str">
        <f>IF(F107="cetes",INDEX(Entradas!$G$40:$G$46,MATCH(C107,Entradas!$A$40:$A$46,0)),"")</f>
        <v/>
      </c>
      <c r="I107" s="14">
        <f>IF(F107="cetes",IF(A107&gt;=G107,0,SUMIFS(Transacciones!$N$5:$N$20,Transacciones!$T$5:$T$20,E107,Transacciones!$F$5:$F$20,"&lt;="&amp;A107)),SUMIFS(Transacciones!$N$5:$N$20,Transacciones!$T$5:$T$20,E107,Transacciones!$F$5:$F$20,"&lt;="&amp;A107))</f>
        <v>100</v>
      </c>
      <c r="J107" s="14">
        <f>_xlfn.MAXIFS(Transacciones!$U$5:$U$20,Transacciones!$T$5:$T$20,E107,Transacciones!$F$5:$F$20,"&lt;="&amp;A107)</f>
        <v>46275002</v>
      </c>
      <c r="K107" s="18">
        <f>IF(I107=0,0,INDEX(Transacciones!$Z$5:$Z$20,MATCH(J107,Transacciones!$U$5:$U$20,0)))</f>
        <v>50.195100000000004</v>
      </c>
      <c r="L107" s="17">
        <f t="shared" si="6"/>
        <v>5019.51</v>
      </c>
      <c r="M107" s="15">
        <f>IF(F107="cetes",IF(COUNTIFS(CETES!$A$5:$A$95,A107,CETES!$B$5:$B$95,C107)=0,"",A107),SUMIFS(Precios!$K$5:$K$109,Precios!$I$5:$I$109,A107,Precios!$J$5:$J$109,C107))</f>
        <v>46283</v>
      </c>
      <c r="N107" s="18">
        <f>IF(F107="cetes",IF(COUNTIFS(CETES!$A$5:$A$95,A107,CETES!$B$5:$B$95,C107)=0,"",SUMIFS(CETES!$AF$5:$AF$95,CETES!$A$5:$A$95,A107,CETES!$B$5:$B$95,C107)),SUMIFS(Precios!$L$5:$L$109,Precios!$I$5:$I$109,A107,Precios!$J$5:$J$109,C107))</f>
        <v>49.34</v>
      </c>
      <c r="O107" s="17">
        <f t="shared" si="7"/>
        <v>4934</v>
      </c>
      <c r="P107" s="17">
        <f t="shared" si="8"/>
        <v>-85.510000000000218</v>
      </c>
      <c r="Q107" s="17">
        <f>IF(F107="cetes",IF(A107=G107,SUMIFS(Transacciones!$N$5:$N$20,Transacciones!$T$5:$T$20,E107,Transacciones!$F$5:$F$20,"&lt;"&amp;A107)*H107,0),0)</f>
        <v>0</v>
      </c>
      <c r="R107" s="11" t="str">
        <f>IF(COUNTIF(Entradas!$A$14:$A$17,A107)&gt;0,"sí","")</f>
        <v/>
      </c>
      <c r="S107" s="11" t="str">
        <f t="shared" si="9"/>
        <v>46285|Principal|DEMOETF|Casa B</v>
      </c>
    </row>
    <row r="108" spans="1:19" x14ac:dyDescent="0.3">
      <c r="A108" s="20">
        <v>46285</v>
      </c>
      <c r="B108" s="21" t="s">
        <v>94</v>
      </c>
      <c r="C108" s="21" t="s">
        <v>129</v>
      </c>
      <c r="D108" s="21" t="s">
        <v>112</v>
      </c>
      <c r="E108" s="11" t="str">
        <f t="shared" si="5"/>
        <v>Principal|DEMOFIB|Casa A</v>
      </c>
      <c r="F108" s="11" t="str">
        <f>INDEX(Entradas!$C$40:$C$46,MATCH(C108,Entradas!$A$40:$A$46,0))</f>
        <v>fibra</v>
      </c>
      <c r="G108" s="15" t="str">
        <f>IF(F108="cetes",INDEX(Entradas!$F$40:$F$46,MATCH(C108,Entradas!$A$40:$A$46,0)),"")</f>
        <v/>
      </c>
      <c r="H108" s="17" t="str">
        <f>IF(F108="cetes",INDEX(Entradas!$G$40:$G$46,MATCH(C108,Entradas!$A$40:$A$46,0)),"")</f>
        <v/>
      </c>
      <c r="I108" s="14">
        <f>IF(F108="cetes",IF(A108&gt;=G108,0,SUMIFS(Transacciones!$N$5:$N$20,Transacciones!$T$5:$T$20,E108,Transacciones!$F$5:$F$20,"&lt;="&amp;A108)),SUMIFS(Transacciones!$N$5:$N$20,Transacciones!$T$5:$T$20,E108,Transacciones!$F$5:$F$20,"&lt;="&amp;A108))</f>
        <v>400</v>
      </c>
      <c r="J108" s="14">
        <f>_xlfn.MAXIFS(Transacciones!$U$5:$U$20,Transacciones!$T$5:$T$20,E108,Transacciones!$F$5:$F$20,"&lt;="&amp;A108)</f>
        <v>46276005</v>
      </c>
      <c r="K108" s="18">
        <f>IF(I108=0,0,INDEX(Transacciones!$Z$5:$Z$20,MATCH(J108,Transacciones!$U$5:$U$20,0)))</f>
        <v>25.054949999999998</v>
      </c>
      <c r="L108" s="17">
        <f t="shared" si="6"/>
        <v>10021.98</v>
      </c>
      <c r="M108" s="15">
        <f>IF(F108="cetes",IF(COUNTIFS(CETES!$A$5:$A$95,A108,CETES!$B$5:$B$95,C108)=0,"",A108),SUMIFS(Precios!$K$5:$K$109,Precios!$I$5:$I$109,A108,Precios!$J$5:$J$109,C108))</f>
        <v>46283</v>
      </c>
      <c r="N108" s="18">
        <f>IF(F108="cetes",IF(COUNTIFS(CETES!$A$5:$A$95,A108,CETES!$B$5:$B$95,C108)=0,"",SUMIFS(CETES!$AF$5:$AF$95,CETES!$A$5:$A$95,A108,CETES!$B$5:$B$95,C108)),SUMIFS(Precios!$L$5:$L$109,Precios!$I$5:$I$109,A108,Precios!$J$5:$J$109,C108))</f>
        <v>24.302499999999998</v>
      </c>
      <c r="O108" s="17">
        <f t="shared" si="7"/>
        <v>9721</v>
      </c>
      <c r="P108" s="17">
        <f t="shared" si="8"/>
        <v>-300.97999999999956</v>
      </c>
      <c r="Q108" s="17">
        <f>IF(F108="cetes",IF(A108=G108,SUMIFS(Transacciones!$N$5:$N$20,Transacciones!$T$5:$T$20,E108,Transacciones!$F$5:$F$20,"&lt;"&amp;A108)*H108,0),0)</f>
        <v>0</v>
      </c>
      <c r="R108" s="11" t="str">
        <f>IF(COUNTIF(Entradas!$A$14:$A$17,A108)&gt;0,"sí","")</f>
        <v/>
      </c>
      <c r="S108" s="11" t="str">
        <f t="shared" si="9"/>
        <v>46285|Principal|DEMOFIB|Casa A</v>
      </c>
    </row>
    <row r="109" spans="1:19" x14ac:dyDescent="0.3">
      <c r="A109" s="20">
        <v>46285</v>
      </c>
      <c r="B109" s="21" t="s">
        <v>94</v>
      </c>
      <c r="C109" s="21" t="s">
        <v>132</v>
      </c>
      <c r="D109" s="21" t="s">
        <v>112</v>
      </c>
      <c r="E109" s="11" t="str">
        <f t="shared" si="5"/>
        <v>Principal|BI261008|Casa A</v>
      </c>
      <c r="F109" s="11" t="str">
        <f>INDEX(Entradas!$C$40:$C$46,MATCH(C109,Entradas!$A$40:$A$46,0))</f>
        <v>cetes</v>
      </c>
      <c r="G109" s="15">
        <f>IF(F109="cetes",INDEX(Entradas!$F$40:$F$46,MATCH(C109,Entradas!$A$40:$A$46,0)),"")</f>
        <v>46303</v>
      </c>
      <c r="H109" s="17">
        <f>IF(F109="cetes",INDEX(Entradas!$G$40:$G$46,MATCH(C109,Entradas!$A$40:$A$46,0)),"")</f>
        <v>10</v>
      </c>
      <c r="I109" s="14">
        <f>IF(F109="cetes",IF(A109&gt;=G109,0,SUMIFS(Transacciones!$N$5:$N$20,Transacciones!$T$5:$T$20,E109,Transacciones!$F$5:$F$20,"&lt;="&amp;A109)),SUMIFS(Transacciones!$N$5:$N$20,Transacciones!$T$5:$T$20,E109,Transacciones!$F$5:$F$20,"&lt;="&amp;A109))</f>
        <v>1500</v>
      </c>
      <c r="J109" s="14">
        <f>_xlfn.MAXIFS(Transacciones!$U$5:$U$20,Transacciones!$T$5:$T$20,E109,Transacciones!$F$5:$F$20,"&lt;="&amp;A109)</f>
        <v>46275003</v>
      </c>
      <c r="K109" s="18">
        <f>IF(I109=0,0,INDEX(Transacciones!$Z$5:$Z$20,MATCH(J109,Transacciones!$U$5:$U$20,0)))</f>
        <v>9.9516240000000007</v>
      </c>
      <c r="L109" s="17">
        <f t="shared" si="6"/>
        <v>14927.436000000002</v>
      </c>
      <c r="M109" s="15">
        <f>IF(F109="cetes",IF(COUNTIFS(CETES!$A$5:$A$95,A109,CETES!$B$5:$B$95,C109)=0,"",A109),SUMIFS(Precios!$K$5:$K$109,Precios!$I$5:$I$109,A109,Precios!$J$5:$J$109,C109))</f>
        <v>46285</v>
      </c>
      <c r="N109" s="18">
        <f>IF(F109="cetes",IF(COUNTIFS(CETES!$A$5:$A$95,A109,CETES!$B$5:$B$95,C109)=0,"",SUMIFS(CETES!$AF$5:$AF$95,CETES!$A$5:$A$95,A109,CETES!$B$5:$B$95,C109)),SUMIFS(Precios!$L$5:$L$109,Precios!$I$5:$I$109,A109,Precios!$J$5:$J$109,C109))</f>
        <v>9.9688473999999996</v>
      </c>
      <c r="O109" s="17">
        <f t="shared" si="7"/>
        <v>14953.2711</v>
      </c>
      <c r="P109" s="17">
        <f t="shared" si="8"/>
        <v>25.83509999999842</v>
      </c>
      <c r="Q109" s="17">
        <f>IF(F109="cetes",IF(A109=G109,SUMIFS(Transacciones!$N$5:$N$20,Transacciones!$T$5:$T$20,E109,Transacciones!$F$5:$F$20,"&lt;"&amp;A109)*H109,0),0)</f>
        <v>0</v>
      </c>
      <c r="R109" s="11" t="str">
        <f>IF(COUNTIF(Entradas!$A$14:$A$17,A109)&gt;0,"sí","")</f>
        <v/>
      </c>
      <c r="S109" s="11" t="str">
        <f t="shared" si="9"/>
        <v>46285|Principal|BI261008|Casa A</v>
      </c>
    </row>
    <row r="110" spans="1:19" x14ac:dyDescent="0.3">
      <c r="A110" s="20">
        <v>46285</v>
      </c>
      <c r="B110" s="21" t="s">
        <v>94</v>
      </c>
      <c r="C110" s="21" t="s">
        <v>132</v>
      </c>
      <c r="D110" s="21" t="s">
        <v>113</v>
      </c>
      <c r="E110" s="11" t="str">
        <f t="shared" si="5"/>
        <v>Principal|BI261008|Casa B</v>
      </c>
      <c r="F110" s="11" t="str">
        <f>INDEX(Entradas!$C$40:$C$46,MATCH(C110,Entradas!$A$40:$A$46,0))</f>
        <v>cetes</v>
      </c>
      <c r="G110" s="15">
        <f>IF(F110="cetes",INDEX(Entradas!$F$40:$F$46,MATCH(C110,Entradas!$A$40:$A$46,0)),"")</f>
        <v>46303</v>
      </c>
      <c r="H110" s="17">
        <f>IF(F110="cetes",INDEX(Entradas!$G$40:$G$46,MATCH(C110,Entradas!$A$40:$A$46,0)),"")</f>
        <v>10</v>
      </c>
      <c r="I110" s="14">
        <f>IF(F110="cetes",IF(A110&gt;=G110,0,SUMIFS(Transacciones!$N$5:$N$20,Transacciones!$T$5:$T$20,E110,Transacciones!$F$5:$F$20,"&lt;="&amp;A110)),SUMIFS(Transacciones!$N$5:$N$20,Transacciones!$T$5:$T$20,E110,Transacciones!$F$5:$F$20,"&lt;="&amp;A110))</f>
        <v>1000</v>
      </c>
      <c r="J110" s="14">
        <f>_xlfn.MAXIFS(Transacciones!$U$5:$U$20,Transacciones!$T$5:$T$20,E110,Transacciones!$F$5:$F$20,"&lt;="&amp;A110)</f>
        <v>46275004</v>
      </c>
      <c r="K110" s="18">
        <f>IF(I110=0,0,INDEX(Transacciones!$Z$5:$Z$20,MATCH(J110,Transacciones!$U$5:$U$20,0)))</f>
        <v>9.9516239999999989</v>
      </c>
      <c r="L110" s="17">
        <f t="shared" si="6"/>
        <v>9951.6239999999998</v>
      </c>
      <c r="M110" s="15">
        <f>IF(F110="cetes",IF(COUNTIFS(CETES!$A$5:$A$95,A110,CETES!$B$5:$B$95,C110)=0,"",A110),SUMIFS(Precios!$K$5:$K$109,Precios!$I$5:$I$109,A110,Precios!$J$5:$J$109,C110))</f>
        <v>46285</v>
      </c>
      <c r="N110" s="18">
        <f>IF(F110="cetes",IF(COUNTIFS(CETES!$A$5:$A$95,A110,CETES!$B$5:$B$95,C110)=0,"",SUMIFS(CETES!$AF$5:$AF$95,CETES!$A$5:$A$95,A110,CETES!$B$5:$B$95,C110)),SUMIFS(Precios!$L$5:$L$109,Precios!$I$5:$I$109,A110,Precios!$J$5:$J$109,C110))</f>
        <v>9.9688473999999996</v>
      </c>
      <c r="O110" s="17">
        <f t="shared" si="7"/>
        <v>9968.8473999999987</v>
      </c>
      <c r="P110" s="17">
        <f t="shared" si="8"/>
        <v>17.223399999998946</v>
      </c>
      <c r="Q110" s="17">
        <f>IF(F110="cetes",IF(A110=G110,SUMIFS(Transacciones!$N$5:$N$20,Transacciones!$T$5:$T$20,E110,Transacciones!$F$5:$F$20,"&lt;"&amp;A110)*H110,0),0)</f>
        <v>0</v>
      </c>
      <c r="R110" s="11" t="str">
        <f>IF(COUNTIF(Entradas!$A$14:$A$17,A110)&gt;0,"sí","")</f>
        <v/>
      </c>
      <c r="S110" s="11" t="str">
        <f t="shared" si="9"/>
        <v>46285|Principal|BI261008|Casa B</v>
      </c>
    </row>
    <row r="111" spans="1:19" x14ac:dyDescent="0.3">
      <c r="A111" s="20">
        <v>46285</v>
      </c>
      <c r="B111" s="21" t="s">
        <v>94</v>
      </c>
      <c r="C111" s="21" t="s">
        <v>135</v>
      </c>
      <c r="D111" s="21" t="s">
        <v>113</v>
      </c>
      <c r="E111" s="11" t="str">
        <f t="shared" si="5"/>
        <v>Principal|BI261105|Casa B</v>
      </c>
      <c r="F111" s="11" t="str">
        <f>INDEX(Entradas!$C$40:$C$46,MATCH(C111,Entradas!$A$40:$A$46,0))</f>
        <v>cetes</v>
      </c>
      <c r="G111" s="15">
        <f>IF(F111="cetes",INDEX(Entradas!$F$40:$F$46,MATCH(C111,Entradas!$A$40:$A$46,0)),"")</f>
        <v>46331</v>
      </c>
      <c r="H111" s="17">
        <f>IF(F111="cetes",INDEX(Entradas!$G$40:$G$46,MATCH(C111,Entradas!$A$40:$A$46,0)),"")</f>
        <v>10</v>
      </c>
      <c r="I111" s="14">
        <f>IF(F111="cetes",IF(A111&gt;=G111,0,SUMIFS(Transacciones!$N$5:$N$20,Transacciones!$T$5:$T$20,E111,Transacciones!$F$5:$F$20,"&lt;="&amp;A111)),SUMIFS(Transacciones!$N$5:$N$20,Transacciones!$T$5:$T$20,E111,Transacciones!$F$5:$F$20,"&lt;="&amp;A111))</f>
        <v>0</v>
      </c>
      <c r="J111" s="14">
        <f>_xlfn.MAXIFS(Transacciones!$U$5:$U$20,Transacciones!$T$5:$T$20,E111,Transacciones!$F$5:$F$20,"&lt;="&amp;A111)</f>
        <v>0</v>
      </c>
      <c r="K111" s="18">
        <f>IF(I111=0,0,INDEX(Transacciones!$Z$5:$Z$20,MATCH(J111,Transacciones!$U$5:$U$20,0)))</f>
        <v>0</v>
      </c>
      <c r="L111" s="17">
        <f t="shared" si="6"/>
        <v>0</v>
      </c>
      <c r="M111" s="15" t="str">
        <f>IF(F111="cetes",IF(COUNTIFS(CETES!$A$5:$A$95,A111,CETES!$B$5:$B$95,C111)=0,"",A111),SUMIFS(Precios!$K$5:$K$109,Precios!$I$5:$I$109,A111,Precios!$J$5:$J$109,C111))</f>
        <v/>
      </c>
      <c r="N111" s="18" t="str">
        <f>IF(F111="cetes",IF(COUNTIFS(CETES!$A$5:$A$95,A111,CETES!$B$5:$B$95,C111)=0,"",SUMIFS(CETES!$AF$5:$AF$95,CETES!$A$5:$A$95,A111,CETES!$B$5:$B$95,C111)),SUMIFS(Precios!$L$5:$L$109,Precios!$I$5:$I$109,A111,Precios!$J$5:$J$109,C111))</f>
        <v/>
      </c>
      <c r="O111" s="17">
        <f t="shared" si="7"/>
        <v>0</v>
      </c>
      <c r="P111" s="17">
        <f t="shared" si="8"/>
        <v>0</v>
      </c>
      <c r="Q111" s="17">
        <f>IF(F111="cetes",IF(A111=G111,SUMIFS(Transacciones!$N$5:$N$20,Transacciones!$T$5:$T$20,E111,Transacciones!$F$5:$F$20,"&lt;"&amp;A111)*H111,0),0)</f>
        <v>0</v>
      </c>
      <c r="R111" s="11" t="str">
        <f>IF(COUNTIF(Entradas!$A$14:$A$17,A111)&gt;0,"sí","")</f>
        <v/>
      </c>
      <c r="S111" s="11" t="str">
        <f t="shared" si="9"/>
        <v>46285|Principal|BI261105|Casa B</v>
      </c>
    </row>
    <row r="112" spans="1:19" x14ac:dyDescent="0.3">
      <c r="A112" s="20">
        <v>46285</v>
      </c>
      <c r="B112" s="21" t="s">
        <v>94</v>
      </c>
      <c r="C112" s="21" t="s">
        <v>137</v>
      </c>
      <c r="D112" s="21" t="s">
        <v>112</v>
      </c>
      <c r="E112" s="11" t="str">
        <f t="shared" si="5"/>
        <v>Principal|BI261217|Casa A</v>
      </c>
      <c r="F112" s="11" t="str">
        <f>INDEX(Entradas!$C$40:$C$46,MATCH(C112,Entradas!$A$40:$A$46,0))</f>
        <v>cetes</v>
      </c>
      <c r="G112" s="15">
        <f>IF(F112="cetes",INDEX(Entradas!$F$40:$F$46,MATCH(C112,Entradas!$A$40:$A$46,0)),"")</f>
        <v>46373</v>
      </c>
      <c r="H112" s="17">
        <f>IF(F112="cetes",INDEX(Entradas!$G$40:$G$46,MATCH(C112,Entradas!$A$40:$A$46,0)),"")</f>
        <v>10</v>
      </c>
      <c r="I112" s="14">
        <f>IF(F112="cetes",IF(A112&gt;=G112,0,SUMIFS(Transacciones!$N$5:$N$20,Transacciones!$T$5:$T$20,E112,Transacciones!$F$5:$F$20,"&lt;="&amp;A112)),SUMIFS(Transacciones!$N$5:$N$20,Transacciones!$T$5:$T$20,E112,Transacciones!$F$5:$F$20,"&lt;="&amp;A112))</f>
        <v>1000</v>
      </c>
      <c r="J112" s="14">
        <f>_xlfn.MAXIFS(Transacciones!$U$5:$U$20,Transacciones!$T$5:$T$20,E112,Transacciones!$F$5:$F$20,"&lt;="&amp;A112)</f>
        <v>46282008</v>
      </c>
      <c r="K112" s="18">
        <f>IF(I112=0,0,INDEX(Transacciones!$Z$5:$Z$20,MATCH(J112,Transacciones!$U$5:$U$20,0)))</f>
        <v>9.8344372</v>
      </c>
      <c r="L112" s="17">
        <f t="shared" si="6"/>
        <v>9834.4372000000003</v>
      </c>
      <c r="M112" s="15">
        <f>IF(F112="cetes",IF(COUNTIFS(CETES!$A$5:$A$95,A112,CETES!$B$5:$B$95,C112)=0,"",A112),SUMIFS(Precios!$K$5:$K$109,Precios!$I$5:$I$109,A112,Precios!$J$5:$J$109,C112))</f>
        <v>46285</v>
      </c>
      <c r="N112" s="18">
        <f>IF(F112="cetes",IF(COUNTIFS(CETES!$A$5:$A$95,A112,CETES!$B$5:$B$95,C112)=0,"",SUMIFS(CETES!$AF$5:$AF$95,CETES!$A$5:$A$95,A112,CETES!$B$5:$B$95,C112)),SUMIFS(Precios!$L$5:$L$109,Precios!$I$5:$I$109,A112,Precios!$J$5:$J$109,C112))</f>
        <v>9.8402700000000003</v>
      </c>
      <c r="O112" s="17">
        <f t="shared" si="7"/>
        <v>9840.27</v>
      </c>
      <c r="P112" s="17">
        <f t="shared" si="8"/>
        <v>5.8328000000001339</v>
      </c>
      <c r="Q112" s="17">
        <f>IF(F112="cetes",IF(A112=G112,SUMIFS(Transacciones!$N$5:$N$20,Transacciones!$T$5:$T$20,E112,Transacciones!$F$5:$F$20,"&lt;"&amp;A112)*H112,0),0)</f>
        <v>0</v>
      </c>
      <c r="R112" s="11" t="str">
        <f>IF(COUNTIF(Entradas!$A$14:$A$17,A112)&gt;0,"sí","")</f>
        <v/>
      </c>
      <c r="S112" s="11" t="str">
        <f t="shared" si="9"/>
        <v>46285|Principal|BI261217|Casa A</v>
      </c>
    </row>
    <row r="113" spans="1:19" x14ac:dyDescent="0.3">
      <c r="A113" s="20">
        <v>46285</v>
      </c>
      <c r="B113" s="21" t="s">
        <v>94</v>
      </c>
      <c r="C113" s="21" t="s">
        <v>139</v>
      </c>
      <c r="D113" s="21" t="s">
        <v>113</v>
      </c>
      <c r="E113" s="11" t="str">
        <f t="shared" si="5"/>
        <v>Principal|BI270318|Casa B</v>
      </c>
      <c r="F113" s="11" t="str">
        <f>INDEX(Entradas!$C$40:$C$46,MATCH(C113,Entradas!$A$40:$A$46,0))</f>
        <v>cetes</v>
      </c>
      <c r="G113" s="15">
        <f>IF(F113="cetes",INDEX(Entradas!$F$40:$F$46,MATCH(C113,Entradas!$A$40:$A$46,0)),"")</f>
        <v>46464</v>
      </c>
      <c r="H113" s="17">
        <f>IF(F113="cetes",INDEX(Entradas!$G$40:$G$46,MATCH(C113,Entradas!$A$40:$A$46,0)),"")</f>
        <v>10</v>
      </c>
      <c r="I113" s="14">
        <f>IF(F113="cetes",IF(A113&gt;=G113,0,SUMIFS(Transacciones!$N$5:$N$20,Transacciones!$T$5:$T$20,E113,Transacciones!$F$5:$F$20,"&lt;="&amp;A113)),SUMIFS(Transacciones!$N$5:$N$20,Transacciones!$T$5:$T$20,E113,Transacciones!$F$5:$F$20,"&lt;="&amp;A113))</f>
        <v>500</v>
      </c>
      <c r="J113" s="14">
        <f>_xlfn.MAXIFS(Transacciones!$U$5:$U$20,Transacciones!$T$5:$T$20,E113,Transacciones!$F$5:$F$20,"&lt;="&amp;A113)</f>
        <v>46282009</v>
      </c>
      <c r="K113" s="18">
        <f>IF(I113=0,0,INDEX(Transacciones!$Z$5:$Z$20,MATCH(J113,Transacciones!$U$5:$U$20,0)))</f>
        <v>9.6629249999999995</v>
      </c>
      <c r="L113" s="17">
        <f t="shared" si="6"/>
        <v>4831.4624999999996</v>
      </c>
      <c r="M113" s="15">
        <f>IF(F113="cetes",IF(COUNTIFS(CETES!$A$5:$A$95,A113,CETES!$B$5:$B$95,C113)=0,"",A113),SUMIFS(Precios!$K$5:$K$109,Precios!$I$5:$I$109,A113,Precios!$J$5:$J$109,C113))</f>
        <v>46285</v>
      </c>
      <c r="N113" s="18">
        <f>IF(F113="cetes",IF(COUNTIFS(CETES!$A$5:$A$95,A113,CETES!$B$5:$B$95,C113)=0,"",SUMIFS(CETES!$AF$5:$AF$95,CETES!$A$5:$A$95,A113,CETES!$B$5:$B$95,C113)),SUMIFS(Precios!$L$5:$L$109,Precios!$I$5:$I$109,A113,Precios!$J$5:$J$109,C113))</f>
        <v>9.6686645999999996</v>
      </c>
      <c r="O113" s="17">
        <f t="shared" si="7"/>
        <v>4834.3323</v>
      </c>
      <c r="P113" s="17">
        <f t="shared" si="8"/>
        <v>2.8698000000003958</v>
      </c>
      <c r="Q113" s="17">
        <f>IF(F113="cetes",IF(A113=G113,SUMIFS(Transacciones!$N$5:$N$20,Transacciones!$T$5:$T$20,E113,Transacciones!$F$5:$F$20,"&lt;"&amp;A113)*H113,0),0)</f>
        <v>0</v>
      </c>
      <c r="R113" s="11" t="str">
        <f>IF(COUNTIF(Entradas!$A$14:$A$17,A113)&gt;0,"sí","")</f>
        <v/>
      </c>
      <c r="S113" s="11" t="str">
        <f t="shared" si="9"/>
        <v>46285|Principal|BI270318|Casa B</v>
      </c>
    </row>
    <row r="114" spans="1:19" x14ac:dyDescent="0.3">
      <c r="A114" s="20">
        <v>46285</v>
      </c>
      <c r="B114" s="21" t="s">
        <v>103</v>
      </c>
      <c r="C114" s="21" t="s">
        <v>123</v>
      </c>
      <c r="D114" s="21" t="s">
        <v>112</v>
      </c>
      <c r="E114" s="11" t="str">
        <f t="shared" si="5"/>
        <v>Secundario|DEMOACC|Casa A</v>
      </c>
      <c r="F114" s="11" t="str">
        <f>INDEX(Entradas!$C$40:$C$46,MATCH(C114,Entradas!$A$40:$A$46,0))</f>
        <v>accion</v>
      </c>
      <c r="G114" s="15" t="str">
        <f>IF(F114="cetes",INDEX(Entradas!$F$40:$F$46,MATCH(C114,Entradas!$A$40:$A$46,0)),"")</f>
        <v/>
      </c>
      <c r="H114" s="17" t="str">
        <f>IF(F114="cetes",INDEX(Entradas!$G$40:$G$46,MATCH(C114,Entradas!$A$40:$A$46,0)),"")</f>
        <v/>
      </c>
      <c r="I114" s="14">
        <f>IF(F114="cetes",IF(A114&gt;=G114,0,SUMIFS(Transacciones!$N$5:$N$20,Transacciones!$T$5:$T$20,E114,Transacciones!$F$5:$F$20,"&lt;="&amp;A114)),SUMIFS(Transacciones!$N$5:$N$20,Transacciones!$T$5:$T$20,E114,Transacciones!$F$5:$F$20,"&lt;="&amp;A114))</f>
        <v>150</v>
      </c>
      <c r="J114" s="14">
        <f>_xlfn.MAXIFS(Transacciones!$U$5:$U$20,Transacciones!$T$5:$T$20,E114,Transacciones!$F$5:$F$20,"&lt;="&amp;A114)</f>
        <v>46279007</v>
      </c>
      <c r="K114" s="18">
        <f>IF(I114=0,0,INDEX(Transacciones!$Z$5:$Z$20,MATCH(J114,Transacciones!$U$5:$U$20,0)))</f>
        <v>103.90046666666666</v>
      </c>
      <c r="L114" s="17">
        <f t="shared" si="6"/>
        <v>15585.07</v>
      </c>
      <c r="M114" s="15">
        <f>IF(F114="cetes",IF(COUNTIFS(CETES!$A$5:$A$95,A114,CETES!$B$5:$B$95,C114)=0,"",A114),SUMIFS(Precios!$K$5:$K$109,Precios!$I$5:$I$109,A114,Precios!$J$5:$J$109,C114))</f>
        <v>46283</v>
      </c>
      <c r="N114" s="18">
        <f>IF(F114="cetes",IF(COUNTIFS(CETES!$A$5:$A$95,A114,CETES!$B$5:$B$95,C114)=0,"",SUMIFS(CETES!$AF$5:$AF$95,CETES!$A$5:$A$95,A114,CETES!$B$5:$B$95,C114)),SUMIFS(Precios!$L$5:$L$109,Precios!$I$5:$I$109,A114,Precios!$J$5:$J$109,C114))</f>
        <v>98.65</v>
      </c>
      <c r="O114" s="17">
        <f t="shared" si="7"/>
        <v>14797.5</v>
      </c>
      <c r="P114" s="17">
        <f t="shared" si="8"/>
        <v>-787.56999999999971</v>
      </c>
      <c r="Q114" s="17">
        <f>IF(F114="cetes",IF(A114=G114,SUMIFS(Transacciones!$N$5:$N$20,Transacciones!$T$5:$T$20,E114,Transacciones!$F$5:$F$20,"&lt;"&amp;A114)*H114,0),0)</f>
        <v>0</v>
      </c>
      <c r="R114" s="11" t="str">
        <f>IF(COUNTIF(Entradas!$A$14:$A$17,A114)&gt;0,"sí","")</f>
        <v/>
      </c>
      <c r="S114" s="11" t="str">
        <f t="shared" si="9"/>
        <v>46285|Secundario|DEMOACC|Casa A</v>
      </c>
    </row>
    <row r="115" spans="1:19" x14ac:dyDescent="0.3">
      <c r="A115" s="20">
        <v>46286</v>
      </c>
      <c r="B115" s="21" t="s">
        <v>94</v>
      </c>
      <c r="C115" s="21" t="s">
        <v>123</v>
      </c>
      <c r="D115" s="21" t="s">
        <v>112</v>
      </c>
      <c r="E115" s="11" t="str">
        <f t="shared" si="5"/>
        <v>Principal|DEMOACC|Casa A</v>
      </c>
      <c r="F115" s="11" t="str">
        <f>INDEX(Entradas!$C$40:$C$46,MATCH(C115,Entradas!$A$40:$A$46,0))</f>
        <v>accion</v>
      </c>
      <c r="G115" s="15" t="str">
        <f>IF(F115="cetes",INDEX(Entradas!$F$40:$F$46,MATCH(C115,Entradas!$A$40:$A$46,0)),"")</f>
        <v/>
      </c>
      <c r="H115" s="17" t="str">
        <f>IF(F115="cetes",INDEX(Entradas!$G$40:$G$46,MATCH(C115,Entradas!$A$40:$A$46,0)),"")</f>
        <v/>
      </c>
      <c r="I115" s="14">
        <f>IF(F115="cetes",IF(A115&gt;=G115,0,SUMIFS(Transacciones!$N$5:$N$20,Transacciones!$T$5:$T$20,E115,Transacciones!$F$5:$F$20,"&lt;="&amp;A115)),SUMIFS(Transacciones!$N$5:$N$20,Transacciones!$T$5:$T$20,E115,Transacciones!$F$5:$F$20,"&lt;="&amp;A115))</f>
        <v>200</v>
      </c>
      <c r="J115" s="14">
        <f>_xlfn.MAXIFS(Transacciones!$U$5:$U$20,Transacciones!$T$5:$T$20,E115,Transacciones!$F$5:$F$20,"&lt;="&amp;A115)</f>
        <v>46275001</v>
      </c>
      <c r="K115" s="18">
        <f>IF(I115=0,0,INDEX(Transacciones!$Z$5:$Z$20,MATCH(J115,Transacciones!$U$5:$U$20,0)))</f>
        <v>100.23985</v>
      </c>
      <c r="L115" s="17">
        <f t="shared" si="6"/>
        <v>20047.97</v>
      </c>
      <c r="M115" s="15">
        <f>IF(F115="cetes",IF(COUNTIFS(CETES!$A$5:$A$95,A115,CETES!$B$5:$B$95,C115)=0,"",A115),SUMIFS(Precios!$K$5:$K$109,Precios!$I$5:$I$109,A115,Precios!$J$5:$J$109,C115))</f>
        <v>46286</v>
      </c>
      <c r="N115" s="18">
        <f>IF(F115="cetes",IF(COUNTIFS(CETES!$A$5:$A$95,A115,CETES!$B$5:$B$95,C115)=0,"",SUMIFS(CETES!$AF$5:$AF$95,CETES!$A$5:$A$95,A115,CETES!$B$5:$B$95,C115)),SUMIFS(Precios!$L$5:$L$109,Precios!$I$5:$I$109,A115,Precios!$J$5:$J$109,C115))</f>
        <v>95.3</v>
      </c>
      <c r="O115" s="17">
        <f t="shared" si="7"/>
        <v>19060</v>
      </c>
      <c r="P115" s="17">
        <f t="shared" si="8"/>
        <v>-987.97000000000116</v>
      </c>
      <c r="Q115" s="17">
        <f>IF(F115="cetes",IF(A115=G115,SUMIFS(Transacciones!$N$5:$N$20,Transacciones!$T$5:$T$20,E115,Transacciones!$F$5:$F$20,"&lt;"&amp;A115)*H115,0),0)</f>
        <v>0</v>
      </c>
      <c r="R115" s="11" t="str">
        <f>IF(COUNTIF(Entradas!$A$14:$A$17,A115)&gt;0,"sí","")</f>
        <v/>
      </c>
      <c r="S115" s="11" t="str">
        <f t="shared" si="9"/>
        <v>46286|Principal|DEMOACC|Casa A</v>
      </c>
    </row>
    <row r="116" spans="1:19" x14ac:dyDescent="0.3">
      <c r="A116" s="20">
        <v>46286</v>
      </c>
      <c r="B116" s="21" t="s">
        <v>94</v>
      </c>
      <c r="C116" s="21" t="s">
        <v>123</v>
      </c>
      <c r="D116" s="21" t="s">
        <v>113</v>
      </c>
      <c r="E116" s="11" t="str">
        <f t="shared" si="5"/>
        <v>Principal|DEMOACC|Casa B</v>
      </c>
      <c r="F116" s="11" t="str">
        <f>INDEX(Entradas!$C$40:$C$46,MATCH(C116,Entradas!$A$40:$A$46,0))</f>
        <v>accion</v>
      </c>
      <c r="G116" s="15" t="str">
        <f>IF(F116="cetes",INDEX(Entradas!$F$40:$F$46,MATCH(C116,Entradas!$A$40:$A$46,0)),"")</f>
        <v/>
      </c>
      <c r="H116" s="17" t="str">
        <f>IF(F116="cetes",INDEX(Entradas!$G$40:$G$46,MATCH(C116,Entradas!$A$40:$A$46,0)),"")</f>
        <v/>
      </c>
      <c r="I116" s="14">
        <f>IF(F116="cetes",IF(A116&gt;=G116,0,SUMIFS(Transacciones!$N$5:$N$20,Transacciones!$T$5:$T$20,E116,Transacciones!$F$5:$F$20,"&lt;="&amp;A116)),SUMIFS(Transacciones!$N$5:$N$20,Transacciones!$T$5:$T$20,E116,Transacciones!$F$5:$F$20,"&lt;="&amp;A116))</f>
        <v>100</v>
      </c>
      <c r="J116" s="14">
        <f>_xlfn.MAXIFS(Transacciones!$U$5:$U$20,Transacciones!$T$5:$T$20,E116,Transacciones!$F$5:$F$20,"&lt;="&amp;A116)</f>
        <v>46279006</v>
      </c>
      <c r="K116" s="18">
        <f>IF(I116=0,0,INDEX(Transacciones!$Z$5:$Z$20,MATCH(J116,Transacciones!$U$5:$U$20,0)))</f>
        <v>103.399</v>
      </c>
      <c r="L116" s="17">
        <f t="shared" si="6"/>
        <v>10339.9</v>
      </c>
      <c r="M116" s="15">
        <f>IF(F116="cetes",IF(COUNTIFS(CETES!$A$5:$A$95,A116,CETES!$B$5:$B$95,C116)=0,"",A116),SUMIFS(Precios!$K$5:$K$109,Precios!$I$5:$I$109,A116,Precios!$J$5:$J$109,C116))</f>
        <v>46286</v>
      </c>
      <c r="N116" s="18">
        <f>IF(F116="cetes",IF(COUNTIFS(CETES!$A$5:$A$95,A116,CETES!$B$5:$B$95,C116)=0,"",SUMIFS(CETES!$AF$5:$AF$95,CETES!$A$5:$A$95,A116,CETES!$B$5:$B$95,C116)),SUMIFS(Precios!$L$5:$L$109,Precios!$I$5:$I$109,A116,Precios!$J$5:$J$109,C116))</f>
        <v>95.3</v>
      </c>
      <c r="O116" s="17">
        <f t="shared" si="7"/>
        <v>9530</v>
      </c>
      <c r="P116" s="17">
        <f t="shared" si="8"/>
        <v>-809.89999999999964</v>
      </c>
      <c r="Q116" s="17">
        <f>IF(F116="cetes",IF(A116=G116,SUMIFS(Transacciones!$N$5:$N$20,Transacciones!$T$5:$T$20,E116,Transacciones!$F$5:$F$20,"&lt;"&amp;A116)*H116,0),0)</f>
        <v>0</v>
      </c>
      <c r="R116" s="11" t="str">
        <f>IF(COUNTIF(Entradas!$A$14:$A$17,A116)&gt;0,"sí","")</f>
        <v/>
      </c>
      <c r="S116" s="11" t="str">
        <f t="shared" si="9"/>
        <v>46286|Principal|DEMOACC|Casa B</v>
      </c>
    </row>
    <row r="117" spans="1:19" x14ac:dyDescent="0.3">
      <c r="A117" s="20">
        <v>46286</v>
      </c>
      <c r="B117" s="21" t="s">
        <v>94</v>
      </c>
      <c r="C117" s="21" t="s">
        <v>126</v>
      </c>
      <c r="D117" s="21" t="s">
        <v>113</v>
      </c>
      <c r="E117" s="11" t="str">
        <f t="shared" si="5"/>
        <v>Principal|DEMOETF|Casa B</v>
      </c>
      <c r="F117" s="11" t="str">
        <f>INDEX(Entradas!$C$40:$C$46,MATCH(C117,Entradas!$A$40:$A$46,0))</f>
        <v>etf</v>
      </c>
      <c r="G117" s="15" t="str">
        <f>IF(F117="cetes",INDEX(Entradas!$F$40:$F$46,MATCH(C117,Entradas!$A$40:$A$46,0)),"")</f>
        <v/>
      </c>
      <c r="H117" s="17" t="str">
        <f>IF(F117="cetes",INDEX(Entradas!$G$40:$G$46,MATCH(C117,Entradas!$A$40:$A$46,0)),"")</f>
        <v/>
      </c>
      <c r="I117" s="14">
        <f>IF(F117="cetes",IF(A117&gt;=G117,0,SUMIFS(Transacciones!$N$5:$N$20,Transacciones!$T$5:$T$20,E117,Transacciones!$F$5:$F$20,"&lt;="&amp;A117)),SUMIFS(Transacciones!$N$5:$N$20,Transacciones!$T$5:$T$20,E117,Transacciones!$F$5:$F$20,"&lt;="&amp;A117))</f>
        <v>100</v>
      </c>
      <c r="J117" s="14">
        <f>_xlfn.MAXIFS(Transacciones!$U$5:$U$20,Transacciones!$T$5:$T$20,E117,Transacciones!$F$5:$F$20,"&lt;="&amp;A117)</f>
        <v>46275002</v>
      </c>
      <c r="K117" s="18">
        <f>IF(I117=0,0,INDEX(Transacciones!$Z$5:$Z$20,MATCH(J117,Transacciones!$U$5:$U$20,0)))</f>
        <v>50.195100000000004</v>
      </c>
      <c r="L117" s="17">
        <f t="shared" si="6"/>
        <v>5019.51</v>
      </c>
      <c r="M117" s="15">
        <f>IF(F117="cetes",IF(COUNTIFS(CETES!$A$5:$A$95,A117,CETES!$B$5:$B$95,C117)=0,"",A117),SUMIFS(Precios!$K$5:$K$109,Precios!$I$5:$I$109,A117,Precios!$J$5:$J$109,C117))</f>
        <v>46286</v>
      </c>
      <c r="N117" s="18">
        <f>IF(F117="cetes",IF(COUNTIFS(CETES!$A$5:$A$95,A117,CETES!$B$5:$B$95,C117)=0,"",SUMIFS(CETES!$AF$5:$AF$95,CETES!$A$5:$A$95,A117,CETES!$B$5:$B$95,C117)),SUMIFS(Precios!$L$5:$L$109,Precios!$I$5:$I$109,A117,Precios!$J$5:$J$109,C117))</f>
        <v>48.02</v>
      </c>
      <c r="O117" s="17">
        <f t="shared" si="7"/>
        <v>4802</v>
      </c>
      <c r="P117" s="17">
        <f t="shared" si="8"/>
        <v>-217.51000000000022</v>
      </c>
      <c r="Q117" s="17">
        <f>IF(F117="cetes",IF(A117=G117,SUMIFS(Transacciones!$N$5:$N$20,Transacciones!$T$5:$T$20,E117,Transacciones!$F$5:$F$20,"&lt;"&amp;A117)*H117,0),0)</f>
        <v>0</v>
      </c>
      <c r="R117" s="11" t="str">
        <f>IF(COUNTIF(Entradas!$A$14:$A$17,A117)&gt;0,"sí","")</f>
        <v/>
      </c>
      <c r="S117" s="11" t="str">
        <f t="shared" si="9"/>
        <v>46286|Principal|DEMOETF|Casa B</v>
      </c>
    </row>
    <row r="118" spans="1:19" x14ac:dyDescent="0.3">
      <c r="A118" s="20">
        <v>46286</v>
      </c>
      <c r="B118" s="21" t="s">
        <v>94</v>
      </c>
      <c r="C118" s="21" t="s">
        <v>129</v>
      </c>
      <c r="D118" s="21" t="s">
        <v>112</v>
      </c>
      <c r="E118" s="11" t="str">
        <f t="shared" si="5"/>
        <v>Principal|DEMOFIB|Casa A</v>
      </c>
      <c r="F118" s="11" t="str">
        <f>INDEX(Entradas!$C$40:$C$46,MATCH(C118,Entradas!$A$40:$A$46,0))</f>
        <v>fibra</v>
      </c>
      <c r="G118" s="15" t="str">
        <f>IF(F118="cetes",INDEX(Entradas!$F$40:$F$46,MATCH(C118,Entradas!$A$40:$A$46,0)),"")</f>
        <v/>
      </c>
      <c r="H118" s="17" t="str">
        <f>IF(F118="cetes",INDEX(Entradas!$G$40:$G$46,MATCH(C118,Entradas!$A$40:$A$46,0)),"")</f>
        <v/>
      </c>
      <c r="I118" s="14">
        <f>IF(F118="cetes",IF(A118&gt;=G118,0,SUMIFS(Transacciones!$N$5:$N$20,Transacciones!$T$5:$T$20,E118,Transacciones!$F$5:$F$20,"&lt;="&amp;A118)),SUMIFS(Transacciones!$N$5:$N$20,Transacciones!$T$5:$T$20,E118,Transacciones!$F$5:$F$20,"&lt;="&amp;A118))</f>
        <v>400</v>
      </c>
      <c r="J118" s="14">
        <f>_xlfn.MAXIFS(Transacciones!$U$5:$U$20,Transacciones!$T$5:$T$20,E118,Transacciones!$F$5:$F$20,"&lt;="&amp;A118)</f>
        <v>46276005</v>
      </c>
      <c r="K118" s="18">
        <f>IF(I118=0,0,INDEX(Transacciones!$Z$5:$Z$20,MATCH(J118,Transacciones!$U$5:$U$20,0)))</f>
        <v>25.054949999999998</v>
      </c>
      <c r="L118" s="17">
        <f t="shared" si="6"/>
        <v>10021.98</v>
      </c>
      <c r="M118" s="15">
        <f>IF(F118="cetes",IF(COUNTIFS(CETES!$A$5:$A$95,A118,CETES!$B$5:$B$95,C118)=0,"",A118),SUMIFS(Precios!$K$5:$K$109,Precios!$I$5:$I$109,A118,Precios!$J$5:$J$109,C118))</f>
        <v>46286</v>
      </c>
      <c r="N118" s="18">
        <f>IF(F118="cetes",IF(COUNTIFS(CETES!$A$5:$A$95,A118,CETES!$B$5:$B$95,C118)=0,"",SUMIFS(CETES!$AF$5:$AF$95,CETES!$A$5:$A$95,A118,CETES!$B$5:$B$95,C118)),SUMIFS(Precios!$L$5:$L$109,Precios!$I$5:$I$109,A118,Precios!$J$5:$J$109,C118))</f>
        <v>23.64</v>
      </c>
      <c r="O118" s="17">
        <f t="shared" si="7"/>
        <v>9456</v>
      </c>
      <c r="P118" s="17">
        <f t="shared" si="8"/>
        <v>-565.97999999999956</v>
      </c>
      <c r="Q118" s="17">
        <f>IF(F118="cetes",IF(A118=G118,SUMIFS(Transacciones!$N$5:$N$20,Transacciones!$T$5:$T$20,E118,Transacciones!$F$5:$F$20,"&lt;"&amp;A118)*H118,0),0)</f>
        <v>0</v>
      </c>
      <c r="R118" s="11" t="str">
        <f>IF(COUNTIF(Entradas!$A$14:$A$17,A118)&gt;0,"sí","")</f>
        <v/>
      </c>
      <c r="S118" s="11" t="str">
        <f t="shared" si="9"/>
        <v>46286|Principal|DEMOFIB|Casa A</v>
      </c>
    </row>
    <row r="119" spans="1:19" x14ac:dyDescent="0.3">
      <c r="A119" s="20">
        <v>46286</v>
      </c>
      <c r="B119" s="21" t="s">
        <v>94</v>
      </c>
      <c r="C119" s="21" t="s">
        <v>132</v>
      </c>
      <c r="D119" s="21" t="s">
        <v>112</v>
      </c>
      <c r="E119" s="11" t="str">
        <f t="shared" si="5"/>
        <v>Principal|BI261008|Casa A</v>
      </c>
      <c r="F119" s="11" t="str">
        <f>INDEX(Entradas!$C$40:$C$46,MATCH(C119,Entradas!$A$40:$A$46,0))</f>
        <v>cetes</v>
      </c>
      <c r="G119" s="15">
        <f>IF(F119="cetes",INDEX(Entradas!$F$40:$F$46,MATCH(C119,Entradas!$A$40:$A$46,0)),"")</f>
        <v>46303</v>
      </c>
      <c r="H119" s="17">
        <f>IF(F119="cetes",INDEX(Entradas!$G$40:$G$46,MATCH(C119,Entradas!$A$40:$A$46,0)),"")</f>
        <v>10</v>
      </c>
      <c r="I119" s="14">
        <f>IF(F119="cetes",IF(A119&gt;=G119,0,SUMIFS(Transacciones!$N$5:$N$20,Transacciones!$T$5:$T$20,E119,Transacciones!$F$5:$F$20,"&lt;="&amp;A119)),SUMIFS(Transacciones!$N$5:$N$20,Transacciones!$T$5:$T$20,E119,Transacciones!$F$5:$F$20,"&lt;="&amp;A119))</f>
        <v>1500</v>
      </c>
      <c r="J119" s="14">
        <f>_xlfn.MAXIFS(Transacciones!$U$5:$U$20,Transacciones!$T$5:$T$20,E119,Transacciones!$F$5:$F$20,"&lt;="&amp;A119)</f>
        <v>46275003</v>
      </c>
      <c r="K119" s="18">
        <f>IF(I119=0,0,INDEX(Transacciones!$Z$5:$Z$20,MATCH(J119,Transacciones!$U$5:$U$20,0)))</f>
        <v>9.9516240000000007</v>
      </c>
      <c r="L119" s="17">
        <f t="shared" si="6"/>
        <v>14927.436000000002</v>
      </c>
      <c r="M119" s="15">
        <f>IF(F119="cetes",IF(COUNTIFS(CETES!$A$5:$A$95,A119,CETES!$B$5:$B$95,C119)=0,"",A119),SUMIFS(Precios!$K$5:$K$109,Precios!$I$5:$I$109,A119,Precios!$J$5:$J$109,C119))</f>
        <v>46286</v>
      </c>
      <c r="N119" s="18">
        <f>IF(F119="cetes",IF(COUNTIFS(CETES!$A$5:$A$95,A119,CETES!$B$5:$B$95,C119)=0,"",SUMIFS(CETES!$AF$5:$AF$95,CETES!$A$5:$A$95,A119,CETES!$B$5:$B$95,C119)),SUMIFS(Precios!$L$5:$L$109,Precios!$I$5:$I$109,A119,Precios!$J$5:$J$109,C119))</f>
        <v>9.9705729999999999</v>
      </c>
      <c r="O119" s="17">
        <f t="shared" si="7"/>
        <v>14955.8595</v>
      </c>
      <c r="P119" s="17">
        <f t="shared" si="8"/>
        <v>28.423499999998967</v>
      </c>
      <c r="Q119" s="17">
        <f>IF(F119="cetes",IF(A119=G119,SUMIFS(Transacciones!$N$5:$N$20,Transacciones!$T$5:$T$20,E119,Transacciones!$F$5:$F$20,"&lt;"&amp;A119)*H119,0),0)</f>
        <v>0</v>
      </c>
      <c r="R119" s="11" t="str">
        <f>IF(COUNTIF(Entradas!$A$14:$A$17,A119)&gt;0,"sí","")</f>
        <v/>
      </c>
      <c r="S119" s="11" t="str">
        <f t="shared" si="9"/>
        <v>46286|Principal|BI261008|Casa A</v>
      </c>
    </row>
    <row r="120" spans="1:19" x14ac:dyDescent="0.3">
      <c r="A120" s="20">
        <v>46286</v>
      </c>
      <c r="B120" s="21" t="s">
        <v>94</v>
      </c>
      <c r="C120" s="21" t="s">
        <v>132</v>
      </c>
      <c r="D120" s="21" t="s">
        <v>113</v>
      </c>
      <c r="E120" s="11" t="str">
        <f t="shared" si="5"/>
        <v>Principal|BI261008|Casa B</v>
      </c>
      <c r="F120" s="11" t="str">
        <f>INDEX(Entradas!$C$40:$C$46,MATCH(C120,Entradas!$A$40:$A$46,0))</f>
        <v>cetes</v>
      </c>
      <c r="G120" s="15">
        <f>IF(F120="cetes",INDEX(Entradas!$F$40:$F$46,MATCH(C120,Entradas!$A$40:$A$46,0)),"")</f>
        <v>46303</v>
      </c>
      <c r="H120" s="17">
        <f>IF(F120="cetes",INDEX(Entradas!$G$40:$G$46,MATCH(C120,Entradas!$A$40:$A$46,0)),"")</f>
        <v>10</v>
      </c>
      <c r="I120" s="14">
        <f>IF(F120="cetes",IF(A120&gt;=G120,0,SUMIFS(Transacciones!$N$5:$N$20,Transacciones!$T$5:$T$20,E120,Transacciones!$F$5:$F$20,"&lt;="&amp;A120)),SUMIFS(Transacciones!$N$5:$N$20,Transacciones!$T$5:$T$20,E120,Transacciones!$F$5:$F$20,"&lt;="&amp;A120))</f>
        <v>1000</v>
      </c>
      <c r="J120" s="14">
        <f>_xlfn.MAXIFS(Transacciones!$U$5:$U$20,Transacciones!$T$5:$T$20,E120,Transacciones!$F$5:$F$20,"&lt;="&amp;A120)</f>
        <v>46275004</v>
      </c>
      <c r="K120" s="18">
        <f>IF(I120=0,0,INDEX(Transacciones!$Z$5:$Z$20,MATCH(J120,Transacciones!$U$5:$U$20,0)))</f>
        <v>9.9516239999999989</v>
      </c>
      <c r="L120" s="17">
        <f t="shared" si="6"/>
        <v>9951.6239999999998</v>
      </c>
      <c r="M120" s="15">
        <f>IF(F120="cetes",IF(COUNTIFS(CETES!$A$5:$A$95,A120,CETES!$B$5:$B$95,C120)=0,"",A120),SUMIFS(Precios!$K$5:$K$109,Precios!$I$5:$I$109,A120,Precios!$J$5:$J$109,C120))</f>
        <v>46286</v>
      </c>
      <c r="N120" s="18">
        <f>IF(F120="cetes",IF(COUNTIFS(CETES!$A$5:$A$95,A120,CETES!$B$5:$B$95,C120)=0,"",SUMIFS(CETES!$AF$5:$AF$95,CETES!$A$5:$A$95,A120,CETES!$B$5:$B$95,C120)),SUMIFS(Precios!$L$5:$L$109,Precios!$I$5:$I$109,A120,Precios!$J$5:$J$109,C120))</f>
        <v>9.9705729999999999</v>
      </c>
      <c r="O120" s="17">
        <f t="shared" si="7"/>
        <v>9970.5730000000003</v>
      </c>
      <c r="P120" s="17">
        <f t="shared" si="8"/>
        <v>18.949000000000524</v>
      </c>
      <c r="Q120" s="17">
        <f>IF(F120="cetes",IF(A120=G120,SUMIFS(Transacciones!$N$5:$N$20,Transacciones!$T$5:$T$20,E120,Transacciones!$F$5:$F$20,"&lt;"&amp;A120)*H120,0),0)</f>
        <v>0</v>
      </c>
      <c r="R120" s="11" t="str">
        <f>IF(COUNTIF(Entradas!$A$14:$A$17,A120)&gt;0,"sí","")</f>
        <v/>
      </c>
      <c r="S120" s="11" t="str">
        <f t="shared" si="9"/>
        <v>46286|Principal|BI261008|Casa B</v>
      </c>
    </row>
    <row r="121" spans="1:19" x14ac:dyDescent="0.3">
      <c r="A121" s="20">
        <v>46286</v>
      </c>
      <c r="B121" s="21" t="s">
        <v>94</v>
      </c>
      <c r="C121" s="21" t="s">
        <v>135</v>
      </c>
      <c r="D121" s="21" t="s">
        <v>113</v>
      </c>
      <c r="E121" s="11" t="str">
        <f t="shared" si="5"/>
        <v>Principal|BI261105|Casa B</v>
      </c>
      <c r="F121" s="11" t="str">
        <f>INDEX(Entradas!$C$40:$C$46,MATCH(C121,Entradas!$A$40:$A$46,0))</f>
        <v>cetes</v>
      </c>
      <c r="G121" s="15">
        <f>IF(F121="cetes",INDEX(Entradas!$F$40:$F$46,MATCH(C121,Entradas!$A$40:$A$46,0)),"")</f>
        <v>46331</v>
      </c>
      <c r="H121" s="17">
        <f>IF(F121="cetes",INDEX(Entradas!$G$40:$G$46,MATCH(C121,Entradas!$A$40:$A$46,0)),"")</f>
        <v>10</v>
      </c>
      <c r="I121" s="14">
        <f>IF(F121="cetes",IF(A121&gt;=G121,0,SUMIFS(Transacciones!$N$5:$N$20,Transacciones!$T$5:$T$20,E121,Transacciones!$F$5:$F$20,"&lt;="&amp;A121)),SUMIFS(Transacciones!$N$5:$N$20,Transacciones!$T$5:$T$20,E121,Transacciones!$F$5:$F$20,"&lt;="&amp;A121))</f>
        <v>0</v>
      </c>
      <c r="J121" s="14">
        <f>_xlfn.MAXIFS(Transacciones!$U$5:$U$20,Transacciones!$T$5:$T$20,E121,Transacciones!$F$5:$F$20,"&lt;="&amp;A121)</f>
        <v>0</v>
      </c>
      <c r="K121" s="18">
        <f>IF(I121=0,0,INDEX(Transacciones!$Z$5:$Z$20,MATCH(J121,Transacciones!$U$5:$U$20,0)))</f>
        <v>0</v>
      </c>
      <c r="L121" s="17">
        <f t="shared" si="6"/>
        <v>0</v>
      </c>
      <c r="M121" s="15" t="str">
        <f>IF(F121="cetes",IF(COUNTIFS(CETES!$A$5:$A$95,A121,CETES!$B$5:$B$95,C121)=0,"",A121),SUMIFS(Precios!$K$5:$K$109,Precios!$I$5:$I$109,A121,Precios!$J$5:$J$109,C121))</f>
        <v/>
      </c>
      <c r="N121" s="18" t="str">
        <f>IF(F121="cetes",IF(COUNTIFS(CETES!$A$5:$A$95,A121,CETES!$B$5:$B$95,C121)=0,"",SUMIFS(CETES!$AF$5:$AF$95,CETES!$A$5:$A$95,A121,CETES!$B$5:$B$95,C121)),SUMIFS(Precios!$L$5:$L$109,Precios!$I$5:$I$109,A121,Precios!$J$5:$J$109,C121))</f>
        <v/>
      </c>
      <c r="O121" s="17">
        <f t="shared" si="7"/>
        <v>0</v>
      </c>
      <c r="P121" s="17">
        <f t="shared" si="8"/>
        <v>0</v>
      </c>
      <c r="Q121" s="17">
        <f>IF(F121="cetes",IF(A121=G121,SUMIFS(Transacciones!$N$5:$N$20,Transacciones!$T$5:$T$20,E121,Transacciones!$F$5:$F$20,"&lt;"&amp;A121)*H121,0),0)</f>
        <v>0</v>
      </c>
      <c r="R121" s="11" t="str">
        <f>IF(COUNTIF(Entradas!$A$14:$A$17,A121)&gt;0,"sí","")</f>
        <v/>
      </c>
      <c r="S121" s="11" t="str">
        <f t="shared" si="9"/>
        <v>46286|Principal|BI261105|Casa B</v>
      </c>
    </row>
    <row r="122" spans="1:19" x14ac:dyDescent="0.3">
      <c r="A122" s="20">
        <v>46286</v>
      </c>
      <c r="B122" s="21" t="s">
        <v>94</v>
      </c>
      <c r="C122" s="21" t="s">
        <v>137</v>
      </c>
      <c r="D122" s="21" t="s">
        <v>112</v>
      </c>
      <c r="E122" s="11" t="str">
        <f t="shared" si="5"/>
        <v>Principal|BI261217|Casa A</v>
      </c>
      <c r="F122" s="11" t="str">
        <f>INDEX(Entradas!$C$40:$C$46,MATCH(C122,Entradas!$A$40:$A$46,0))</f>
        <v>cetes</v>
      </c>
      <c r="G122" s="15">
        <f>IF(F122="cetes",INDEX(Entradas!$F$40:$F$46,MATCH(C122,Entradas!$A$40:$A$46,0)),"")</f>
        <v>46373</v>
      </c>
      <c r="H122" s="17">
        <f>IF(F122="cetes",INDEX(Entradas!$G$40:$G$46,MATCH(C122,Entradas!$A$40:$A$46,0)),"")</f>
        <v>10</v>
      </c>
      <c r="I122" s="14">
        <f>IF(F122="cetes",IF(A122&gt;=G122,0,SUMIFS(Transacciones!$N$5:$N$20,Transacciones!$T$5:$T$20,E122,Transacciones!$F$5:$F$20,"&lt;="&amp;A122)),SUMIFS(Transacciones!$N$5:$N$20,Transacciones!$T$5:$T$20,E122,Transacciones!$F$5:$F$20,"&lt;="&amp;A122))</f>
        <v>1000</v>
      </c>
      <c r="J122" s="14">
        <f>_xlfn.MAXIFS(Transacciones!$U$5:$U$20,Transacciones!$T$5:$T$20,E122,Transacciones!$F$5:$F$20,"&lt;="&amp;A122)</f>
        <v>46282008</v>
      </c>
      <c r="K122" s="18">
        <f>IF(I122=0,0,INDEX(Transacciones!$Z$5:$Z$20,MATCH(J122,Transacciones!$U$5:$U$20,0)))</f>
        <v>9.8344372</v>
      </c>
      <c r="L122" s="17">
        <f t="shared" si="6"/>
        <v>9834.4372000000003</v>
      </c>
      <c r="M122" s="15">
        <f>IF(F122="cetes",IF(COUNTIFS(CETES!$A$5:$A$95,A122,CETES!$B$5:$B$95,C122)=0,"",A122),SUMIFS(Precios!$K$5:$K$109,Precios!$I$5:$I$109,A122,Precios!$J$5:$J$109,C122))</f>
        <v>46286</v>
      </c>
      <c r="N122" s="18">
        <f>IF(F122="cetes",IF(COUNTIFS(CETES!$A$5:$A$95,A122,CETES!$B$5:$B$95,C122)=0,"",SUMIFS(CETES!$AF$5:$AF$95,CETES!$A$5:$A$95,A122,CETES!$B$5:$B$95,C122)),SUMIFS(Precios!$L$5:$L$109,Precios!$I$5:$I$109,A122,Precios!$J$5:$J$109,C122))</f>
        <v>9.8422087999999999</v>
      </c>
      <c r="O122" s="17">
        <f t="shared" si="7"/>
        <v>9842.2088000000003</v>
      </c>
      <c r="P122" s="17">
        <f t="shared" si="8"/>
        <v>7.7716000000000349</v>
      </c>
      <c r="Q122" s="17">
        <f>IF(F122="cetes",IF(A122=G122,SUMIFS(Transacciones!$N$5:$N$20,Transacciones!$T$5:$T$20,E122,Transacciones!$F$5:$F$20,"&lt;"&amp;A122)*H122,0),0)</f>
        <v>0</v>
      </c>
      <c r="R122" s="11" t="str">
        <f>IF(COUNTIF(Entradas!$A$14:$A$17,A122)&gt;0,"sí","")</f>
        <v/>
      </c>
      <c r="S122" s="11" t="str">
        <f t="shared" si="9"/>
        <v>46286|Principal|BI261217|Casa A</v>
      </c>
    </row>
    <row r="123" spans="1:19" x14ac:dyDescent="0.3">
      <c r="A123" s="20">
        <v>46286</v>
      </c>
      <c r="B123" s="21" t="s">
        <v>94</v>
      </c>
      <c r="C123" s="21" t="s">
        <v>139</v>
      </c>
      <c r="D123" s="21" t="s">
        <v>113</v>
      </c>
      <c r="E123" s="11" t="str">
        <f t="shared" si="5"/>
        <v>Principal|BI270318|Casa B</v>
      </c>
      <c r="F123" s="11" t="str">
        <f>INDEX(Entradas!$C$40:$C$46,MATCH(C123,Entradas!$A$40:$A$46,0))</f>
        <v>cetes</v>
      </c>
      <c r="G123" s="15">
        <f>IF(F123="cetes",INDEX(Entradas!$F$40:$F$46,MATCH(C123,Entradas!$A$40:$A$46,0)),"")</f>
        <v>46464</v>
      </c>
      <c r="H123" s="17">
        <f>IF(F123="cetes",INDEX(Entradas!$G$40:$G$46,MATCH(C123,Entradas!$A$40:$A$46,0)),"")</f>
        <v>10</v>
      </c>
      <c r="I123" s="14">
        <f>IF(F123="cetes",IF(A123&gt;=G123,0,SUMIFS(Transacciones!$N$5:$N$20,Transacciones!$T$5:$T$20,E123,Transacciones!$F$5:$F$20,"&lt;="&amp;A123)),SUMIFS(Transacciones!$N$5:$N$20,Transacciones!$T$5:$T$20,E123,Transacciones!$F$5:$F$20,"&lt;="&amp;A123))</f>
        <v>500</v>
      </c>
      <c r="J123" s="14">
        <f>_xlfn.MAXIFS(Transacciones!$U$5:$U$20,Transacciones!$T$5:$T$20,E123,Transacciones!$F$5:$F$20,"&lt;="&amp;A123)</f>
        <v>46282009</v>
      </c>
      <c r="K123" s="18">
        <f>IF(I123=0,0,INDEX(Transacciones!$Z$5:$Z$20,MATCH(J123,Transacciones!$U$5:$U$20,0)))</f>
        <v>9.6629249999999995</v>
      </c>
      <c r="L123" s="17">
        <f t="shared" si="6"/>
        <v>4831.4624999999996</v>
      </c>
      <c r="M123" s="15">
        <f>IF(F123="cetes",IF(COUNTIFS(CETES!$A$5:$A$95,A123,CETES!$B$5:$B$95,C123)=0,"",A123),SUMIFS(Precios!$K$5:$K$109,Precios!$I$5:$I$109,A123,Precios!$J$5:$J$109,C123))</f>
        <v>46286</v>
      </c>
      <c r="N123" s="18">
        <f>IF(F123="cetes",IF(COUNTIFS(CETES!$A$5:$A$95,A123,CETES!$B$5:$B$95,C123)=0,"",SUMIFS(CETES!$AF$5:$AF$95,CETES!$A$5:$A$95,A123,CETES!$B$5:$B$95,C123)),SUMIFS(Precios!$L$5:$L$109,Precios!$I$5:$I$109,A123,Precios!$J$5:$J$109,C123))</f>
        <v>9.6705766000000004</v>
      </c>
      <c r="O123" s="17">
        <f t="shared" si="7"/>
        <v>4835.2883000000002</v>
      </c>
      <c r="P123" s="17">
        <f t="shared" si="8"/>
        <v>3.8258000000005268</v>
      </c>
      <c r="Q123" s="17">
        <f>IF(F123="cetes",IF(A123=G123,SUMIFS(Transacciones!$N$5:$N$20,Transacciones!$T$5:$T$20,E123,Transacciones!$F$5:$F$20,"&lt;"&amp;A123)*H123,0),0)</f>
        <v>0</v>
      </c>
      <c r="R123" s="11" t="str">
        <f>IF(COUNTIF(Entradas!$A$14:$A$17,A123)&gt;0,"sí","")</f>
        <v/>
      </c>
      <c r="S123" s="11" t="str">
        <f t="shared" si="9"/>
        <v>46286|Principal|BI270318|Casa B</v>
      </c>
    </row>
    <row r="124" spans="1:19" x14ac:dyDescent="0.3">
      <c r="A124" s="20">
        <v>46286</v>
      </c>
      <c r="B124" s="21" t="s">
        <v>103</v>
      </c>
      <c r="C124" s="21" t="s">
        <v>123</v>
      </c>
      <c r="D124" s="21" t="s">
        <v>112</v>
      </c>
      <c r="E124" s="11" t="str">
        <f t="shared" si="5"/>
        <v>Secundario|DEMOACC|Casa A</v>
      </c>
      <c r="F124" s="11" t="str">
        <f>INDEX(Entradas!$C$40:$C$46,MATCH(C124,Entradas!$A$40:$A$46,0))</f>
        <v>accion</v>
      </c>
      <c r="G124" s="15" t="str">
        <f>IF(F124="cetes",INDEX(Entradas!$F$40:$F$46,MATCH(C124,Entradas!$A$40:$A$46,0)),"")</f>
        <v/>
      </c>
      <c r="H124" s="17" t="str">
        <f>IF(F124="cetes",INDEX(Entradas!$G$40:$G$46,MATCH(C124,Entradas!$A$40:$A$46,0)),"")</f>
        <v/>
      </c>
      <c r="I124" s="14">
        <f>IF(F124="cetes",IF(A124&gt;=G124,0,SUMIFS(Transacciones!$N$5:$N$20,Transacciones!$T$5:$T$20,E124,Transacciones!$F$5:$F$20,"&lt;="&amp;A124)),SUMIFS(Transacciones!$N$5:$N$20,Transacciones!$T$5:$T$20,E124,Transacciones!$F$5:$F$20,"&lt;="&amp;A124))</f>
        <v>150</v>
      </c>
      <c r="J124" s="14">
        <f>_xlfn.MAXIFS(Transacciones!$U$5:$U$20,Transacciones!$T$5:$T$20,E124,Transacciones!$F$5:$F$20,"&lt;="&amp;A124)</f>
        <v>46279007</v>
      </c>
      <c r="K124" s="18">
        <f>IF(I124=0,0,INDEX(Transacciones!$Z$5:$Z$20,MATCH(J124,Transacciones!$U$5:$U$20,0)))</f>
        <v>103.90046666666666</v>
      </c>
      <c r="L124" s="17">
        <f t="shared" si="6"/>
        <v>15585.07</v>
      </c>
      <c r="M124" s="15">
        <f>IF(F124="cetes",IF(COUNTIFS(CETES!$A$5:$A$95,A124,CETES!$B$5:$B$95,C124)=0,"",A124),SUMIFS(Precios!$K$5:$K$109,Precios!$I$5:$I$109,A124,Precios!$J$5:$J$109,C124))</f>
        <v>46286</v>
      </c>
      <c r="N124" s="18">
        <f>IF(F124="cetes",IF(COUNTIFS(CETES!$A$5:$A$95,A124,CETES!$B$5:$B$95,C124)=0,"",SUMIFS(CETES!$AF$5:$AF$95,CETES!$A$5:$A$95,A124,CETES!$B$5:$B$95,C124)),SUMIFS(Precios!$L$5:$L$109,Precios!$I$5:$I$109,A124,Precios!$J$5:$J$109,C124))</f>
        <v>95.3</v>
      </c>
      <c r="O124" s="17">
        <f t="shared" si="7"/>
        <v>14295</v>
      </c>
      <c r="P124" s="17">
        <f t="shared" si="8"/>
        <v>-1290.0699999999997</v>
      </c>
      <c r="Q124" s="17">
        <f>IF(F124="cetes",IF(A124=G124,SUMIFS(Transacciones!$N$5:$N$20,Transacciones!$T$5:$T$20,E124,Transacciones!$F$5:$F$20,"&lt;"&amp;A124)*H124,0),0)</f>
        <v>0</v>
      </c>
      <c r="R124" s="11" t="str">
        <f>IF(COUNTIF(Entradas!$A$14:$A$17,A124)&gt;0,"sí","")</f>
        <v/>
      </c>
      <c r="S124" s="11" t="str">
        <f t="shared" si="9"/>
        <v>46286|Secundario|DEMOACC|Casa A</v>
      </c>
    </row>
    <row r="125" spans="1:19" x14ac:dyDescent="0.3">
      <c r="A125" s="20">
        <v>46287</v>
      </c>
      <c r="B125" s="21" t="s">
        <v>94</v>
      </c>
      <c r="C125" s="21" t="s">
        <v>123</v>
      </c>
      <c r="D125" s="21" t="s">
        <v>112</v>
      </c>
      <c r="E125" s="11" t="str">
        <f t="shared" si="5"/>
        <v>Principal|DEMOACC|Casa A</v>
      </c>
      <c r="F125" s="11" t="str">
        <f>INDEX(Entradas!$C$40:$C$46,MATCH(C125,Entradas!$A$40:$A$46,0))</f>
        <v>accion</v>
      </c>
      <c r="G125" s="15" t="str">
        <f>IF(F125="cetes",INDEX(Entradas!$F$40:$F$46,MATCH(C125,Entradas!$A$40:$A$46,0)),"")</f>
        <v/>
      </c>
      <c r="H125" s="17" t="str">
        <f>IF(F125="cetes",INDEX(Entradas!$G$40:$G$46,MATCH(C125,Entradas!$A$40:$A$46,0)),"")</f>
        <v/>
      </c>
      <c r="I125" s="14">
        <f>IF(F125="cetes",IF(A125&gt;=G125,0,SUMIFS(Transacciones!$N$5:$N$20,Transacciones!$T$5:$T$20,E125,Transacciones!$F$5:$F$20,"&lt;="&amp;A125)),SUMIFS(Transacciones!$N$5:$N$20,Transacciones!$T$5:$T$20,E125,Transacciones!$F$5:$F$20,"&lt;="&amp;A125))</f>
        <v>200</v>
      </c>
      <c r="J125" s="14">
        <f>_xlfn.MAXIFS(Transacciones!$U$5:$U$20,Transacciones!$T$5:$T$20,E125,Transacciones!$F$5:$F$20,"&lt;="&amp;A125)</f>
        <v>46275001</v>
      </c>
      <c r="K125" s="18">
        <f>IF(I125=0,0,INDEX(Transacciones!$Z$5:$Z$20,MATCH(J125,Transacciones!$U$5:$U$20,0)))</f>
        <v>100.23985</v>
      </c>
      <c r="L125" s="17">
        <f t="shared" si="6"/>
        <v>20047.97</v>
      </c>
      <c r="M125" s="15">
        <f>IF(F125="cetes",IF(COUNTIFS(CETES!$A$5:$A$95,A125,CETES!$B$5:$B$95,C125)=0,"",A125),SUMIFS(Precios!$K$5:$K$109,Precios!$I$5:$I$109,A125,Precios!$J$5:$J$109,C125))</f>
        <v>46287</v>
      </c>
      <c r="N125" s="18">
        <f>IF(F125="cetes",IF(COUNTIFS(CETES!$A$5:$A$95,A125,CETES!$B$5:$B$95,C125)=0,"",SUMIFS(CETES!$AF$5:$AF$95,CETES!$A$5:$A$95,A125,CETES!$B$5:$B$95,C125)),SUMIFS(Precios!$L$5:$L$109,Precios!$I$5:$I$109,A125,Precios!$J$5:$J$109,C125))</f>
        <v>92.15</v>
      </c>
      <c r="O125" s="17">
        <f t="shared" si="7"/>
        <v>18430</v>
      </c>
      <c r="P125" s="17">
        <f t="shared" si="8"/>
        <v>-1617.9700000000012</v>
      </c>
      <c r="Q125" s="17">
        <f>IF(F125="cetes",IF(A125=G125,SUMIFS(Transacciones!$N$5:$N$20,Transacciones!$T$5:$T$20,E125,Transacciones!$F$5:$F$20,"&lt;"&amp;A125)*H125,0),0)</f>
        <v>0</v>
      </c>
      <c r="R125" s="11" t="str">
        <f>IF(COUNTIF(Entradas!$A$14:$A$17,A125)&gt;0,"sí","")</f>
        <v/>
      </c>
      <c r="S125" s="11" t="str">
        <f t="shared" si="9"/>
        <v>46287|Principal|DEMOACC|Casa A</v>
      </c>
    </row>
    <row r="126" spans="1:19" x14ac:dyDescent="0.3">
      <c r="A126" s="20">
        <v>46287</v>
      </c>
      <c r="B126" s="21" t="s">
        <v>94</v>
      </c>
      <c r="C126" s="21" t="s">
        <v>123</v>
      </c>
      <c r="D126" s="21" t="s">
        <v>113</v>
      </c>
      <c r="E126" s="11" t="str">
        <f t="shared" si="5"/>
        <v>Principal|DEMOACC|Casa B</v>
      </c>
      <c r="F126" s="11" t="str">
        <f>INDEX(Entradas!$C$40:$C$46,MATCH(C126,Entradas!$A$40:$A$46,0))</f>
        <v>accion</v>
      </c>
      <c r="G126" s="15" t="str">
        <f>IF(F126="cetes",INDEX(Entradas!$F$40:$F$46,MATCH(C126,Entradas!$A$40:$A$46,0)),"")</f>
        <v/>
      </c>
      <c r="H126" s="17" t="str">
        <f>IF(F126="cetes",INDEX(Entradas!$G$40:$G$46,MATCH(C126,Entradas!$A$40:$A$46,0)),"")</f>
        <v/>
      </c>
      <c r="I126" s="14">
        <f>IF(F126="cetes",IF(A126&gt;=G126,0,SUMIFS(Transacciones!$N$5:$N$20,Transacciones!$T$5:$T$20,E126,Transacciones!$F$5:$F$20,"&lt;="&amp;A126)),SUMIFS(Transacciones!$N$5:$N$20,Transacciones!$T$5:$T$20,E126,Transacciones!$F$5:$F$20,"&lt;="&amp;A126))</f>
        <v>100</v>
      </c>
      <c r="J126" s="14">
        <f>_xlfn.MAXIFS(Transacciones!$U$5:$U$20,Transacciones!$T$5:$T$20,E126,Transacciones!$F$5:$F$20,"&lt;="&amp;A126)</f>
        <v>46279006</v>
      </c>
      <c r="K126" s="18">
        <f>IF(I126=0,0,INDEX(Transacciones!$Z$5:$Z$20,MATCH(J126,Transacciones!$U$5:$U$20,0)))</f>
        <v>103.399</v>
      </c>
      <c r="L126" s="17">
        <f t="shared" si="6"/>
        <v>10339.9</v>
      </c>
      <c r="M126" s="15">
        <f>IF(F126="cetes",IF(COUNTIFS(CETES!$A$5:$A$95,A126,CETES!$B$5:$B$95,C126)=0,"",A126),SUMIFS(Precios!$K$5:$K$109,Precios!$I$5:$I$109,A126,Precios!$J$5:$J$109,C126))</f>
        <v>46287</v>
      </c>
      <c r="N126" s="18">
        <f>IF(F126="cetes",IF(COUNTIFS(CETES!$A$5:$A$95,A126,CETES!$B$5:$B$95,C126)=0,"",SUMIFS(CETES!$AF$5:$AF$95,CETES!$A$5:$A$95,A126,CETES!$B$5:$B$95,C126)),SUMIFS(Precios!$L$5:$L$109,Precios!$I$5:$I$109,A126,Precios!$J$5:$J$109,C126))</f>
        <v>92.15</v>
      </c>
      <c r="O126" s="17">
        <f t="shared" si="7"/>
        <v>9215</v>
      </c>
      <c r="P126" s="17">
        <f t="shared" si="8"/>
        <v>-1124.8999999999996</v>
      </c>
      <c r="Q126" s="17">
        <f>IF(F126="cetes",IF(A126=G126,SUMIFS(Transacciones!$N$5:$N$20,Transacciones!$T$5:$T$20,E126,Transacciones!$F$5:$F$20,"&lt;"&amp;A126)*H126,0),0)</f>
        <v>0</v>
      </c>
      <c r="R126" s="11" t="str">
        <f>IF(COUNTIF(Entradas!$A$14:$A$17,A126)&gt;0,"sí","")</f>
        <v/>
      </c>
      <c r="S126" s="11" t="str">
        <f t="shared" si="9"/>
        <v>46287|Principal|DEMOACC|Casa B</v>
      </c>
    </row>
    <row r="127" spans="1:19" x14ac:dyDescent="0.3">
      <c r="A127" s="20">
        <v>46287</v>
      </c>
      <c r="B127" s="21" t="s">
        <v>94</v>
      </c>
      <c r="C127" s="21" t="s">
        <v>126</v>
      </c>
      <c r="D127" s="21" t="s">
        <v>113</v>
      </c>
      <c r="E127" s="11" t="str">
        <f t="shared" si="5"/>
        <v>Principal|DEMOETF|Casa B</v>
      </c>
      <c r="F127" s="11" t="str">
        <f>INDEX(Entradas!$C$40:$C$46,MATCH(C127,Entradas!$A$40:$A$46,0))</f>
        <v>etf</v>
      </c>
      <c r="G127" s="15" t="str">
        <f>IF(F127="cetes",INDEX(Entradas!$F$40:$F$46,MATCH(C127,Entradas!$A$40:$A$46,0)),"")</f>
        <v/>
      </c>
      <c r="H127" s="17" t="str">
        <f>IF(F127="cetes",INDEX(Entradas!$G$40:$G$46,MATCH(C127,Entradas!$A$40:$A$46,0)),"")</f>
        <v/>
      </c>
      <c r="I127" s="14">
        <f>IF(F127="cetes",IF(A127&gt;=G127,0,SUMIFS(Transacciones!$N$5:$N$20,Transacciones!$T$5:$T$20,E127,Transacciones!$F$5:$F$20,"&lt;="&amp;A127)),SUMIFS(Transacciones!$N$5:$N$20,Transacciones!$T$5:$T$20,E127,Transacciones!$F$5:$F$20,"&lt;="&amp;A127))</f>
        <v>100</v>
      </c>
      <c r="J127" s="14">
        <f>_xlfn.MAXIFS(Transacciones!$U$5:$U$20,Transacciones!$T$5:$T$20,E127,Transacciones!$F$5:$F$20,"&lt;="&amp;A127)</f>
        <v>46275002</v>
      </c>
      <c r="K127" s="18">
        <f>IF(I127=0,0,INDEX(Transacciones!$Z$5:$Z$20,MATCH(J127,Transacciones!$U$5:$U$20,0)))</f>
        <v>50.195100000000004</v>
      </c>
      <c r="L127" s="17">
        <f t="shared" si="6"/>
        <v>5019.51</v>
      </c>
      <c r="M127" s="15">
        <f>IF(F127="cetes",IF(COUNTIFS(CETES!$A$5:$A$95,A127,CETES!$B$5:$B$95,C127)=0,"",A127),SUMIFS(Precios!$K$5:$K$109,Precios!$I$5:$I$109,A127,Precios!$J$5:$J$109,C127))</f>
        <v>46287</v>
      </c>
      <c r="N127" s="18">
        <f>IF(F127="cetes",IF(COUNTIFS(CETES!$A$5:$A$95,A127,CETES!$B$5:$B$95,C127)=0,"",SUMIFS(CETES!$AF$5:$AF$95,CETES!$A$5:$A$95,A127,CETES!$B$5:$B$95,C127)),SUMIFS(Precios!$L$5:$L$109,Precios!$I$5:$I$109,A127,Precios!$J$5:$J$109,C127))</f>
        <v>46.87</v>
      </c>
      <c r="O127" s="17">
        <f t="shared" si="7"/>
        <v>4687</v>
      </c>
      <c r="P127" s="17">
        <f t="shared" si="8"/>
        <v>-332.51000000000022</v>
      </c>
      <c r="Q127" s="17">
        <f>IF(F127="cetes",IF(A127=G127,SUMIFS(Transacciones!$N$5:$N$20,Transacciones!$T$5:$T$20,E127,Transacciones!$F$5:$F$20,"&lt;"&amp;A127)*H127,0),0)</f>
        <v>0</v>
      </c>
      <c r="R127" s="11" t="str">
        <f>IF(COUNTIF(Entradas!$A$14:$A$17,A127)&gt;0,"sí","")</f>
        <v/>
      </c>
      <c r="S127" s="11" t="str">
        <f t="shared" si="9"/>
        <v>46287|Principal|DEMOETF|Casa B</v>
      </c>
    </row>
    <row r="128" spans="1:19" x14ac:dyDescent="0.3">
      <c r="A128" s="20">
        <v>46287</v>
      </c>
      <c r="B128" s="21" t="s">
        <v>94</v>
      </c>
      <c r="C128" s="21" t="s">
        <v>129</v>
      </c>
      <c r="D128" s="21" t="s">
        <v>112</v>
      </c>
      <c r="E128" s="11" t="str">
        <f t="shared" si="5"/>
        <v>Principal|DEMOFIB|Casa A</v>
      </c>
      <c r="F128" s="11" t="str">
        <f>INDEX(Entradas!$C$40:$C$46,MATCH(C128,Entradas!$A$40:$A$46,0))</f>
        <v>fibra</v>
      </c>
      <c r="G128" s="15" t="str">
        <f>IF(F128="cetes",INDEX(Entradas!$F$40:$F$46,MATCH(C128,Entradas!$A$40:$A$46,0)),"")</f>
        <v/>
      </c>
      <c r="H128" s="17" t="str">
        <f>IF(F128="cetes",INDEX(Entradas!$G$40:$G$46,MATCH(C128,Entradas!$A$40:$A$46,0)),"")</f>
        <v/>
      </c>
      <c r="I128" s="14">
        <f>IF(F128="cetes",IF(A128&gt;=G128,0,SUMIFS(Transacciones!$N$5:$N$20,Transacciones!$T$5:$T$20,E128,Transacciones!$F$5:$F$20,"&lt;="&amp;A128)),SUMIFS(Transacciones!$N$5:$N$20,Transacciones!$T$5:$T$20,E128,Transacciones!$F$5:$F$20,"&lt;="&amp;A128))</f>
        <v>0</v>
      </c>
      <c r="J128" s="14">
        <f>_xlfn.MAXIFS(Transacciones!$U$5:$U$20,Transacciones!$T$5:$T$20,E128,Transacciones!$F$5:$F$20,"&lt;="&amp;A128)</f>
        <v>46287510</v>
      </c>
      <c r="K128" s="18">
        <f>IF(I128=0,0,INDEX(Transacciones!$Z$5:$Z$20,MATCH(J128,Transacciones!$U$5:$U$20,0)))</f>
        <v>0</v>
      </c>
      <c r="L128" s="17">
        <f t="shared" si="6"/>
        <v>0</v>
      </c>
      <c r="M128" s="15">
        <f>IF(F128="cetes",IF(COUNTIFS(CETES!$A$5:$A$95,A128,CETES!$B$5:$B$95,C128)=0,"",A128),SUMIFS(Precios!$K$5:$K$109,Precios!$I$5:$I$109,A128,Precios!$J$5:$J$109,C128))</f>
        <v>46287</v>
      </c>
      <c r="N128" s="18">
        <f>IF(F128="cetes",IF(COUNTIFS(CETES!$A$5:$A$95,A128,CETES!$B$5:$B$95,C128)=0,"",SUMIFS(CETES!$AF$5:$AF$95,CETES!$A$5:$A$95,A128,CETES!$B$5:$B$95,C128)),SUMIFS(Precios!$L$5:$L$109,Precios!$I$5:$I$109,A128,Precios!$J$5:$J$109,C128))</f>
        <v>23.1175</v>
      </c>
      <c r="O128" s="17">
        <f t="shared" si="7"/>
        <v>0</v>
      </c>
      <c r="P128" s="17">
        <f t="shared" si="8"/>
        <v>0</v>
      </c>
      <c r="Q128" s="17">
        <f>IF(F128="cetes",IF(A128=G128,SUMIFS(Transacciones!$N$5:$N$20,Transacciones!$T$5:$T$20,E128,Transacciones!$F$5:$F$20,"&lt;"&amp;A128)*H128,0),0)</f>
        <v>0</v>
      </c>
      <c r="R128" s="11" t="str">
        <f>IF(COUNTIF(Entradas!$A$14:$A$17,A128)&gt;0,"sí","")</f>
        <v/>
      </c>
      <c r="S128" s="11" t="str">
        <f t="shared" si="9"/>
        <v>46287|Principal|DEMOFIB|Casa A</v>
      </c>
    </row>
    <row r="129" spans="1:19" x14ac:dyDescent="0.3">
      <c r="A129" s="20">
        <v>46287</v>
      </c>
      <c r="B129" s="21" t="s">
        <v>94</v>
      </c>
      <c r="C129" s="21" t="s">
        <v>132</v>
      </c>
      <c r="D129" s="21" t="s">
        <v>112</v>
      </c>
      <c r="E129" s="11" t="str">
        <f t="shared" si="5"/>
        <v>Principal|BI261008|Casa A</v>
      </c>
      <c r="F129" s="11" t="str">
        <f>INDEX(Entradas!$C$40:$C$46,MATCH(C129,Entradas!$A$40:$A$46,0))</f>
        <v>cetes</v>
      </c>
      <c r="G129" s="15">
        <f>IF(F129="cetes",INDEX(Entradas!$F$40:$F$46,MATCH(C129,Entradas!$A$40:$A$46,0)),"")</f>
        <v>46303</v>
      </c>
      <c r="H129" s="17">
        <f>IF(F129="cetes",INDEX(Entradas!$G$40:$G$46,MATCH(C129,Entradas!$A$40:$A$46,0)),"")</f>
        <v>10</v>
      </c>
      <c r="I129" s="14">
        <f>IF(F129="cetes",IF(A129&gt;=G129,0,SUMIFS(Transacciones!$N$5:$N$20,Transacciones!$T$5:$T$20,E129,Transacciones!$F$5:$F$20,"&lt;="&amp;A129)),SUMIFS(Transacciones!$N$5:$N$20,Transacciones!$T$5:$T$20,E129,Transacciones!$F$5:$F$20,"&lt;="&amp;A129))</f>
        <v>1500</v>
      </c>
      <c r="J129" s="14">
        <f>_xlfn.MAXIFS(Transacciones!$U$5:$U$20,Transacciones!$T$5:$T$20,E129,Transacciones!$F$5:$F$20,"&lt;="&amp;A129)</f>
        <v>46275003</v>
      </c>
      <c r="K129" s="18">
        <f>IF(I129=0,0,INDEX(Transacciones!$Z$5:$Z$20,MATCH(J129,Transacciones!$U$5:$U$20,0)))</f>
        <v>9.9516240000000007</v>
      </c>
      <c r="L129" s="17">
        <f t="shared" si="6"/>
        <v>14927.436000000002</v>
      </c>
      <c r="M129" s="15">
        <f>IF(F129="cetes",IF(COUNTIFS(CETES!$A$5:$A$95,A129,CETES!$B$5:$B$95,C129)=0,"",A129),SUMIFS(Precios!$K$5:$K$109,Precios!$I$5:$I$109,A129,Precios!$J$5:$J$109,C129))</f>
        <v>46287</v>
      </c>
      <c r="N129" s="18">
        <f>IF(F129="cetes",IF(COUNTIFS(CETES!$A$5:$A$95,A129,CETES!$B$5:$B$95,C129)=0,"",SUMIFS(CETES!$AF$5:$AF$95,CETES!$A$5:$A$95,A129,CETES!$B$5:$B$95,C129)),SUMIFS(Precios!$L$5:$L$109,Precios!$I$5:$I$109,A129,Precios!$J$5:$J$109,C129))</f>
        <v>9.9722992000000001</v>
      </c>
      <c r="O129" s="17">
        <f t="shared" si="7"/>
        <v>14958.4488</v>
      </c>
      <c r="P129" s="17">
        <f t="shared" si="8"/>
        <v>31.012799999998606</v>
      </c>
      <c r="Q129" s="17">
        <f>IF(F129="cetes",IF(A129=G129,SUMIFS(Transacciones!$N$5:$N$20,Transacciones!$T$5:$T$20,E129,Transacciones!$F$5:$F$20,"&lt;"&amp;A129)*H129,0),0)</f>
        <v>0</v>
      </c>
      <c r="R129" s="11" t="str">
        <f>IF(COUNTIF(Entradas!$A$14:$A$17,A129)&gt;0,"sí","")</f>
        <v/>
      </c>
      <c r="S129" s="11" t="str">
        <f t="shared" si="9"/>
        <v>46287|Principal|BI261008|Casa A</v>
      </c>
    </row>
    <row r="130" spans="1:19" x14ac:dyDescent="0.3">
      <c r="A130" s="20">
        <v>46287</v>
      </c>
      <c r="B130" s="21" t="s">
        <v>94</v>
      </c>
      <c r="C130" s="21" t="s">
        <v>132</v>
      </c>
      <c r="D130" s="21" t="s">
        <v>113</v>
      </c>
      <c r="E130" s="11" t="str">
        <f t="shared" si="5"/>
        <v>Principal|BI261008|Casa B</v>
      </c>
      <c r="F130" s="11" t="str">
        <f>INDEX(Entradas!$C$40:$C$46,MATCH(C130,Entradas!$A$40:$A$46,0))</f>
        <v>cetes</v>
      </c>
      <c r="G130" s="15">
        <f>IF(F130="cetes",INDEX(Entradas!$F$40:$F$46,MATCH(C130,Entradas!$A$40:$A$46,0)),"")</f>
        <v>46303</v>
      </c>
      <c r="H130" s="17">
        <f>IF(F130="cetes",INDEX(Entradas!$G$40:$G$46,MATCH(C130,Entradas!$A$40:$A$46,0)),"")</f>
        <v>10</v>
      </c>
      <c r="I130" s="14">
        <f>IF(F130="cetes",IF(A130&gt;=G130,0,SUMIFS(Transacciones!$N$5:$N$20,Transacciones!$T$5:$T$20,E130,Transacciones!$F$5:$F$20,"&lt;="&amp;A130)),SUMIFS(Transacciones!$N$5:$N$20,Transacciones!$T$5:$T$20,E130,Transacciones!$F$5:$F$20,"&lt;="&amp;A130))</f>
        <v>1000</v>
      </c>
      <c r="J130" s="14">
        <f>_xlfn.MAXIFS(Transacciones!$U$5:$U$20,Transacciones!$T$5:$T$20,E130,Transacciones!$F$5:$F$20,"&lt;="&amp;A130)</f>
        <v>46275004</v>
      </c>
      <c r="K130" s="18">
        <f>IF(I130=0,0,INDEX(Transacciones!$Z$5:$Z$20,MATCH(J130,Transacciones!$U$5:$U$20,0)))</f>
        <v>9.9516239999999989</v>
      </c>
      <c r="L130" s="17">
        <f t="shared" si="6"/>
        <v>9951.6239999999998</v>
      </c>
      <c r="M130" s="15">
        <f>IF(F130="cetes",IF(COUNTIFS(CETES!$A$5:$A$95,A130,CETES!$B$5:$B$95,C130)=0,"",A130),SUMIFS(Precios!$K$5:$K$109,Precios!$I$5:$I$109,A130,Precios!$J$5:$J$109,C130))</f>
        <v>46287</v>
      </c>
      <c r="N130" s="18">
        <f>IF(F130="cetes",IF(COUNTIFS(CETES!$A$5:$A$95,A130,CETES!$B$5:$B$95,C130)=0,"",SUMIFS(CETES!$AF$5:$AF$95,CETES!$A$5:$A$95,A130,CETES!$B$5:$B$95,C130)),SUMIFS(Precios!$L$5:$L$109,Precios!$I$5:$I$109,A130,Precios!$J$5:$J$109,C130))</f>
        <v>9.9722992000000001</v>
      </c>
      <c r="O130" s="17">
        <f t="shared" si="7"/>
        <v>9972.2991999999995</v>
      </c>
      <c r="P130" s="17">
        <f t="shared" si="8"/>
        <v>20.675199999999677</v>
      </c>
      <c r="Q130" s="17">
        <f>IF(F130="cetes",IF(A130=G130,SUMIFS(Transacciones!$N$5:$N$20,Transacciones!$T$5:$T$20,E130,Transacciones!$F$5:$F$20,"&lt;"&amp;A130)*H130,0),0)</f>
        <v>0</v>
      </c>
      <c r="R130" s="11" t="str">
        <f>IF(COUNTIF(Entradas!$A$14:$A$17,A130)&gt;0,"sí","")</f>
        <v/>
      </c>
      <c r="S130" s="11" t="str">
        <f t="shared" si="9"/>
        <v>46287|Principal|BI261008|Casa B</v>
      </c>
    </row>
    <row r="131" spans="1:19" x14ac:dyDescent="0.3">
      <c r="A131" s="20">
        <v>46287</v>
      </c>
      <c r="B131" s="21" t="s">
        <v>94</v>
      </c>
      <c r="C131" s="21" t="s">
        <v>135</v>
      </c>
      <c r="D131" s="21" t="s">
        <v>113</v>
      </c>
      <c r="E131" s="11" t="str">
        <f t="shared" si="5"/>
        <v>Principal|BI261105|Casa B</v>
      </c>
      <c r="F131" s="11" t="str">
        <f>INDEX(Entradas!$C$40:$C$46,MATCH(C131,Entradas!$A$40:$A$46,0))</f>
        <v>cetes</v>
      </c>
      <c r="G131" s="15">
        <f>IF(F131="cetes",INDEX(Entradas!$F$40:$F$46,MATCH(C131,Entradas!$A$40:$A$46,0)),"")</f>
        <v>46331</v>
      </c>
      <c r="H131" s="17">
        <f>IF(F131="cetes",INDEX(Entradas!$G$40:$G$46,MATCH(C131,Entradas!$A$40:$A$46,0)),"")</f>
        <v>10</v>
      </c>
      <c r="I131" s="14">
        <f>IF(F131="cetes",IF(A131&gt;=G131,0,SUMIFS(Transacciones!$N$5:$N$20,Transacciones!$T$5:$T$20,E131,Transacciones!$F$5:$F$20,"&lt;="&amp;A131)),SUMIFS(Transacciones!$N$5:$N$20,Transacciones!$T$5:$T$20,E131,Transacciones!$F$5:$F$20,"&lt;="&amp;A131))</f>
        <v>0</v>
      </c>
      <c r="J131" s="14">
        <f>_xlfn.MAXIFS(Transacciones!$U$5:$U$20,Transacciones!$T$5:$T$20,E131,Transacciones!$F$5:$F$20,"&lt;="&amp;A131)</f>
        <v>0</v>
      </c>
      <c r="K131" s="18">
        <f>IF(I131=0,0,INDEX(Transacciones!$Z$5:$Z$20,MATCH(J131,Transacciones!$U$5:$U$20,0)))</f>
        <v>0</v>
      </c>
      <c r="L131" s="17">
        <f t="shared" si="6"/>
        <v>0</v>
      </c>
      <c r="M131" s="15" t="str">
        <f>IF(F131="cetes",IF(COUNTIFS(CETES!$A$5:$A$95,A131,CETES!$B$5:$B$95,C131)=0,"",A131),SUMIFS(Precios!$K$5:$K$109,Precios!$I$5:$I$109,A131,Precios!$J$5:$J$109,C131))</f>
        <v/>
      </c>
      <c r="N131" s="18" t="str">
        <f>IF(F131="cetes",IF(COUNTIFS(CETES!$A$5:$A$95,A131,CETES!$B$5:$B$95,C131)=0,"",SUMIFS(CETES!$AF$5:$AF$95,CETES!$A$5:$A$95,A131,CETES!$B$5:$B$95,C131)),SUMIFS(Precios!$L$5:$L$109,Precios!$I$5:$I$109,A131,Precios!$J$5:$J$109,C131))</f>
        <v/>
      </c>
      <c r="O131" s="17">
        <f t="shared" si="7"/>
        <v>0</v>
      </c>
      <c r="P131" s="17">
        <f t="shared" si="8"/>
        <v>0</v>
      </c>
      <c r="Q131" s="17">
        <f>IF(F131="cetes",IF(A131=G131,SUMIFS(Transacciones!$N$5:$N$20,Transacciones!$T$5:$T$20,E131,Transacciones!$F$5:$F$20,"&lt;"&amp;A131)*H131,0),0)</f>
        <v>0</v>
      </c>
      <c r="R131" s="11" t="str">
        <f>IF(COUNTIF(Entradas!$A$14:$A$17,A131)&gt;0,"sí","")</f>
        <v/>
      </c>
      <c r="S131" s="11" t="str">
        <f t="shared" si="9"/>
        <v>46287|Principal|BI261105|Casa B</v>
      </c>
    </row>
    <row r="132" spans="1:19" x14ac:dyDescent="0.3">
      <c r="A132" s="20">
        <v>46287</v>
      </c>
      <c r="B132" s="21" t="s">
        <v>94</v>
      </c>
      <c r="C132" s="21" t="s">
        <v>137</v>
      </c>
      <c r="D132" s="21" t="s">
        <v>112</v>
      </c>
      <c r="E132" s="11" t="str">
        <f t="shared" si="5"/>
        <v>Principal|BI261217|Casa A</v>
      </c>
      <c r="F132" s="11" t="str">
        <f>INDEX(Entradas!$C$40:$C$46,MATCH(C132,Entradas!$A$40:$A$46,0))</f>
        <v>cetes</v>
      </c>
      <c r="G132" s="15">
        <f>IF(F132="cetes",INDEX(Entradas!$F$40:$F$46,MATCH(C132,Entradas!$A$40:$A$46,0)),"")</f>
        <v>46373</v>
      </c>
      <c r="H132" s="17">
        <f>IF(F132="cetes",INDEX(Entradas!$G$40:$G$46,MATCH(C132,Entradas!$A$40:$A$46,0)),"")</f>
        <v>10</v>
      </c>
      <c r="I132" s="14">
        <f>IF(F132="cetes",IF(A132&gt;=G132,0,SUMIFS(Transacciones!$N$5:$N$20,Transacciones!$T$5:$T$20,E132,Transacciones!$F$5:$F$20,"&lt;="&amp;A132)),SUMIFS(Transacciones!$N$5:$N$20,Transacciones!$T$5:$T$20,E132,Transacciones!$F$5:$F$20,"&lt;="&amp;A132))</f>
        <v>1000</v>
      </c>
      <c r="J132" s="14">
        <f>_xlfn.MAXIFS(Transacciones!$U$5:$U$20,Transacciones!$T$5:$T$20,E132,Transacciones!$F$5:$F$20,"&lt;="&amp;A132)</f>
        <v>46282008</v>
      </c>
      <c r="K132" s="18">
        <f>IF(I132=0,0,INDEX(Transacciones!$Z$5:$Z$20,MATCH(J132,Transacciones!$U$5:$U$20,0)))</f>
        <v>9.8344372</v>
      </c>
      <c r="L132" s="17">
        <f t="shared" si="6"/>
        <v>9834.4372000000003</v>
      </c>
      <c r="M132" s="15">
        <f>IF(F132="cetes",IF(COUNTIFS(CETES!$A$5:$A$95,A132,CETES!$B$5:$B$95,C132)=0,"",A132),SUMIFS(Precios!$K$5:$K$109,Precios!$I$5:$I$109,A132,Precios!$J$5:$J$109,C132))</f>
        <v>46287</v>
      </c>
      <c r="N132" s="18">
        <f>IF(F132="cetes",IF(COUNTIFS(CETES!$A$5:$A$95,A132,CETES!$B$5:$B$95,C132)=0,"",SUMIFS(CETES!$AF$5:$AF$95,CETES!$A$5:$A$95,A132,CETES!$B$5:$B$95,C132)),SUMIFS(Precios!$L$5:$L$109,Precios!$I$5:$I$109,A132,Precios!$J$5:$J$109,C132))</f>
        <v>9.8441448999999999</v>
      </c>
      <c r="O132" s="17">
        <f t="shared" si="7"/>
        <v>9844.1448999999993</v>
      </c>
      <c r="P132" s="17">
        <f t="shared" si="8"/>
        <v>9.7076999999990221</v>
      </c>
      <c r="Q132" s="17">
        <f>IF(F132="cetes",IF(A132=G132,SUMIFS(Transacciones!$N$5:$N$20,Transacciones!$T$5:$T$20,E132,Transacciones!$F$5:$F$20,"&lt;"&amp;A132)*H132,0),0)</f>
        <v>0</v>
      </c>
      <c r="R132" s="11" t="str">
        <f>IF(COUNTIF(Entradas!$A$14:$A$17,A132)&gt;0,"sí","")</f>
        <v/>
      </c>
      <c r="S132" s="11" t="str">
        <f t="shared" si="9"/>
        <v>46287|Principal|BI261217|Casa A</v>
      </c>
    </row>
    <row r="133" spans="1:19" x14ac:dyDescent="0.3">
      <c r="A133" s="20">
        <v>46287</v>
      </c>
      <c r="B133" s="21" t="s">
        <v>94</v>
      </c>
      <c r="C133" s="21" t="s">
        <v>139</v>
      </c>
      <c r="D133" s="21" t="s">
        <v>113</v>
      </c>
      <c r="E133" s="11" t="str">
        <f t="shared" ref="E133:E196" si="10">B133&amp;"|"&amp;C133&amp;"|"&amp;D133</f>
        <v>Principal|BI270318|Casa B</v>
      </c>
      <c r="F133" s="11" t="str">
        <f>INDEX(Entradas!$C$40:$C$46,MATCH(C133,Entradas!$A$40:$A$46,0))</f>
        <v>cetes</v>
      </c>
      <c r="G133" s="15">
        <f>IF(F133="cetes",INDEX(Entradas!$F$40:$F$46,MATCH(C133,Entradas!$A$40:$A$46,0)),"")</f>
        <v>46464</v>
      </c>
      <c r="H133" s="17">
        <f>IF(F133="cetes",INDEX(Entradas!$G$40:$G$46,MATCH(C133,Entradas!$A$40:$A$46,0)),"")</f>
        <v>10</v>
      </c>
      <c r="I133" s="14">
        <f>IF(F133="cetes",IF(A133&gt;=G133,0,SUMIFS(Transacciones!$N$5:$N$20,Transacciones!$T$5:$T$20,E133,Transacciones!$F$5:$F$20,"&lt;="&amp;A133)),SUMIFS(Transacciones!$N$5:$N$20,Transacciones!$T$5:$T$20,E133,Transacciones!$F$5:$F$20,"&lt;="&amp;A133))</f>
        <v>500</v>
      </c>
      <c r="J133" s="14">
        <f>_xlfn.MAXIFS(Transacciones!$U$5:$U$20,Transacciones!$T$5:$T$20,E133,Transacciones!$F$5:$F$20,"&lt;="&amp;A133)</f>
        <v>46282009</v>
      </c>
      <c r="K133" s="18">
        <f>IF(I133=0,0,INDEX(Transacciones!$Z$5:$Z$20,MATCH(J133,Transacciones!$U$5:$U$20,0)))</f>
        <v>9.6629249999999995</v>
      </c>
      <c r="L133" s="17">
        <f t="shared" ref="L133:L196" si="11">I133*K133</f>
        <v>4831.4624999999996</v>
      </c>
      <c r="M133" s="15">
        <f>IF(F133="cetes",IF(COUNTIFS(CETES!$A$5:$A$95,A133,CETES!$B$5:$B$95,C133)=0,"",A133),SUMIFS(Precios!$K$5:$K$109,Precios!$I$5:$I$109,A133,Precios!$J$5:$J$109,C133))</f>
        <v>46287</v>
      </c>
      <c r="N133" s="18">
        <f>IF(F133="cetes",IF(COUNTIFS(CETES!$A$5:$A$95,A133,CETES!$B$5:$B$95,C133)=0,"",SUMIFS(CETES!$AF$5:$AF$95,CETES!$A$5:$A$95,A133,CETES!$B$5:$B$95,C133)),SUMIFS(Precios!$L$5:$L$109,Precios!$I$5:$I$109,A133,Precios!$J$5:$J$109,C133))</f>
        <v>9.6724879999999995</v>
      </c>
      <c r="O133" s="17">
        <f t="shared" ref="O133:O196" si="12">IF(I133=0,0,I133*N133)</f>
        <v>4836.2439999999997</v>
      </c>
      <c r="P133" s="17">
        <f t="shared" ref="P133:P196" si="13">O133-L133</f>
        <v>4.7815000000000509</v>
      </c>
      <c r="Q133" s="17">
        <f>IF(F133="cetes",IF(A133=G133,SUMIFS(Transacciones!$N$5:$N$20,Transacciones!$T$5:$T$20,E133,Transacciones!$F$5:$F$20,"&lt;"&amp;A133)*H133,0),0)</f>
        <v>0</v>
      </c>
      <c r="R133" s="11" t="str">
        <f>IF(COUNTIF(Entradas!$A$14:$A$17,A133)&gt;0,"sí","")</f>
        <v/>
      </c>
      <c r="S133" s="11" t="str">
        <f t="shared" ref="S133:S196" si="14">A133&amp;"|"&amp;E133</f>
        <v>46287|Principal|BI270318|Casa B</v>
      </c>
    </row>
    <row r="134" spans="1:19" x14ac:dyDescent="0.3">
      <c r="A134" s="20">
        <v>46287</v>
      </c>
      <c r="B134" s="21" t="s">
        <v>103</v>
      </c>
      <c r="C134" s="21" t="s">
        <v>123</v>
      </c>
      <c r="D134" s="21" t="s">
        <v>112</v>
      </c>
      <c r="E134" s="11" t="str">
        <f t="shared" si="10"/>
        <v>Secundario|DEMOACC|Casa A</v>
      </c>
      <c r="F134" s="11" t="str">
        <f>INDEX(Entradas!$C$40:$C$46,MATCH(C134,Entradas!$A$40:$A$46,0))</f>
        <v>accion</v>
      </c>
      <c r="G134" s="15" t="str">
        <f>IF(F134="cetes",INDEX(Entradas!$F$40:$F$46,MATCH(C134,Entradas!$A$40:$A$46,0)),"")</f>
        <v/>
      </c>
      <c r="H134" s="17" t="str">
        <f>IF(F134="cetes",INDEX(Entradas!$G$40:$G$46,MATCH(C134,Entradas!$A$40:$A$46,0)),"")</f>
        <v/>
      </c>
      <c r="I134" s="14">
        <f>IF(F134="cetes",IF(A134&gt;=G134,0,SUMIFS(Transacciones!$N$5:$N$20,Transacciones!$T$5:$T$20,E134,Transacciones!$F$5:$F$20,"&lt;="&amp;A134)),SUMIFS(Transacciones!$N$5:$N$20,Transacciones!$T$5:$T$20,E134,Transacciones!$F$5:$F$20,"&lt;="&amp;A134))</f>
        <v>150</v>
      </c>
      <c r="J134" s="14">
        <f>_xlfn.MAXIFS(Transacciones!$U$5:$U$20,Transacciones!$T$5:$T$20,E134,Transacciones!$F$5:$F$20,"&lt;="&amp;A134)</f>
        <v>46279007</v>
      </c>
      <c r="K134" s="18">
        <f>IF(I134=0,0,INDEX(Transacciones!$Z$5:$Z$20,MATCH(J134,Transacciones!$U$5:$U$20,0)))</f>
        <v>103.90046666666666</v>
      </c>
      <c r="L134" s="17">
        <f t="shared" si="11"/>
        <v>15585.07</v>
      </c>
      <c r="M134" s="15">
        <f>IF(F134="cetes",IF(COUNTIFS(CETES!$A$5:$A$95,A134,CETES!$B$5:$B$95,C134)=0,"",A134),SUMIFS(Precios!$K$5:$K$109,Precios!$I$5:$I$109,A134,Precios!$J$5:$J$109,C134))</f>
        <v>46287</v>
      </c>
      <c r="N134" s="18">
        <f>IF(F134="cetes",IF(COUNTIFS(CETES!$A$5:$A$95,A134,CETES!$B$5:$B$95,C134)=0,"",SUMIFS(CETES!$AF$5:$AF$95,CETES!$A$5:$A$95,A134,CETES!$B$5:$B$95,C134)),SUMIFS(Precios!$L$5:$L$109,Precios!$I$5:$I$109,A134,Precios!$J$5:$J$109,C134))</f>
        <v>92.15</v>
      </c>
      <c r="O134" s="17">
        <f t="shared" si="12"/>
        <v>13822.5</v>
      </c>
      <c r="P134" s="17">
        <f t="shared" si="13"/>
        <v>-1762.5699999999997</v>
      </c>
      <c r="Q134" s="17">
        <f>IF(F134="cetes",IF(A134=G134,SUMIFS(Transacciones!$N$5:$N$20,Transacciones!$T$5:$T$20,E134,Transacciones!$F$5:$F$20,"&lt;"&amp;A134)*H134,0),0)</f>
        <v>0</v>
      </c>
      <c r="R134" s="11" t="str">
        <f>IF(COUNTIF(Entradas!$A$14:$A$17,A134)&gt;0,"sí","")</f>
        <v/>
      </c>
      <c r="S134" s="11" t="str">
        <f t="shared" si="14"/>
        <v>46287|Secundario|DEMOACC|Casa A</v>
      </c>
    </row>
    <row r="135" spans="1:19" x14ac:dyDescent="0.3">
      <c r="A135" s="20">
        <v>46288</v>
      </c>
      <c r="B135" s="21" t="s">
        <v>94</v>
      </c>
      <c r="C135" s="21" t="s">
        <v>123</v>
      </c>
      <c r="D135" s="21" t="s">
        <v>112</v>
      </c>
      <c r="E135" s="11" t="str">
        <f t="shared" si="10"/>
        <v>Principal|DEMOACC|Casa A</v>
      </c>
      <c r="F135" s="11" t="str">
        <f>INDEX(Entradas!$C$40:$C$46,MATCH(C135,Entradas!$A$40:$A$46,0))</f>
        <v>accion</v>
      </c>
      <c r="G135" s="15" t="str">
        <f>IF(F135="cetes",INDEX(Entradas!$F$40:$F$46,MATCH(C135,Entradas!$A$40:$A$46,0)),"")</f>
        <v/>
      </c>
      <c r="H135" s="17" t="str">
        <f>IF(F135="cetes",INDEX(Entradas!$G$40:$G$46,MATCH(C135,Entradas!$A$40:$A$46,0)),"")</f>
        <v/>
      </c>
      <c r="I135" s="14">
        <f>IF(F135="cetes",IF(A135&gt;=G135,0,SUMIFS(Transacciones!$N$5:$N$20,Transacciones!$T$5:$T$20,E135,Transacciones!$F$5:$F$20,"&lt;="&amp;A135)),SUMIFS(Transacciones!$N$5:$N$20,Transacciones!$T$5:$T$20,E135,Transacciones!$F$5:$F$20,"&lt;="&amp;A135))</f>
        <v>200</v>
      </c>
      <c r="J135" s="14">
        <f>_xlfn.MAXIFS(Transacciones!$U$5:$U$20,Transacciones!$T$5:$T$20,E135,Transacciones!$F$5:$F$20,"&lt;="&amp;A135)</f>
        <v>46275001</v>
      </c>
      <c r="K135" s="18">
        <f>IF(I135=0,0,INDEX(Transacciones!$Z$5:$Z$20,MATCH(J135,Transacciones!$U$5:$U$20,0)))</f>
        <v>100.23985</v>
      </c>
      <c r="L135" s="17">
        <f t="shared" si="11"/>
        <v>20047.97</v>
      </c>
      <c r="M135" s="15">
        <f>IF(F135="cetes",IF(COUNTIFS(CETES!$A$5:$A$95,A135,CETES!$B$5:$B$95,C135)=0,"",A135),SUMIFS(Precios!$K$5:$K$109,Precios!$I$5:$I$109,A135,Precios!$J$5:$J$109,C135))</f>
        <v>46288</v>
      </c>
      <c r="N135" s="18">
        <f>IF(F135="cetes",IF(COUNTIFS(CETES!$A$5:$A$95,A135,CETES!$B$5:$B$95,C135)=0,"",SUMIFS(CETES!$AF$5:$AF$95,CETES!$A$5:$A$95,A135,CETES!$B$5:$B$95,C135)),SUMIFS(Precios!$L$5:$L$109,Precios!$I$5:$I$109,A135,Precios!$J$5:$J$109,C135))</f>
        <v>90.424999999999997</v>
      </c>
      <c r="O135" s="17">
        <f t="shared" si="12"/>
        <v>18085</v>
      </c>
      <c r="P135" s="17">
        <f t="shared" si="13"/>
        <v>-1962.9700000000012</v>
      </c>
      <c r="Q135" s="17">
        <f>IF(F135="cetes",IF(A135=G135,SUMIFS(Transacciones!$N$5:$N$20,Transacciones!$T$5:$T$20,E135,Transacciones!$F$5:$F$20,"&lt;"&amp;A135)*H135,0),0)</f>
        <v>0</v>
      </c>
      <c r="R135" s="11" t="str">
        <f>IF(COUNTIF(Entradas!$A$14:$A$17,A135)&gt;0,"sí","")</f>
        <v/>
      </c>
      <c r="S135" s="11" t="str">
        <f t="shared" si="14"/>
        <v>46288|Principal|DEMOACC|Casa A</v>
      </c>
    </row>
    <row r="136" spans="1:19" x14ac:dyDescent="0.3">
      <c r="A136" s="20">
        <v>46288</v>
      </c>
      <c r="B136" s="21" t="s">
        <v>94</v>
      </c>
      <c r="C136" s="21" t="s">
        <v>123</v>
      </c>
      <c r="D136" s="21" t="s">
        <v>113</v>
      </c>
      <c r="E136" s="11" t="str">
        <f t="shared" si="10"/>
        <v>Principal|DEMOACC|Casa B</v>
      </c>
      <c r="F136" s="11" t="str">
        <f>INDEX(Entradas!$C$40:$C$46,MATCH(C136,Entradas!$A$40:$A$46,0))</f>
        <v>accion</v>
      </c>
      <c r="G136" s="15" t="str">
        <f>IF(F136="cetes",INDEX(Entradas!$F$40:$F$46,MATCH(C136,Entradas!$A$40:$A$46,0)),"")</f>
        <v/>
      </c>
      <c r="H136" s="17" t="str">
        <f>IF(F136="cetes",INDEX(Entradas!$G$40:$G$46,MATCH(C136,Entradas!$A$40:$A$46,0)),"")</f>
        <v/>
      </c>
      <c r="I136" s="14">
        <f>IF(F136="cetes",IF(A136&gt;=G136,0,SUMIFS(Transacciones!$N$5:$N$20,Transacciones!$T$5:$T$20,E136,Transacciones!$F$5:$F$20,"&lt;="&amp;A136)),SUMIFS(Transacciones!$N$5:$N$20,Transacciones!$T$5:$T$20,E136,Transacciones!$F$5:$F$20,"&lt;="&amp;A136))</f>
        <v>100</v>
      </c>
      <c r="J136" s="14">
        <f>_xlfn.MAXIFS(Transacciones!$U$5:$U$20,Transacciones!$T$5:$T$20,E136,Transacciones!$F$5:$F$20,"&lt;="&amp;A136)</f>
        <v>46279006</v>
      </c>
      <c r="K136" s="18">
        <f>IF(I136=0,0,INDEX(Transacciones!$Z$5:$Z$20,MATCH(J136,Transacciones!$U$5:$U$20,0)))</f>
        <v>103.399</v>
      </c>
      <c r="L136" s="17">
        <f t="shared" si="11"/>
        <v>10339.9</v>
      </c>
      <c r="M136" s="15">
        <f>IF(F136="cetes",IF(COUNTIFS(CETES!$A$5:$A$95,A136,CETES!$B$5:$B$95,C136)=0,"",A136),SUMIFS(Precios!$K$5:$K$109,Precios!$I$5:$I$109,A136,Precios!$J$5:$J$109,C136))</f>
        <v>46288</v>
      </c>
      <c r="N136" s="18">
        <f>IF(F136="cetes",IF(COUNTIFS(CETES!$A$5:$A$95,A136,CETES!$B$5:$B$95,C136)=0,"",SUMIFS(CETES!$AF$5:$AF$95,CETES!$A$5:$A$95,A136,CETES!$B$5:$B$95,C136)),SUMIFS(Precios!$L$5:$L$109,Precios!$I$5:$I$109,A136,Precios!$J$5:$J$109,C136))</f>
        <v>90.424999999999997</v>
      </c>
      <c r="O136" s="17">
        <f t="shared" si="12"/>
        <v>9042.5</v>
      </c>
      <c r="P136" s="17">
        <f t="shared" si="13"/>
        <v>-1297.3999999999996</v>
      </c>
      <c r="Q136" s="17">
        <f>IF(F136="cetes",IF(A136=G136,SUMIFS(Transacciones!$N$5:$N$20,Transacciones!$T$5:$T$20,E136,Transacciones!$F$5:$F$20,"&lt;"&amp;A136)*H136,0),0)</f>
        <v>0</v>
      </c>
      <c r="R136" s="11" t="str">
        <f>IF(COUNTIF(Entradas!$A$14:$A$17,A136)&gt;0,"sí","")</f>
        <v/>
      </c>
      <c r="S136" s="11" t="str">
        <f t="shared" si="14"/>
        <v>46288|Principal|DEMOACC|Casa B</v>
      </c>
    </row>
    <row r="137" spans="1:19" x14ac:dyDescent="0.3">
      <c r="A137" s="20">
        <v>46288</v>
      </c>
      <c r="B137" s="21" t="s">
        <v>94</v>
      </c>
      <c r="C137" s="21" t="s">
        <v>126</v>
      </c>
      <c r="D137" s="21" t="s">
        <v>113</v>
      </c>
      <c r="E137" s="11" t="str">
        <f t="shared" si="10"/>
        <v>Principal|DEMOETF|Casa B</v>
      </c>
      <c r="F137" s="11" t="str">
        <f>INDEX(Entradas!$C$40:$C$46,MATCH(C137,Entradas!$A$40:$A$46,0))</f>
        <v>etf</v>
      </c>
      <c r="G137" s="15" t="str">
        <f>IF(F137="cetes",INDEX(Entradas!$F$40:$F$46,MATCH(C137,Entradas!$A$40:$A$46,0)),"")</f>
        <v/>
      </c>
      <c r="H137" s="17" t="str">
        <f>IF(F137="cetes",INDEX(Entradas!$G$40:$G$46,MATCH(C137,Entradas!$A$40:$A$46,0)),"")</f>
        <v/>
      </c>
      <c r="I137" s="14">
        <f>IF(F137="cetes",IF(A137&gt;=G137,0,SUMIFS(Transacciones!$N$5:$N$20,Transacciones!$T$5:$T$20,E137,Transacciones!$F$5:$F$20,"&lt;="&amp;A137)),SUMIFS(Transacciones!$N$5:$N$20,Transacciones!$T$5:$T$20,E137,Transacciones!$F$5:$F$20,"&lt;="&amp;A137))</f>
        <v>100</v>
      </c>
      <c r="J137" s="14">
        <f>_xlfn.MAXIFS(Transacciones!$U$5:$U$20,Transacciones!$T$5:$T$20,E137,Transacciones!$F$5:$F$20,"&lt;="&amp;A137)</f>
        <v>46275002</v>
      </c>
      <c r="K137" s="18">
        <f>IF(I137=0,0,INDEX(Transacciones!$Z$5:$Z$20,MATCH(J137,Transacciones!$U$5:$U$20,0)))</f>
        <v>50.195100000000004</v>
      </c>
      <c r="L137" s="17">
        <f t="shared" si="11"/>
        <v>5019.51</v>
      </c>
      <c r="M137" s="15">
        <f>IF(F137="cetes",IF(COUNTIFS(CETES!$A$5:$A$95,A137,CETES!$B$5:$B$95,C137)=0,"",A137),SUMIFS(Precios!$K$5:$K$109,Precios!$I$5:$I$109,A137,Precios!$J$5:$J$109,C137))</f>
        <v>46288</v>
      </c>
      <c r="N137" s="18">
        <f>IF(F137="cetes",IF(COUNTIFS(CETES!$A$5:$A$95,A137,CETES!$B$5:$B$95,C137)=0,"",SUMIFS(CETES!$AF$5:$AF$95,CETES!$A$5:$A$95,A137,CETES!$B$5:$B$95,C137)),SUMIFS(Precios!$L$5:$L$109,Precios!$I$5:$I$109,A137,Precios!$J$5:$J$109,C137))</f>
        <v>46.15</v>
      </c>
      <c r="O137" s="17">
        <f t="shared" si="12"/>
        <v>4615</v>
      </c>
      <c r="P137" s="17">
        <f t="shared" si="13"/>
        <v>-404.51000000000022</v>
      </c>
      <c r="Q137" s="17">
        <f>IF(F137="cetes",IF(A137=G137,SUMIFS(Transacciones!$N$5:$N$20,Transacciones!$T$5:$T$20,E137,Transacciones!$F$5:$F$20,"&lt;"&amp;A137)*H137,0),0)</f>
        <v>0</v>
      </c>
      <c r="R137" s="11" t="str">
        <f>IF(COUNTIF(Entradas!$A$14:$A$17,A137)&gt;0,"sí","")</f>
        <v/>
      </c>
      <c r="S137" s="11" t="str">
        <f t="shared" si="14"/>
        <v>46288|Principal|DEMOETF|Casa B</v>
      </c>
    </row>
    <row r="138" spans="1:19" x14ac:dyDescent="0.3">
      <c r="A138" s="20">
        <v>46288</v>
      </c>
      <c r="B138" s="21" t="s">
        <v>94</v>
      </c>
      <c r="C138" s="21" t="s">
        <v>129</v>
      </c>
      <c r="D138" s="21" t="s">
        <v>112</v>
      </c>
      <c r="E138" s="11" t="str">
        <f t="shared" si="10"/>
        <v>Principal|DEMOFIB|Casa A</v>
      </c>
      <c r="F138" s="11" t="str">
        <f>INDEX(Entradas!$C$40:$C$46,MATCH(C138,Entradas!$A$40:$A$46,0))</f>
        <v>fibra</v>
      </c>
      <c r="G138" s="15" t="str">
        <f>IF(F138="cetes",INDEX(Entradas!$F$40:$F$46,MATCH(C138,Entradas!$A$40:$A$46,0)),"")</f>
        <v/>
      </c>
      <c r="H138" s="17" t="str">
        <f>IF(F138="cetes",INDEX(Entradas!$G$40:$G$46,MATCH(C138,Entradas!$A$40:$A$46,0)),"")</f>
        <v/>
      </c>
      <c r="I138" s="14">
        <f>IF(F138="cetes",IF(A138&gt;=G138,0,SUMIFS(Transacciones!$N$5:$N$20,Transacciones!$T$5:$T$20,E138,Transacciones!$F$5:$F$20,"&lt;="&amp;A138)),SUMIFS(Transacciones!$N$5:$N$20,Transacciones!$T$5:$T$20,E138,Transacciones!$F$5:$F$20,"&lt;="&amp;A138))</f>
        <v>0</v>
      </c>
      <c r="J138" s="14">
        <f>_xlfn.MAXIFS(Transacciones!$U$5:$U$20,Transacciones!$T$5:$T$20,E138,Transacciones!$F$5:$F$20,"&lt;="&amp;A138)</f>
        <v>46287510</v>
      </c>
      <c r="K138" s="18">
        <f>IF(I138=0,0,INDEX(Transacciones!$Z$5:$Z$20,MATCH(J138,Transacciones!$U$5:$U$20,0)))</f>
        <v>0</v>
      </c>
      <c r="L138" s="17">
        <f t="shared" si="11"/>
        <v>0</v>
      </c>
      <c r="M138" s="15">
        <f>IF(F138="cetes",IF(COUNTIFS(CETES!$A$5:$A$95,A138,CETES!$B$5:$B$95,C138)=0,"",A138),SUMIFS(Precios!$K$5:$K$109,Precios!$I$5:$I$109,A138,Precios!$J$5:$J$109,C138))</f>
        <v>46288</v>
      </c>
      <c r="N138" s="18">
        <f>IF(F138="cetes",IF(COUNTIFS(CETES!$A$5:$A$95,A138,CETES!$B$5:$B$95,C138)=0,"",SUMIFS(CETES!$AF$5:$AF$95,CETES!$A$5:$A$95,A138,CETES!$B$5:$B$95,C138)),SUMIFS(Precios!$L$5:$L$109,Precios!$I$5:$I$109,A138,Precios!$J$5:$J$109,C138))</f>
        <v>22.85</v>
      </c>
      <c r="O138" s="17">
        <f t="shared" si="12"/>
        <v>0</v>
      </c>
      <c r="P138" s="17">
        <f t="shared" si="13"/>
        <v>0</v>
      </c>
      <c r="Q138" s="17">
        <f>IF(F138="cetes",IF(A138=G138,SUMIFS(Transacciones!$N$5:$N$20,Transacciones!$T$5:$T$20,E138,Transacciones!$F$5:$F$20,"&lt;"&amp;A138)*H138,0),0)</f>
        <v>0</v>
      </c>
      <c r="R138" s="11" t="str">
        <f>IF(COUNTIF(Entradas!$A$14:$A$17,A138)&gt;0,"sí","")</f>
        <v/>
      </c>
      <c r="S138" s="11" t="str">
        <f t="shared" si="14"/>
        <v>46288|Principal|DEMOFIB|Casa A</v>
      </c>
    </row>
    <row r="139" spans="1:19" x14ac:dyDescent="0.3">
      <c r="A139" s="20">
        <v>46288</v>
      </c>
      <c r="B139" s="21" t="s">
        <v>94</v>
      </c>
      <c r="C139" s="21" t="s">
        <v>132</v>
      </c>
      <c r="D139" s="21" t="s">
        <v>112</v>
      </c>
      <c r="E139" s="11" t="str">
        <f t="shared" si="10"/>
        <v>Principal|BI261008|Casa A</v>
      </c>
      <c r="F139" s="11" t="str">
        <f>INDEX(Entradas!$C$40:$C$46,MATCH(C139,Entradas!$A$40:$A$46,0))</f>
        <v>cetes</v>
      </c>
      <c r="G139" s="15">
        <f>IF(F139="cetes",INDEX(Entradas!$F$40:$F$46,MATCH(C139,Entradas!$A$40:$A$46,0)),"")</f>
        <v>46303</v>
      </c>
      <c r="H139" s="17">
        <f>IF(F139="cetes",INDEX(Entradas!$G$40:$G$46,MATCH(C139,Entradas!$A$40:$A$46,0)),"")</f>
        <v>10</v>
      </c>
      <c r="I139" s="14">
        <f>IF(F139="cetes",IF(A139&gt;=G139,0,SUMIFS(Transacciones!$N$5:$N$20,Transacciones!$T$5:$T$20,E139,Transacciones!$F$5:$F$20,"&lt;="&amp;A139)),SUMIFS(Transacciones!$N$5:$N$20,Transacciones!$T$5:$T$20,E139,Transacciones!$F$5:$F$20,"&lt;="&amp;A139))</f>
        <v>1500</v>
      </c>
      <c r="J139" s="14">
        <f>_xlfn.MAXIFS(Transacciones!$U$5:$U$20,Transacciones!$T$5:$T$20,E139,Transacciones!$F$5:$F$20,"&lt;="&amp;A139)</f>
        <v>46275003</v>
      </c>
      <c r="K139" s="18">
        <f>IF(I139=0,0,INDEX(Transacciones!$Z$5:$Z$20,MATCH(J139,Transacciones!$U$5:$U$20,0)))</f>
        <v>9.9516240000000007</v>
      </c>
      <c r="L139" s="17">
        <f t="shared" si="11"/>
        <v>14927.436000000002</v>
      </c>
      <c r="M139" s="15">
        <f>IF(F139="cetes",IF(COUNTIFS(CETES!$A$5:$A$95,A139,CETES!$B$5:$B$95,C139)=0,"",A139),SUMIFS(Precios!$K$5:$K$109,Precios!$I$5:$I$109,A139,Precios!$J$5:$J$109,C139))</f>
        <v>46288</v>
      </c>
      <c r="N139" s="18">
        <f>IF(F139="cetes",IF(COUNTIFS(CETES!$A$5:$A$95,A139,CETES!$B$5:$B$95,C139)=0,"",SUMIFS(CETES!$AF$5:$AF$95,CETES!$A$5:$A$95,A139,CETES!$B$5:$B$95,C139)),SUMIFS(Precios!$L$5:$L$109,Precios!$I$5:$I$109,A139,Precios!$J$5:$J$109,C139))</f>
        <v>9.9740260000000003</v>
      </c>
      <c r="O139" s="17">
        <f t="shared" si="12"/>
        <v>14961.039000000001</v>
      </c>
      <c r="P139" s="17">
        <f t="shared" si="13"/>
        <v>33.602999999999156</v>
      </c>
      <c r="Q139" s="17">
        <f>IF(F139="cetes",IF(A139=G139,SUMIFS(Transacciones!$N$5:$N$20,Transacciones!$T$5:$T$20,E139,Transacciones!$F$5:$F$20,"&lt;"&amp;A139)*H139,0),0)</f>
        <v>0</v>
      </c>
      <c r="R139" s="11" t="str">
        <f>IF(COUNTIF(Entradas!$A$14:$A$17,A139)&gt;0,"sí","")</f>
        <v/>
      </c>
      <c r="S139" s="11" t="str">
        <f t="shared" si="14"/>
        <v>46288|Principal|BI261008|Casa A</v>
      </c>
    </row>
    <row r="140" spans="1:19" x14ac:dyDescent="0.3">
      <c r="A140" s="20">
        <v>46288</v>
      </c>
      <c r="B140" s="21" t="s">
        <v>94</v>
      </c>
      <c r="C140" s="21" t="s">
        <v>132</v>
      </c>
      <c r="D140" s="21" t="s">
        <v>113</v>
      </c>
      <c r="E140" s="11" t="str">
        <f t="shared" si="10"/>
        <v>Principal|BI261008|Casa B</v>
      </c>
      <c r="F140" s="11" t="str">
        <f>INDEX(Entradas!$C$40:$C$46,MATCH(C140,Entradas!$A$40:$A$46,0))</f>
        <v>cetes</v>
      </c>
      <c r="G140" s="15">
        <f>IF(F140="cetes",INDEX(Entradas!$F$40:$F$46,MATCH(C140,Entradas!$A$40:$A$46,0)),"")</f>
        <v>46303</v>
      </c>
      <c r="H140" s="17">
        <f>IF(F140="cetes",INDEX(Entradas!$G$40:$G$46,MATCH(C140,Entradas!$A$40:$A$46,0)),"")</f>
        <v>10</v>
      </c>
      <c r="I140" s="14">
        <f>IF(F140="cetes",IF(A140&gt;=G140,0,SUMIFS(Transacciones!$N$5:$N$20,Transacciones!$T$5:$T$20,E140,Transacciones!$F$5:$F$20,"&lt;="&amp;A140)),SUMIFS(Transacciones!$N$5:$N$20,Transacciones!$T$5:$T$20,E140,Transacciones!$F$5:$F$20,"&lt;="&amp;A140))</f>
        <v>1000</v>
      </c>
      <c r="J140" s="14">
        <f>_xlfn.MAXIFS(Transacciones!$U$5:$U$20,Transacciones!$T$5:$T$20,E140,Transacciones!$F$5:$F$20,"&lt;="&amp;A140)</f>
        <v>46275004</v>
      </c>
      <c r="K140" s="18">
        <f>IF(I140=0,0,INDEX(Transacciones!$Z$5:$Z$20,MATCH(J140,Transacciones!$U$5:$U$20,0)))</f>
        <v>9.9516239999999989</v>
      </c>
      <c r="L140" s="17">
        <f t="shared" si="11"/>
        <v>9951.6239999999998</v>
      </c>
      <c r="M140" s="15">
        <f>IF(F140="cetes",IF(COUNTIFS(CETES!$A$5:$A$95,A140,CETES!$B$5:$B$95,C140)=0,"",A140),SUMIFS(Precios!$K$5:$K$109,Precios!$I$5:$I$109,A140,Precios!$J$5:$J$109,C140))</f>
        <v>46288</v>
      </c>
      <c r="N140" s="18">
        <f>IF(F140="cetes",IF(COUNTIFS(CETES!$A$5:$A$95,A140,CETES!$B$5:$B$95,C140)=0,"",SUMIFS(CETES!$AF$5:$AF$95,CETES!$A$5:$A$95,A140,CETES!$B$5:$B$95,C140)),SUMIFS(Precios!$L$5:$L$109,Precios!$I$5:$I$109,A140,Precios!$J$5:$J$109,C140))</f>
        <v>9.9740260000000003</v>
      </c>
      <c r="O140" s="17">
        <f t="shared" si="12"/>
        <v>9974.0259999999998</v>
      </c>
      <c r="P140" s="17">
        <f t="shared" si="13"/>
        <v>22.402000000000044</v>
      </c>
      <c r="Q140" s="17">
        <f>IF(F140="cetes",IF(A140=G140,SUMIFS(Transacciones!$N$5:$N$20,Transacciones!$T$5:$T$20,E140,Transacciones!$F$5:$F$20,"&lt;"&amp;A140)*H140,0),0)</f>
        <v>0</v>
      </c>
      <c r="R140" s="11" t="str">
        <f>IF(COUNTIF(Entradas!$A$14:$A$17,A140)&gt;0,"sí","")</f>
        <v/>
      </c>
      <c r="S140" s="11" t="str">
        <f t="shared" si="14"/>
        <v>46288|Principal|BI261008|Casa B</v>
      </c>
    </row>
    <row r="141" spans="1:19" x14ac:dyDescent="0.3">
      <c r="A141" s="20">
        <v>46288</v>
      </c>
      <c r="B141" s="21" t="s">
        <v>94</v>
      </c>
      <c r="C141" s="21" t="s">
        <v>135</v>
      </c>
      <c r="D141" s="21" t="s">
        <v>113</v>
      </c>
      <c r="E141" s="11" t="str">
        <f t="shared" si="10"/>
        <v>Principal|BI261105|Casa B</v>
      </c>
      <c r="F141" s="11" t="str">
        <f>INDEX(Entradas!$C$40:$C$46,MATCH(C141,Entradas!$A$40:$A$46,0))</f>
        <v>cetes</v>
      </c>
      <c r="G141" s="15">
        <f>IF(F141="cetes",INDEX(Entradas!$F$40:$F$46,MATCH(C141,Entradas!$A$40:$A$46,0)),"")</f>
        <v>46331</v>
      </c>
      <c r="H141" s="17">
        <f>IF(F141="cetes",INDEX(Entradas!$G$40:$G$46,MATCH(C141,Entradas!$A$40:$A$46,0)),"")</f>
        <v>10</v>
      </c>
      <c r="I141" s="14">
        <f>IF(F141="cetes",IF(A141&gt;=G141,0,SUMIFS(Transacciones!$N$5:$N$20,Transacciones!$T$5:$T$20,E141,Transacciones!$F$5:$F$20,"&lt;="&amp;A141)),SUMIFS(Transacciones!$N$5:$N$20,Transacciones!$T$5:$T$20,E141,Transacciones!$F$5:$F$20,"&lt;="&amp;A141))</f>
        <v>0</v>
      </c>
      <c r="J141" s="14">
        <f>_xlfn.MAXIFS(Transacciones!$U$5:$U$20,Transacciones!$T$5:$T$20,E141,Transacciones!$F$5:$F$20,"&lt;="&amp;A141)</f>
        <v>0</v>
      </c>
      <c r="K141" s="18">
        <f>IF(I141=0,0,INDEX(Transacciones!$Z$5:$Z$20,MATCH(J141,Transacciones!$U$5:$U$20,0)))</f>
        <v>0</v>
      </c>
      <c r="L141" s="17">
        <f t="shared" si="11"/>
        <v>0</v>
      </c>
      <c r="M141" s="15" t="str">
        <f>IF(F141="cetes",IF(COUNTIFS(CETES!$A$5:$A$95,A141,CETES!$B$5:$B$95,C141)=0,"",A141),SUMIFS(Precios!$K$5:$K$109,Precios!$I$5:$I$109,A141,Precios!$J$5:$J$109,C141))</f>
        <v/>
      </c>
      <c r="N141" s="18" t="str">
        <f>IF(F141="cetes",IF(COUNTIFS(CETES!$A$5:$A$95,A141,CETES!$B$5:$B$95,C141)=0,"",SUMIFS(CETES!$AF$5:$AF$95,CETES!$A$5:$A$95,A141,CETES!$B$5:$B$95,C141)),SUMIFS(Precios!$L$5:$L$109,Precios!$I$5:$I$109,A141,Precios!$J$5:$J$109,C141))</f>
        <v/>
      </c>
      <c r="O141" s="17">
        <f t="shared" si="12"/>
        <v>0</v>
      </c>
      <c r="P141" s="17">
        <f t="shared" si="13"/>
        <v>0</v>
      </c>
      <c r="Q141" s="17">
        <f>IF(F141="cetes",IF(A141=G141,SUMIFS(Transacciones!$N$5:$N$20,Transacciones!$T$5:$T$20,E141,Transacciones!$F$5:$F$20,"&lt;"&amp;A141)*H141,0),0)</f>
        <v>0</v>
      </c>
      <c r="R141" s="11" t="str">
        <f>IF(COUNTIF(Entradas!$A$14:$A$17,A141)&gt;0,"sí","")</f>
        <v/>
      </c>
      <c r="S141" s="11" t="str">
        <f t="shared" si="14"/>
        <v>46288|Principal|BI261105|Casa B</v>
      </c>
    </row>
    <row r="142" spans="1:19" x14ac:dyDescent="0.3">
      <c r="A142" s="20">
        <v>46288</v>
      </c>
      <c r="B142" s="21" t="s">
        <v>94</v>
      </c>
      <c r="C142" s="21" t="s">
        <v>137</v>
      </c>
      <c r="D142" s="21" t="s">
        <v>112</v>
      </c>
      <c r="E142" s="11" t="str">
        <f t="shared" si="10"/>
        <v>Principal|BI261217|Casa A</v>
      </c>
      <c r="F142" s="11" t="str">
        <f>INDEX(Entradas!$C$40:$C$46,MATCH(C142,Entradas!$A$40:$A$46,0))</f>
        <v>cetes</v>
      </c>
      <c r="G142" s="15">
        <f>IF(F142="cetes",INDEX(Entradas!$F$40:$F$46,MATCH(C142,Entradas!$A$40:$A$46,0)),"")</f>
        <v>46373</v>
      </c>
      <c r="H142" s="17">
        <f>IF(F142="cetes",INDEX(Entradas!$G$40:$G$46,MATCH(C142,Entradas!$A$40:$A$46,0)),"")</f>
        <v>10</v>
      </c>
      <c r="I142" s="14">
        <f>IF(F142="cetes",IF(A142&gt;=G142,0,SUMIFS(Transacciones!$N$5:$N$20,Transacciones!$T$5:$T$20,E142,Transacciones!$F$5:$F$20,"&lt;="&amp;A142)),SUMIFS(Transacciones!$N$5:$N$20,Transacciones!$T$5:$T$20,E142,Transacciones!$F$5:$F$20,"&lt;="&amp;A142))</f>
        <v>1000</v>
      </c>
      <c r="J142" s="14">
        <f>_xlfn.MAXIFS(Transacciones!$U$5:$U$20,Transacciones!$T$5:$T$20,E142,Transacciones!$F$5:$F$20,"&lt;="&amp;A142)</f>
        <v>46282008</v>
      </c>
      <c r="K142" s="18">
        <f>IF(I142=0,0,INDEX(Transacciones!$Z$5:$Z$20,MATCH(J142,Transacciones!$U$5:$U$20,0)))</f>
        <v>9.8344372</v>
      </c>
      <c r="L142" s="17">
        <f t="shared" si="11"/>
        <v>9834.4372000000003</v>
      </c>
      <c r="M142" s="15">
        <f>IF(F142="cetes",IF(COUNTIFS(CETES!$A$5:$A$95,A142,CETES!$B$5:$B$95,C142)=0,"",A142),SUMIFS(Precios!$K$5:$K$109,Precios!$I$5:$I$109,A142,Precios!$J$5:$J$109,C142))</f>
        <v>46288</v>
      </c>
      <c r="N142" s="18">
        <f>IF(F142="cetes",IF(COUNTIFS(CETES!$A$5:$A$95,A142,CETES!$B$5:$B$95,C142)=0,"",SUMIFS(CETES!$AF$5:$AF$95,CETES!$A$5:$A$95,A142,CETES!$B$5:$B$95,C142)),SUMIFS(Precios!$L$5:$L$109,Precios!$I$5:$I$109,A142,Precios!$J$5:$J$109,C142))</f>
        <v>9.8460781999999991</v>
      </c>
      <c r="O142" s="17">
        <f t="shared" si="12"/>
        <v>9846.0781999999999</v>
      </c>
      <c r="P142" s="17">
        <f t="shared" si="13"/>
        <v>11.640999999999622</v>
      </c>
      <c r="Q142" s="17">
        <f>IF(F142="cetes",IF(A142=G142,SUMIFS(Transacciones!$N$5:$N$20,Transacciones!$T$5:$T$20,E142,Transacciones!$F$5:$F$20,"&lt;"&amp;A142)*H142,0),0)</f>
        <v>0</v>
      </c>
      <c r="R142" s="11" t="str">
        <f>IF(COUNTIF(Entradas!$A$14:$A$17,A142)&gt;0,"sí","")</f>
        <v/>
      </c>
      <c r="S142" s="11" t="str">
        <f t="shared" si="14"/>
        <v>46288|Principal|BI261217|Casa A</v>
      </c>
    </row>
    <row r="143" spans="1:19" x14ac:dyDescent="0.3">
      <c r="A143" s="20">
        <v>46288</v>
      </c>
      <c r="B143" s="21" t="s">
        <v>94</v>
      </c>
      <c r="C143" s="21" t="s">
        <v>139</v>
      </c>
      <c r="D143" s="21" t="s">
        <v>113</v>
      </c>
      <c r="E143" s="11" t="str">
        <f t="shared" si="10"/>
        <v>Principal|BI270318|Casa B</v>
      </c>
      <c r="F143" s="11" t="str">
        <f>INDEX(Entradas!$C$40:$C$46,MATCH(C143,Entradas!$A$40:$A$46,0))</f>
        <v>cetes</v>
      </c>
      <c r="G143" s="15">
        <f>IF(F143="cetes",INDEX(Entradas!$F$40:$F$46,MATCH(C143,Entradas!$A$40:$A$46,0)),"")</f>
        <v>46464</v>
      </c>
      <c r="H143" s="17">
        <f>IF(F143="cetes",INDEX(Entradas!$G$40:$G$46,MATCH(C143,Entradas!$A$40:$A$46,0)),"")</f>
        <v>10</v>
      </c>
      <c r="I143" s="14">
        <f>IF(F143="cetes",IF(A143&gt;=G143,0,SUMIFS(Transacciones!$N$5:$N$20,Transacciones!$T$5:$T$20,E143,Transacciones!$F$5:$F$20,"&lt;="&amp;A143)),SUMIFS(Transacciones!$N$5:$N$20,Transacciones!$T$5:$T$20,E143,Transacciones!$F$5:$F$20,"&lt;="&amp;A143))</f>
        <v>500</v>
      </c>
      <c r="J143" s="14">
        <f>_xlfn.MAXIFS(Transacciones!$U$5:$U$20,Transacciones!$T$5:$T$20,E143,Transacciones!$F$5:$F$20,"&lt;="&amp;A143)</f>
        <v>46282009</v>
      </c>
      <c r="K143" s="18">
        <f>IF(I143=0,0,INDEX(Transacciones!$Z$5:$Z$20,MATCH(J143,Transacciones!$U$5:$U$20,0)))</f>
        <v>9.6629249999999995</v>
      </c>
      <c r="L143" s="17">
        <f t="shared" si="11"/>
        <v>4831.4624999999996</v>
      </c>
      <c r="M143" s="15">
        <f>IF(F143="cetes",IF(COUNTIFS(CETES!$A$5:$A$95,A143,CETES!$B$5:$B$95,C143)=0,"",A143),SUMIFS(Precios!$K$5:$K$109,Precios!$I$5:$I$109,A143,Precios!$J$5:$J$109,C143))</f>
        <v>46288</v>
      </c>
      <c r="N143" s="18">
        <f>IF(F143="cetes",IF(COUNTIFS(CETES!$A$5:$A$95,A143,CETES!$B$5:$B$95,C143)=0,"",SUMIFS(CETES!$AF$5:$AF$95,CETES!$A$5:$A$95,A143,CETES!$B$5:$B$95,C143)),SUMIFS(Precios!$L$5:$L$109,Precios!$I$5:$I$109,A143,Precios!$J$5:$J$109,C143))</f>
        <v>9.6743986999999994</v>
      </c>
      <c r="O143" s="17">
        <f t="shared" si="12"/>
        <v>4837.1993499999999</v>
      </c>
      <c r="P143" s="17">
        <f t="shared" si="13"/>
        <v>5.7368500000002314</v>
      </c>
      <c r="Q143" s="17">
        <f>IF(F143="cetes",IF(A143=G143,SUMIFS(Transacciones!$N$5:$N$20,Transacciones!$T$5:$T$20,E143,Transacciones!$F$5:$F$20,"&lt;"&amp;A143)*H143,0),0)</f>
        <v>0</v>
      </c>
      <c r="R143" s="11" t="str">
        <f>IF(COUNTIF(Entradas!$A$14:$A$17,A143)&gt;0,"sí","")</f>
        <v/>
      </c>
      <c r="S143" s="11" t="str">
        <f t="shared" si="14"/>
        <v>46288|Principal|BI270318|Casa B</v>
      </c>
    </row>
    <row r="144" spans="1:19" x14ac:dyDescent="0.3">
      <c r="A144" s="20">
        <v>46288</v>
      </c>
      <c r="B144" s="21" t="s">
        <v>103</v>
      </c>
      <c r="C144" s="21" t="s">
        <v>123</v>
      </c>
      <c r="D144" s="21" t="s">
        <v>112</v>
      </c>
      <c r="E144" s="11" t="str">
        <f t="shared" si="10"/>
        <v>Secundario|DEMOACC|Casa A</v>
      </c>
      <c r="F144" s="11" t="str">
        <f>INDEX(Entradas!$C$40:$C$46,MATCH(C144,Entradas!$A$40:$A$46,0))</f>
        <v>accion</v>
      </c>
      <c r="G144" s="15" t="str">
        <f>IF(F144="cetes",INDEX(Entradas!$F$40:$F$46,MATCH(C144,Entradas!$A$40:$A$46,0)),"")</f>
        <v/>
      </c>
      <c r="H144" s="17" t="str">
        <f>IF(F144="cetes",INDEX(Entradas!$G$40:$G$46,MATCH(C144,Entradas!$A$40:$A$46,0)),"")</f>
        <v/>
      </c>
      <c r="I144" s="14">
        <f>IF(F144="cetes",IF(A144&gt;=G144,0,SUMIFS(Transacciones!$N$5:$N$20,Transacciones!$T$5:$T$20,E144,Transacciones!$F$5:$F$20,"&lt;="&amp;A144)),SUMIFS(Transacciones!$N$5:$N$20,Transacciones!$T$5:$T$20,E144,Transacciones!$F$5:$F$20,"&lt;="&amp;A144))</f>
        <v>150</v>
      </c>
      <c r="J144" s="14">
        <f>_xlfn.MAXIFS(Transacciones!$U$5:$U$20,Transacciones!$T$5:$T$20,E144,Transacciones!$F$5:$F$20,"&lt;="&amp;A144)</f>
        <v>46279007</v>
      </c>
      <c r="K144" s="18">
        <f>IF(I144=0,0,INDEX(Transacciones!$Z$5:$Z$20,MATCH(J144,Transacciones!$U$5:$U$20,0)))</f>
        <v>103.90046666666666</v>
      </c>
      <c r="L144" s="17">
        <f t="shared" si="11"/>
        <v>15585.07</v>
      </c>
      <c r="M144" s="15">
        <f>IF(F144="cetes",IF(COUNTIFS(CETES!$A$5:$A$95,A144,CETES!$B$5:$B$95,C144)=0,"",A144),SUMIFS(Precios!$K$5:$K$109,Precios!$I$5:$I$109,A144,Precios!$J$5:$J$109,C144))</f>
        <v>46288</v>
      </c>
      <c r="N144" s="18">
        <f>IF(F144="cetes",IF(COUNTIFS(CETES!$A$5:$A$95,A144,CETES!$B$5:$B$95,C144)=0,"",SUMIFS(CETES!$AF$5:$AF$95,CETES!$A$5:$A$95,A144,CETES!$B$5:$B$95,C144)),SUMIFS(Precios!$L$5:$L$109,Precios!$I$5:$I$109,A144,Precios!$J$5:$J$109,C144))</f>
        <v>90.424999999999997</v>
      </c>
      <c r="O144" s="17">
        <f t="shared" si="12"/>
        <v>13563.75</v>
      </c>
      <c r="P144" s="17">
        <f t="shared" si="13"/>
        <v>-2021.3199999999997</v>
      </c>
      <c r="Q144" s="17">
        <f>IF(F144="cetes",IF(A144=G144,SUMIFS(Transacciones!$N$5:$N$20,Transacciones!$T$5:$T$20,E144,Transacciones!$F$5:$F$20,"&lt;"&amp;A144)*H144,0),0)</f>
        <v>0</v>
      </c>
      <c r="R144" s="11" t="str">
        <f>IF(COUNTIF(Entradas!$A$14:$A$17,A144)&gt;0,"sí","")</f>
        <v/>
      </c>
      <c r="S144" s="11" t="str">
        <f t="shared" si="14"/>
        <v>46288|Secundario|DEMOACC|Casa A</v>
      </c>
    </row>
    <row r="145" spans="1:19" x14ac:dyDescent="0.3">
      <c r="A145" s="20">
        <v>46289</v>
      </c>
      <c r="B145" s="21" t="s">
        <v>94</v>
      </c>
      <c r="C145" s="21" t="s">
        <v>123</v>
      </c>
      <c r="D145" s="21" t="s">
        <v>112</v>
      </c>
      <c r="E145" s="11" t="str">
        <f t="shared" si="10"/>
        <v>Principal|DEMOACC|Casa A</v>
      </c>
      <c r="F145" s="11" t="str">
        <f>INDEX(Entradas!$C$40:$C$46,MATCH(C145,Entradas!$A$40:$A$46,0))</f>
        <v>accion</v>
      </c>
      <c r="G145" s="15" t="str">
        <f>IF(F145="cetes",INDEX(Entradas!$F$40:$F$46,MATCH(C145,Entradas!$A$40:$A$46,0)),"")</f>
        <v/>
      </c>
      <c r="H145" s="17" t="str">
        <f>IF(F145="cetes",INDEX(Entradas!$G$40:$G$46,MATCH(C145,Entradas!$A$40:$A$46,0)),"")</f>
        <v/>
      </c>
      <c r="I145" s="14">
        <f>IF(F145="cetes",IF(A145&gt;=G145,0,SUMIFS(Transacciones!$N$5:$N$20,Transacciones!$T$5:$T$20,E145,Transacciones!$F$5:$F$20,"&lt;="&amp;A145)),SUMIFS(Transacciones!$N$5:$N$20,Transacciones!$T$5:$T$20,E145,Transacciones!$F$5:$F$20,"&lt;="&amp;A145))</f>
        <v>200</v>
      </c>
      <c r="J145" s="14">
        <f>_xlfn.MAXIFS(Transacciones!$U$5:$U$20,Transacciones!$T$5:$T$20,E145,Transacciones!$F$5:$F$20,"&lt;="&amp;A145)</f>
        <v>46275001</v>
      </c>
      <c r="K145" s="18">
        <f>IF(I145=0,0,INDEX(Transacciones!$Z$5:$Z$20,MATCH(J145,Transacciones!$U$5:$U$20,0)))</f>
        <v>100.23985</v>
      </c>
      <c r="L145" s="17">
        <f t="shared" si="11"/>
        <v>20047.97</v>
      </c>
      <c r="M145" s="15">
        <f>IF(F145="cetes",IF(COUNTIFS(CETES!$A$5:$A$95,A145,CETES!$B$5:$B$95,C145)=0,"",A145),SUMIFS(Precios!$K$5:$K$109,Precios!$I$5:$I$109,A145,Precios!$J$5:$J$109,C145))</f>
        <v>46289</v>
      </c>
      <c r="N145" s="18">
        <f>IF(F145="cetes",IF(COUNTIFS(CETES!$A$5:$A$95,A145,CETES!$B$5:$B$95,C145)=0,"",SUMIFS(CETES!$AF$5:$AF$95,CETES!$A$5:$A$95,A145,CETES!$B$5:$B$95,C145)),SUMIFS(Precios!$L$5:$L$109,Precios!$I$5:$I$109,A145,Precios!$J$5:$J$109,C145))</f>
        <v>92.8</v>
      </c>
      <c r="O145" s="17">
        <f t="shared" si="12"/>
        <v>18560</v>
      </c>
      <c r="P145" s="17">
        <f t="shared" si="13"/>
        <v>-1487.9700000000012</v>
      </c>
      <c r="Q145" s="17">
        <f>IF(F145="cetes",IF(A145=G145,SUMIFS(Transacciones!$N$5:$N$20,Transacciones!$T$5:$T$20,E145,Transacciones!$F$5:$F$20,"&lt;"&amp;A145)*H145,0),0)</f>
        <v>0</v>
      </c>
      <c r="R145" s="11" t="str">
        <f>IF(COUNTIF(Entradas!$A$14:$A$17,A145)&gt;0,"sí","")</f>
        <v/>
      </c>
      <c r="S145" s="11" t="str">
        <f t="shared" si="14"/>
        <v>46289|Principal|DEMOACC|Casa A</v>
      </c>
    </row>
    <row r="146" spans="1:19" x14ac:dyDescent="0.3">
      <c r="A146" s="20">
        <v>46289</v>
      </c>
      <c r="B146" s="21" t="s">
        <v>94</v>
      </c>
      <c r="C146" s="21" t="s">
        <v>123</v>
      </c>
      <c r="D146" s="21" t="s">
        <v>113</v>
      </c>
      <c r="E146" s="11" t="str">
        <f t="shared" si="10"/>
        <v>Principal|DEMOACC|Casa B</v>
      </c>
      <c r="F146" s="11" t="str">
        <f>INDEX(Entradas!$C$40:$C$46,MATCH(C146,Entradas!$A$40:$A$46,0))</f>
        <v>accion</v>
      </c>
      <c r="G146" s="15" t="str">
        <f>IF(F146="cetes",INDEX(Entradas!$F$40:$F$46,MATCH(C146,Entradas!$A$40:$A$46,0)),"")</f>
        <v/>
      </c>
      <c r="H146" s="17" t="str">
        <f>IF(F146="cetes",INDEX(Entradas!$G$40:$G$46,MATCH(C146,Entradas!$A$40:$A$46,0)),"")</f>
        <v/>
      </c>
      <c r="I146" s="14">
        <f>IF(F146="cetes",IF(A146&gt;=G146,0,SUMIFS(Transacciones!$N$5:$N$20,Transacciones!$T$5:$T$20,E146,Transacciones!$F$5:$F$20,"&lt;="&amp;A146)),SUMIFS(Transacciones!$N$5:$N$20,Transacciones!$T$5:$T$20,E146,Transacciones!$F$5:$F$20,"&lt;="&amp;A146))</f>
        <v>100</v>
      </c>
      <c r="J146" s="14">
        <f>_xlfn.MAXIFS(Transacciones!$U$5:$U$20,Transacciones!$T$5:$T$20,E146,Transacciones!$F$5:$F$20,"&lt;="&amp;A146)</f>
        <v>46279006</v>
      </c>
      <c r="K146" s="18">
        <f>IF(I146=0,0,INDEX(Transacciones!$Z$5:$Z$20,MATCH(J146,Transacciones!$U$5:$U$20,0)))</f>
        <v>103.399</v>
      </c>
      <c r="L146" s="17">
        <f t="shared" si="11"/>
        <v>10339.9</v>
      </c>
      <c r="M146" s="15">
        <f>IF(F146="cetes",IF(COUNTIFS(CETES!$A$5:$A$95,A146,CETES!$B$5:$B$95,C146)=0,"",A146),SUMIFS(Precios!$K$5:$K$109,Precios!$I$5:$I$109,A146,Precios!$J$5:$J$109,C146))</f>
        <v>46289</v>
      </c>
      <c r="N146" s="18">
        <f>IF(F146="cetes",IF(COUNTIFS(CETES!$A$5:$A$95,A146,CETES!$B$5:$B$95,C146)=0,"",SUMIFS(CETES!$AF$5:$AF$95,CETES!$A$5:$A$95,A146,CETES!$B$5:$B$95,C146)),SUMIFS(Precios!$L$5:$L$109,Precios!$I$5:$I$109,A146,Precios!$J$5:$J$109,C146))</f>
        <v>92.8</v>
      </c>
      <c r="O146" s="17">
        <f t="shared" si="12"/>
        <v>9280</v>
      </c>
      <c r="P146" s="17">
        <f t="shared" si="13"/>
        <v>-1059.8999999999996</v>
      </c>
      <c r="Q146" s="17">
        <f>IF(F146="cetes",IF(A146=G146,SUMIFS(Transacciones!$N$5:$N$20,Transacciones!$T$5:$T$20,E146,Transacciones!$F$5:$F$20,"&lt;"&amp;A146)*H146,0),0)</f>
        <v>0</v>
      </c>
      <c r="R146" s="11" t="str">
        <f>IF(COUNTIF(Entradas!$A$14:$A$17,A146)&gt;0,"sí","")</f>
        <v/>
      </c>
      <c r="S146" s="11" t="str">
        <f t="shared" si="14"/>
        <v>46289|Principal|DEMOACC|Casa B</v>
      </c>
    </row>
    <row r="147" spans="1:19" x14ac:dyDescent="0.3">
      <c r="A147" s="20">
        <v>46289</v>
      </c>
      <c r="B147" s="21" t="s">
        <v>94</v>
      </c>
      <c r="C147" s="21" t="s">
        <v>126</v>
      </c>
      <c r="D147" s="21" t="s">
        <v>113</v>
      </c>
      <c r="E147" s="11" t="str">
        <f t="shared" si="10"/>
        <v>Principal|DEMOETF|Casa B</v>
      </c>
      <c r="F147" s="11" t="str">
        <f>INDEX(Entradas!$C$40:$C$46,MATCH(C147,Entradas!$A$40:$A$46,0))</f>
        <v>etf</v>
      </c>
      <c r="G147" s="15" t="str">
        <f>IF(F147="cetes",INDEX(Entradas!$F$40:$F$46,MATCH(C147,Entradas!$A$40:$A$46,0)),"")</f>
        <v/>
      </c>
      <c r="H147" s="17" t="str">
        <f>IF(F147="cetes",INDEX(Entradas!$G$40:$G$46,MATCH(C147,Entradas!$A$40:$A$46,0)),"")</f>
        <v/>
      </c>
      <c r="I147" s="14">
        <f>IF(F147="cetes",IF(A147&gt;=G147,0,SUMIFS(Transacciones!$N$5:$N$20,Transacciones!$T$5:$T$20,E147,Transacciones!$F$5:$F$20,"&lt;="&amp;A147)),SUMIFS(Transacciones!$N$5:$N$20,Transacciones!$T$5:$T$20,E147,Transacciones!$F$5:$F$20,"&lt;="&amp;A147))</f>
        <v>100</v>
      </c>
      <c r="J147" s="14">
        <f>_xlfn.MAXIFS(Transacciones!$U$5:$U$20,Transacciones!$T$5:$T$20,E147,Transacciones!$F$5:$F$20,"&lt;="&amp;A147)</f>
        <v>46275002</v>
      </c>
      <c r="K147" s="18">
        <f>IF(I147=0,0,INDEX(Transacciones!$Z$5:$Z$20,MATCH(J147,Transacciones!$U$5:$U$20,0)))</f>
        <v>50.195100000000004</v>
      </c>
      <c r="L147" s="17">
        <f t="shared" si="11"/>
        <v>5019.51</v>
      </c>
      <c r="M147" s="15">
        <f>IF(F147="cetes",IF(COUNTIFS(CETES!$A$5:$A$95,A147,CETES!$B$5:$B$95,C147)=0,"",A147),SUMIFS(Precios!$K$5:$K$109,Precios!$I$5:$I$109,A147,Precios!$J$5:$J$109,C147))</f>
        <v>46289</v>
      </c>
      <c r="N147" s="18">
        <f>IF(F147="cetes",IF(COUNTIFS(CETES!$A$5:$A$95,A147,CETES!$B$5:$B$95,C147)=0,"",SUMIFS(CETES!$AF$5:$AF$95,CETES!$A$5:$A$95,A147,CETES!$B$5:$B$95,C147)),SUMIFS(Precios!$L$5:$L$109,Precios!$I$5:$I$109,A147,Precios!$J$5:$J$109,C147))</f>
        <v>46.93</v>
      </c>
      <c r="O147" s="17">
        <f t="shared" si="12"/>
        <v>4693</v>
      </c>
      <c r="P147" s="17">
        <f t="shared" si="13"/>
        <v>-326.51000000000022</v>
      </c>
      <c r="Q147" s="17">
        <f>IF(F147="cetes",IF(A147=G147,SUMIFS(Transacciones!$N$5:$N$20,Transacciones!$T$5:$T$20,E147,Transacciones!$F$5:$F$20,"&lt;"&amp;A147)*H147,0),0)</f>
        <v>0</v>
      </c>
      <c r="R147" s="11" t="str">
        <f>IF(COUNTIF(Entradas!$A$14:$A$17,A147)&gt;0,"sí","")</f>
        <v/>
      </c>
      <c r="S147" s="11" t="str">
        <f t="shared" si="14"/>
        <v>46289|Principal|DEMOETF|Casa B</v>
      </c>
    </row>
    <row r="148" spans="1:19" x14ac:dyDescent="0.3">
      <c r="A148" s="20">
        <v>46289</v>
      </c>
      <c r="B148" s="21" t="s">
        <v>94</v>
      </c>
      <c r="C148" s="21" t="s">
        <v>129</v>
      </c>
      <c r="D148" s="21" t="s">
        <v>112</v>
      </c>
      <c r="E148" s="11" t="str">
        <f t="shared" si="10"/>
        <v>Principal|DEMOFIB|Casa A</v>
      </c>
      <c r="F148" s="11" t="str">
        <f>INDEX(Entradas!$C$40:$C$46,MATCH(C148,Entradas!$A$40:$A$46,0))</f>
        <v>fibra</v>
      </c>
      <c r="G148" s="15" t="str">
        <f>IF(F148="cetes",INDEX(Entradas!$F$40:$F$46,MATCH(C148,Entradas!$A$40:$A$46,0)),"")</f>
        <v/>
      </c>
      <c r="H148" s="17" t="str">
        <f>IF(F148="cetes",INDEX(Entradas!$G$40:$G$46,MATCH(C148,Entradas!$A$40:$A$46,0)),"")</f>
        <v/>
      </c>
      <c r="I148" s="14">
        <f>IF(F148="cetes",IF(A148&gt;=G148,0,SUMIFS(Transacciones!$N$5:$N$20,Transacciones!$T$5:$T$20,E148,Transacciones!$F$5:$F$20,"&lt;="&amp;A148)),SUMIFS(Transacciones!$N$5:$N$20,Transacciones!$T$5:$T$20,E148,Transacciones!$F$5:$F$20,"&lt;="&amp;A148))</f>
        <v>0</v>
      </c>
      <c r="J148" s="14">
        <f>_xlfn.MAXIFS(Transacciones!$U$5:$U$20,Transacciones!$T$5:$T$20,E148,Transacciones!$F$5:$F$20,"&lt;="&amp;A148)</f>
        <v>46287510</v>
      </c>
      <c r="K148" s="18">
        <f>IF(I148=0,0,INDEX(Transacciones!$Z$5:$Z$20,MATCH(J148,Transacciones!$U$5:$U$20,0)))</f>
        <v>0</v>
      </c>
      <c r="L148" s="17">
        <f t="shared" si="11"/>
        <v>0</v>
      </c>
      <c r="M148" s="15">
        <f>IF(F148="cetes",IF(COUNTIFS(CETES!$A$5:$A$95,A148,CETES!$B$5:$B$95,C148)=0,"",A148),SUMIFS(Precios!$K$5:$K$109,Precios!$I$5:$I$109,A148,Precios!$J$5:$J$109,C148))</f>
        <v>46289</v>
      </c>
      <c r="N148" s="18">
        <f>IF(F148="cetes",IF(COUNTIFS(CETES!$A$5:$A$95,A148,CETES!$B$5:$B$95,C148)=0,"",SUMIFS(CETES!$AF$5:$AF$95,CETES!$A$5:$A$95,A148,CETES!$B$5:$B$95,C148)),SUMIFS(Precios!$L$5:$L$109,Precios!$I$5:$I$109,A148,Precios!$J$5:$J$109,C148))</f>
        <v>23.125</v>
      </c>
      <c r="O148" s="17">
        <f t="shared" si="12"/>
        <v>0</v>
      </c>
      <c r="P148" s="17">
        <f t="shared" si="13"/>
        <v>0</v>
      </c>
      <c r="Q148" s="17">
        <f>IF(F148="cetes",IF(A148=G148,SUMIFS(Transacciones!$N$5:$N$20,Transacciones!$T$5:$T$20,E148,Transacciones!$F$5:$F$20,"&lt;"&amp;A148)*H148,0),0)</f>
        <v>0</v>
      </c>
      <c r="R148" s="11" t="str">
        <f>IF(COUNTIF(Entradas!$A$14:$A$17,A148)&gt;0,"sí","")</f>
        <v/>
      </c>
      <c r="S148" s="11" t="str">
        <f t="shared" si="14"/>
        <v>46289|Principal|DEMOFIB|Casa A</v>
      </c>
    </row>
    <row r="149" spans="1:19" x14ac:dyDescent="0.3">
      <c r="A149" s="20">
        <v>46289</v>
      </c>
      <c r="B149" s="21" t="s">
        <v>94</v>
      </c>
      <c r="C149" s="21" t="s">
        <v>132</v>
      </c>
      <c r="D149" s="21" t="s">
        <v>112</v>
      </c>
      <c r="E149" s="11" t="str">
        <f t="shared" si="10"/>
        <v>Principal|BI261008|Casa A</v>
      </c>
      <c r="F149" s="11" t="str">
        <f>INDEX(Entradas!$C$40:$C$46,MATCH(C149,Entradas!$A$40:$A$46,0))</f>
        <v>cetes</v>
      </c>
      <c r="G149" s="15">
        <f>IF(F149="cetes",INDEX(Entradas!$F$40:$F$46,MATCH(C149,Entradas!$A$40:$A$46,0)),"")</f>
        <v>46303</v>
      </c>
      <c r="H149" s="17">
        <f>IF(F149="cetes",INDEX(Entradas!$G$40:$G$46,MATCH(C149,Entradas!$A$40:$A$46,0)),"")</f>
        <v>10</v>
      </c>
      <c r="I149" s="14">
        <f>IF(F149="cetes",IF(A149&gt;=G149,0,SUMIFS(Transacciones!$N$5:$N$20,Transacciones!$T$5:$T$20,E149,Transacciones!$F$5:$F$20,"&lt;="&amp;A149)),SUMIFS(Transacciones!$N$5:$N$20,Transacciones!$T$5:$T$20,E149,Transacciones!$F$5:$F$20,"&lt;="&amp;A149))</f>
        <v>1500</v>
      </c>
      <c r="J149" s="14">
        <f>_xlfn.MAXIFS(Transacciones!$U$5:$U$20,Transacciones!$T$5:$T$20,E149,Transacciones!$F$5:$F$20,"&lt;="&amp;A149)</f>
        <v>46275003</v>
      </c>
      <c r="K149" s="18">
        <f>IF(I149=0,0,INDEX(Transacciones!$Z$5:$Z$20,MATCH(J149,Transacciones!$U$5:$U$20,0)))</f>
        <v>9.9516240000000007</v>
      </c>
      <c r="L149" s="17">
        <f t="shared" si="11"/>
        <v>14927.436000000002</v>
      </c>
      <c r="M149" s="15">
        <f>IF(F149="cetes",IF(COUNTIFS(CETES!$A$5:$A$95,A149,CETES!$B$5:$B$95,C149)=0,"",A149),SUMIFS(Precios!$K$5:$K$109,Precios!$I$5:$I$109,A149,Precios!$J$5:$J$109,C149))</f>
        <v>46289</v>
      </c>
      <c r="N149" s="18">
        <f>IF(F149="cetes",IF(COUNTIFS(CETES!$A$5:$A$95,A149,CETES!$B$5:$B$95,C149)=0,"",SUMIFS(CETES!$AF$5:$AF$95,CETES!$A$5:$A$95,A149,CETES!$B$5:$B$95,C149)),SUMIFS(Precios!$L$5:$L$109,Precios!$I$5:$I$109,A149,Precios!$J$5:$J$109,C149))</f>
        <v>9.9761404000000002</v>
      </c>
      <c r="O149" s="17">
        <f t="shared" si="12"/>
        <v>14964.2106</v>
      </c>
      <c r="P149" s="17">
        <f t="shared" si="13"/>
        <v>36.774599999998827</v>
      </c>
      <c r="Q149" s="17">
        <f>IF(F149="cetes",IF(A149=G149,SUMIFS(Transacciones!$N$5:$N$20,Transacciones!$T$5:$T$20,E149,Transacciones!$F$5:$F$20,"&lt;"&amp;A149)*H149,0),0)</f>
        <v>0</v>
      </c>
      <c r="R149" s="11" t="str">
        <f>IF(COUNTIF(Entradas!$A$14:$A$17,A149)&gt;0,"sí","")</f>
        <v/>
      </c>
      <c r="S149" s="11" t="str">
        <f t="shared" si="14"/>
        <v>46289|Principal|BI261008|Casa A</v>
      </c>
    </row>
    <row r="150" spans="1:19" x14ac:dyDescent="0.3">
      <c r="A150" s="20">
        <v>46289</v>
      </c>
      <c r="B150" s="21" t="s">
        <v>94</v>
      </c>
      <c r="C150" s="21" t="s">
        <v>132</v>
      </c>
      <c r="D150" s="21" t="s">
        <v>113</v>
      </c>
      <c r="E150" s="11" t="str">
        <f t="shared" si="10"/>
        <v>Principal|BI261008|Casa B</v>
      </c>
      <c r="F150" s="11" t="str">
        <f>INDEX(Entradas!$C$40:$C$46,MATCH(C150,Entradas!$A$40:$A$46,0))</f>
        <v>cetes</v>
      </c>
      <c r="G150" s="15">
        <f>IF(F150="cetes",INDEX(Entradas!$F$40:$F$46,MATCH(C150,Entradas!$A$40:$A$46,0)),"")</f>
        <v>46303</v>
      </c>
      <c r="H150" s="17">
        <f>IF(F150="cetes",INDEX(Entradas!$G$40:$G$46,MATCH(C150,Entradas!$A$40:$A$46,0)),"")</f>
        <v>10</v>
      </c>
      <c r="I150" s="14">
        <f>IF(F150="cetes",IF(A150&gt;=G150,0,SUMIFS(Transacciones!$N$5:$N$20,Transacciones!$T$5:$T$20,E150,Transacciones!$F$5:$F$20,"&lt;="&amp;A150)),SUMIFS(Transacciones!$N$5:$N$20,Transacciones!$T$5:$T$20,E150,Transacciones!$F$5:$F$20,"&lt;="&amp;A150))</f>
        <v>1000</v>
      </c>
      <c r="J150" s="14">
        <f>_xlfn.MAXIFS(Transacciones!$U$5:$U$20,Transacciones!$T$5:$T$20,E150,Transacciones!$F$5:$F$20,"&lt;="&amp;A150)</f>
        <v>46275004</v>
      </c>
      <c r="K150" s="18">
        <f>IF(I150=0,0,INDEX(Transacciones!$Z$5:$Z$20,MATCH(J150,Transacciones!$U$5:$U$20,0)))</f>
        <v>9.9516239999999989</v>
      </c>
      <c r="L150" s="17">
        <f t="shared" si="11"/>
        <v>9951.6239999999998</v>
      </c>
      <c r="M150" s="15">
        <f>IF(F150="cetes",IF(COUNTIFS(CETES!$A$5:$A$95,A150,CETES!$B$5:$B$95,C150)=0,"",A150),SUMIFS(Precios!$K$5:$K$109,Precios!$I$5:$I$109,A150,Precios!$J$5:$J$109,C150))</f>
        <v>46289</v>
      </c>
      <c r="N150" s="18">
        <f>IF(F150="cetes",IF(COUNTIFS(CETES!$A$5:$A$95,A150,CETES!$B$5:$B$95,C150)=0,"",SUMIFS(CETES!$AF$5:$AF$95,CETES!$A$5:$A$95,A150,CETES!$B$5:$B$95,C150)),SUMIFS(Precios!$L$5:$L$109,Precios!$I$5:$I$109,A150,Precios!$J$5:$J$109,C150))</f>
        <v>9.9761404000000002</v>
      </c>
      <c r="O150" s="17">
        <f t="shared" si="12"/>
        <v>9976.1404000000002</v>
      </c>
      <c r="P150" s="17">
        <f t="shared" si="13"/>
        <v>24.516400000000431</v>
      </c>
      <c r="Q150" s="17">
        <f>IF(F150="cetes",IF(A150=G150,SUMIFS(Transacciones!$N$5:$N$20,Transacciones!$T$5:$T$20,E150,Transacciones!$F$5:$F$20,"&lt;"&amp;A150)*H150,0),0)</f>
        <v>0</v>
      </c>
      <c r="R150" s="11" t="str">
        <f>IF(COUNTIF(Entradas!$A$14:$A$17,A150)&gt;0,"sí","")</f>
        <v/>
      </c>
      <c r="S150" s="11" t="str">
        <f t="shared" si="14"/>
        <v>46289|Principal|BI261008|Casa B</v>
      </c>
    </row>
    <row r="151" spans="1:19" x14ac:dyDescent="0.3">
      <c r="A151" s="20">
        <v>46289</v>
      </c>
      <c r="B151" s="21" t="s">
        <v>94</v>
      </c>
      <c r="C151" s="21" t="s">
        <v>135</v>
      </c>
      <c r="D151" s="21" t="s">
        <v>113</v>
      </c>
      <c r="E151" s="11" t="str">
        <f t="shared" si="10"/>
        <v>Principal|BI261105|Casa B</v>
      </c>
      <c r="F151" s="11" t="str">
        <f>INDEX(Entradas!$C$40:$C$46,MATCH(C151,Entradas!$A$40:$A$46,0))</f>
        <v>cetes</v>
      </c>
      <c r="G151" s="15">
        <f>IF(F151="cetes",INDEX(Entradas!$F$40:$F$46,MATCH(C151,Entradas!$A$40:$A$46,0)),"")</f>
        <v>46331</v>
      </c>
      <c r="H151" s="17">
        <f>IF(F151="cetes",INDEX(Entradas!$G$40:$G$46,MATCH(C151,Entradas!$A$40:$A$46,0)),"")</f>
        <v>10</v>
      </c>
      <c r="I151" s="14">
        <f>IF(F151="cetes",IF(A151&gt;=G151,0,SUMIFS(Transacciones!$N$5:$N$20,Transacciones!$T$5:$T$20,E151,Transacciones!$F$5:$F$20,"&lt;="&amp;A151)),SUMIFS(Transacciones!$N$5:$N$20,Transacciones!$T$5:$T$20,E151,Transacciones!$F$5:$F$20,"&lt;="&amp;A151))</f>
        <v>0</v>
      </c>
      <c r="J151" s="14">
        <f>_xlfn.MAXIFS(Transacciones!$U$5:$U$20,Transacciones!$T$5:$T$20,E151,Transacciones!$F$5:$F$20,"&lt;="&amp;A151)</f>
        <v>0</v>
      </c>
      <c r="K151" s="18">
        <f>IF(I151=0,0,INDEX(Transacciones!$Z$5:$Z$20,MATCH(J151,Transacciones!$U$5:$U$20,0)))</f>
        <v>0</v>
      </c>
      <c r="L151" s="17">
        <f t="shared" si="11"/>
        <v>0</v>
      </c>
      <c r="M151" s="15" t="str">
        <f>IF(F151="cetes",IF(COUNTIFS(CETES!$A$5:$A$95,A151,CETES!$B$5:$B$95,C151)=0,"",A151),SUMIFS(Precios!$K$5:$K$109,Precios!$I$5:$I$109,A151,Precios!$J$5:$J$109,C151))</f>
        <v/>
      </c>
      <c r="N151" s="18" t="str">
        <f>IF(F151="cetes",IF(COUNTIFS(CETES!$A$5:$A$95,A151,CETES!$B$5:$B$95,C151)=0,"",SUMIFS(CETES!$AF$5:$AF$95,CETES!$A$5:$A$95,A151,CETES!$B$5:$B$95,C151)),SUMIFS(Precios!$L$5:$L$109,Precios!$I$5:$I$109,A151,Precios!$J$5:$J$109,C151))</f>
        <v/>
      </c>
      <c r="O151" s="17">
        <f t="shared" si="12"/>
        <v>0</v>
      </c>
      <c r="P151" s="17">
        <f t="shared" si="13"/>
        <v>0</v>
      </c>
      <c r="Q151" s="17">
        <f>IF(F151="cetes",IF(A151=G151,SUMIFS(Transacciones!$N$5:$N$20,Transacciones!$T$5:$T$20,E151,Transacciones!$F$5:$F$20,"&lt;"&amp;A151)*H151,0),0)</f>
        <v>0</v>
      </c>
      <c r="R151" s="11" t="str">
        <f>IF(COUNTIF(Entradas!$A$14:$A$17,A151)&gt;0,"sí","")</f>
        <v/>
      </c>
      <c r="S151" s="11" t="str">
        <f t="shared" si="14"/>
        <v>46289|Principal|BI261105|Casa B</v>
      </c>
    </row>
    <row r="152" spans="1:19" x14ac:dyDescent="0.3">
      <c r="A152" s="20">
        <v>46289</v>
      </c>
      <c r="B152" s="21" t="s">
        <v>94</v>
      </c>
      <c r="C152" s="21" t="s">
        <v>137</v>
      </c>
      <c r="D152" s="21" t="s">
        <v>112</v>
      </c>
      <c r="E152" s="11" t="str">
        <f t="shared" si="10"/>
        <v>Principal|BI261217|Casa A</v>
      </c>
      <c r="F152" s="11" t="str">
        <f>INDEX(Entradas!$C$40:$C$46,MATCH(C152,Entradas!$A$40:$A$46,0))</f>
        <v>cetes</v>
      </c>
      <c r="G152" s="15">
        <f>IF(F152="cetes",INDEX(Entradas!$F$40:$F$46,MATCH(C152,Entradas!$A$40:$A$46,0)),"")</f>
        <v>46373</v>
      </c>
      <c r="H152" s="17">
        <f>IF(F152="cetes",INDEX(Entradas!$G$40:$G$46,MATCH(C152,Entradas!$A$40:$A$46,0)),"")</f>
        <v>10</v>
      </c>
      <c r="I152" s="14">
        <f>IF(F152="cetes",IF(A152&gt;=G152,0,SUMIFS(Transacciones!$N$5:$N$20,Transacciones!$T$5:$T$20,E152,Transacciones!$F$5:$F$20,"&lt;="&amp;A152)),SUMIFS(Transacciones!$N$5:$N$20,Transacciones!$T$5:$T$20,E152,Transacciones!$F$5:$F$20,"&lt;="&amp;A152))</f>
        <v>1000</v>
      </c>
      <c r="J152" s="14">
        <f>_xlfn.MAXIFS(Transacciones!$U$5:$U$20,Transacciones!$T$5:$T$20,E152,Transacciones!$F$5:$F$20,"&lt;="&amp;A152)</f>
        <v>46282008</v>
      </c>
      <c r="K152" s="18">
        <f>IF(I152=0,0,INDEX(Transacciones!$Z$5:$Z$20,MATCH(J152,Transacciones!$U$5:$U$20,0)))</f>
        <v>9.8344372</v>
      </c>
      <c r="L152" s="17">
        <f t="shared" si="11"/>
        <v>9834.4372000000003</v>
      </c>
      <c r="M152" s="15">
        <f>IF(F152="cetes",IF(COUNTIFS(CETES!$A$5:$A$95,A152,CETES!$B$5:$B$95,C152)=0,"",A152),SUMIFS(Precios!$K$5:$K$109,Precios!$I$5:$I$109,A152,Precios!$J$5:$J$109,C152))</f>
        <v>46289</v>
      </c>
      <c r="N152" s="18">
        <f>IF(F152="cetes",IF(COUNTIFS(CETES!$A$5:$A$95,A152,CETES!$B$5:$B$95,C152)=0,"",SUMIFS(CETES!$AF$5:$AF$95,CETES!$A$5:$A$95,A152,CETES!$B$5:$B$95,C152)),SUMIFS(Precios!$L$5:$L$109,Precios!$I$5:$I$109,A152,Precios!$J$5:$J$109,C152))</f>
        <v>9.8496684999999999</v>
      </c>
      <c r="O152" s="17">
        <f t="shared" si="12"/>
        <v>9849.6684999999998</v>
      </c>
      <c r="P152" s="17">
        <f t="shared" si="13"/>
        <v>15.231299999999464</v>
      </c>
      <c r="Q152" s="17">
        <f>IF(F152="cetes",IF(A152=G152,SUMIFS(Transacciones!$N$5:$N$20,Transacciones!$T$5:$T$20,E152,Transacciones!$F$5:$F$20,"&lt;"&amp;A152)*H152,0),0)</f>
        <v>0</v>
      </c>
      <c r="R152" s="11" t="str">
        <f>IF(COUNTIF(Entradas!$A$14:$A$17,A152)&gt;0,"sí","")</f>
        <v/>
      </c>
      <c r="S152" s="11" t="str">
        <f t="shared" si="14"/>
        <v>46289|Principal|BI261217|Casa A</v>
      </c>
    </row>
    <row r="153" spans="1:19" x14ac:dyDescent="0.3">
      <c r="A153" s="20">
        <v>46289</v>
      </c>
      <c r="B153" s="21" t="s">
        <v>94</v>
      </c>
      <c r="C153" s="21" t="s">
        <v>139</v>
      </c>
      <c r="D153" s="21" t="s">
        <v>113</v>
      </c>
      <c r="E153" s="11" t="str">
        <f t="shared" si="10"/>
        <v>Principal|BI270318|Casa B</v>
      </c>
      <c r="F153" s="11" t="str">
        <f>INDEX(Entradas!$C$40:$C$46,MATCH(C153,Entradas!$A$40:$A$46,0))</f>
        <v>cetes</v>
      </c>
      <c r="G153" s="15">
        <f>IF(F153="cetes",INDEX(Entradas!$F$40:$F$46,MATCH(C153,Entradas!$A$40:$A$46,0)),"")</f>
        <v>46464</v>
      </c>
      <c r="H153" s="17">
        <f>IF(F153="cetes",INDEX(Entradas!$G$40:$G$46,MATCH(C153,Entradas!$A$40:$A$46,0)),"")</f>
        <v>10</v>
      </c>
      <c r="I153" s="14">
        <f>IF(F153="cetes",IF(A153&gt;=G153,0,SUMIFS(Transacciones!$N$5:$N$20,Transacciones!$T$5:$T$20,E153,Transacciones!$F$5:$F$20,"&lt;="&amp;A153)),SUMIFS(Transacciones!$N$5:$N$20,Transacciones!$T$5:$T$20,E153,Transacciones!$F$5:$F$20,"&lt;="&amp;A153))</f>
        <v>500</v>
      </c>
      <c r="J153" s="14">
        <f>_xlfn.MAXIFS(Transacciones!$U$5:$U$20,Transacciones!$T$5:$T$20,E153,Transacciones!$F$5:$F$20,"&lt;="&amp;A153)</f>
        <v>46282009</v>
      </c>
      <c r="K153" s="18">
        <f>IF(I153=0,0,INDEX(Transacciones!$Z$5:$Z$20,MATCH(J153,Transacciones!$U$5:$U$20,0)))</f>
        <v>9.6629249999999995</v>
      </c>
      <c r="L153" s="17">
        <f t="shared" si="11"/>
        <v>4831.4624999999996</v>
      </c>
      <c r="M153" s="15">
        <f>IF(F153="cetes",IF(COUNTIFS(CETES!$A$5:$A$95,A153,CETES!$B$5:$B$95,C153)=0,"",A153),SUMIFS(Precios!$K$5:$K$109,Precios!$I$5:$I$109,A153,Precios!$J$5:$J$109,C153))</f>
        <v>46289</v>
      </c>
      <c r="N153" s="18">
        <f>IF(F153="cetes",IF(COUNTIFS(CETES!$A$5:$A$95,A153,CETES!$B$5:$B$95,C153)=0,"",SUMIFS(CETES!$AF$5:$AF$95,CETES!$A$5:$A$95,A153,CETES!$B$5:$B$95,C153)),SUMIFS(Precios!$L$5:$L$109,Precios!$I$5:$I$109,A153,Precios!$J$5:$J$109,C153))</f>
        <v>9.6750135999999998</v>
      </c>
      <c r="O153" s="17">
        <f t="shared" si="12"/>
        <v>4837.5068000000001</v>
      </c>
      <c r="P153" s="17">
        <f t="shared" si="13"/>
        <v>6.0443000000004758</v>
      </c>
      <c r="Q153" s="17">
        <f>IF(F153="cetes",IF(A153=G153,SUMIFS(Transacciones!$N$5:$N$20,Transacciones!$T$5:$T$20,E153,Transacciones!$F$5:$F$20,"&lt;"&amp;A153)*H153,0),0)</f>
        <v>0</v>
      </c>
      <c r="R153" s="11" t="str">
        <f>IF(COUNTIF(Entradas!$A$14:$A$17,A153)&gt;0,"sí","")</f>
        <v/>
      </c>
      <c r="S153" s="11" t="str">
        <f t="shared" si="14"/>
        <v>46289|Principal|BI270318|Casa B</v>
      </c>
    </row>
    <row r="154" spans="1:19" x14ac:dyDescent="0.3">
      <c r="A154" s="20">
        <v>46289</v>
      </c>
      <c r="B154" s="21" t="s">
        <v>103</v>
      </c>
      <c r="C154" s="21" t="s">
        <v>123</v>
      </c>
      <c r="D154" s="21" t="s">
        <v>112</v>
      </c>
      <c r="E154" s="11" t="str">
        <f t="shared" si="10"/>
        <v>Secundario|DEMOACC|Casa A</v>
      </c>
      <c r="F154" s="11" t="str">
        <f>INDEX(Entradas!$C$40:$C$46,MATCH(C154,Entradas!$A$40:$A$46,0))</f>
        <v>accion</v>
      </c>
      <c r="G154" s="15" t="str">
        <f>IF(F154="cetes",INDEX(Entradas!$F$40:$F$46,MATCH(C154,Entradas!$A$40:$A$46,0)),"")</f>
        <v/>
      </c>
      <c r="H154" s="17" t="str">
        <f>IF(F154="cetes",INDEX(Entradas!$G$40:$G$46,MATCH(C154,Entradas!$A$40:$A$46,0)),"")</f>
        <v/>
      </c>
      <c r="I154" s="14">
        <f>IF(F154="cetes",IF(A154&gt;=G154,0,SUMIFS(Transacciones!$N$5:$N$20,Transacciones!$T$5:$T$20,E154,Transacciones!$F$5:$F$20,"&lt;="&amp;A154)),SUMIFS(Transacciones!$N$5:$N$20,Transacciones!$T$5:$T$20,E154,Transacciones!$F$5:$F$20,"&lt;="&amp;A154))</f>
        <v>150</v>
      </c>
      <c r="J154" s="14">
        <f>_xlfn.MAXIFS(Transacciones!$U$5:$U$20,Transacciones!$T$5:$T$20,E154,Transacciones!$F$5:$F$20,"&lt;="&amp;A154)</f>
        <v>46279007</v>
      </c>
      <c r="K154" s="18">
        <f>IF(I154=0,0,INDEX(Transacciones!$Z$5:$Z$20,MATCH(J154,Transacciones!$U$5:$U$20,0)))</f>
        <v>103.90046666666666</v>
      </c>
      <c r="L154" s="17">
        <f t="shared" si="11"/>
        <v>15585.07</v>
      </c>
      <c r="M154" s="15">
        <f>IF(F154="cetes",IF(COUNTIFS(CETES!$A$5:$A$95,A154,CETES!$B$5:$B$95,C154)=0,"",A154),SUMIFS(Precios!$K$5:$K$109,Precios!$I$5:$I$109,A154,Precios!$J$5:$J$109,C154))</f>
        <v>46289</v>
      </c>
      <c r="N154" s="18">
        <f>IF(F154="cetes",IF(COUNTIFS(CETES!$A$5:$A$95,A154,CETES!$B$5:$B$95,C154)=0,"",SUMIFS(CETES!$AF$5:$AF$95,CETES!$A$5:$A$95,A154,CETES!$B$5:$B$95,C154)),SUMIFS(Precios!$L$5:$L$109,Precios!$I$5:$I$109,A154,Precios!$J$5:$J$109,C154))</f>
        <v>92.8</v>
      </c>
      <c r="O154" s="17">
        <f t="shared" si="12"/>
        <v>13920</v>
      </c>
      <c r="P154" s="17">
        <f t="shared" si="13"/>
        <v>-1665.0699999999997</v>
      </c>
      <c r="Q154" s="17">
        <f>IF(F154="cetes",IF(A154=G154,SUMIFS(Transacciones!$N$5:$N$20,Transacciones!$T$5:$T$20,E154,Transacciones!$F$5:$F$20,"&lt;"&amp;A154)*H154,0),0)</f>
        <v>0</v>
      </c>
      <c r="R154" s="11" t="str">
        <f>IF(COUNTIF(Entradas!$A$14:$A$17,A154)&gt;0,"sí","")</f>
        <v/>
      </c>
      <c r="S154" s="11" t="str">
        <f t="shared" si="14"/>
        <v>46289|Secundario|DEMOACC|Casa A</v>
      </c>
    </row>
    <row r="155" spans="1:19" x14ac:dyDescent="0.3">
      <c r="A155" s="20">
        <v>46290</v>
      </c>
      <c r="B155" s="21" t="s">
        <v>94</v>
      </c>
      <c r="C155" s="21" t="s">
        <v>123</v>
      </c>
      <c r="D155" s="21" t="s">
        <v>112</v>
      </c>
      <c r="E155" s="11" t="str">
        <f t="shared" si="10"/>
        <v>Principal|DEMOACC|Casa A</v>
      </c>
      <c r="F155" s="11" t="str">
        <f>INDEX(Entradas!$C$40:$C$46,MATCH(C155,Entradas!$A$40:$A$46,0))</f>
        <v>accion</v>
      </c>
      <c r="G155" s="15" t="str">
        <f>IF(F155="cetes",INDEX(Entradas!$F$40:$F$46,MATCH(C155,Entradas!$A$40:$A$46,0)),"")</f>
        <v/>
      </c>
      <c r="H155" s="17" t="str">
        <f>IF(F155="cetes",INDEX(Entradas!$G$40:$G$46,MATCH(C155,Entradas!$A$40:$A$46,0)),"")</f>
        <v/>
      </c>
      <c r="I155" s="14">
        <f>IF(F155="cetes",IF(A155&gt;=G155,0,SUMIFS(Transacciones!$N$5:$N$20,Transacciones!$T$5:$T$20,E155,Transacciones!$F$5:$F$20,"&lt;="&amp;A155)),SUMIFS(Transacciones!$N$5:$N$20,Transacciones!$T$5:$T$20,E155,Transacciones!$F$5:$F$20,"&lt;="&amp;A155))</f>
        <v>200</v>
      </c>
      <c r="J155" s="14">
        <f>_xlfn.MAXIFS(Transacciones!$U$5:$U$20,Transacciones!$T$5:$T$20,E155,Transacciones!$F$5:$F$20,"&lt;="&amp;A155)</f>
        <v>46275001</v>
      </c>
      <c r="K155" s="18">
        <f>IF(I155=0,0,INDEX(Transacciones!$Z$5:$Z$20,MATCH(J155,Transacciones!$U$5:$U$20,0)))</f>
        <v>100.23985</v>
      </c>
      <c r="L155" s="17">
        <f t="shared" si="11"/>
        <v>20047.97</v>
      </c>
      <c r="M155" s="15">
        <f>IF(F155="cetes",IF(COUNTIFS(CETES!$A$5:$A$95,A155,CETES!$B$5:$B$95,C155)=0,"",A155),SUMIFS(Precios!$K$5:$K$109,Precios!$I$5:$I$109,A155,Precios!$J$5:$J$109,C155))</f>
        <v>46290</v>
      </c>
      <c r="N155" s="18">
        <f>IF(F155="cetes",IF(COUNTIFS(CETES!$A$5:$A$95,A155,CETES!$B$5:$B$95,C155)=0,"",SUMIFS(CETES!$AF$5:$AF$95,CETES!$A$5:$A$95,A155,CETES!$B$5:$B$95,C155)),SUMIFS(Precios!$L$5:$L$109,Precios!$I$5:$I$109,A155,Precios!$J$5:$J$109,C155))</f>
        <v>96.15</v>
      </c>
      <c r="O155" s="17">
        <f t="shared" si="12"/>
        <v>19230</v>
      </c>
      <c r="P155" s="17">
        <f t="shared" si="13"/>
        <v>-817.97000000000116</v>
      </c>
      <c r="Q155" s="17">
        <f>IF(F155="cetes",IF(A155=G155,SUMIFS(Transacciones!$N$5:$N$20,Transacciones!$T$5:$T$20,E155,Transacciones!$F$5:$F$20,"&lt;"&amp;A155)*H155,0),0)</f>
        <v>0</v>
      </c>
      <c r="R155" s="11" t="str">
        <f>IF(COUNTIF(Entradas!$A$14:$A$17,A155)&gt;0,"sí","")</f>
        <v/>
      </c>
      <c r="S155" s="11" t="str">
        <f t="shared" si="14"/>
        <v>46290|Principal|DEMOACC|Casa A</v>
      </c>
    </row>
    <row r="156" spans="1:19" x14ac:dyDescent="0.3">
      <c r="A156" s="20">
        <v>46290</v>
      </c>
      <c r="B156" s="21" t="s">
        <v>94</v>
      </c>
      <c r="C156" s="21" t="s">
        <v>123</v>
      </c>
      <c r="D156" s="21" t="s">
        <v>113</v>
      </c>
      <c r="E156" s="11" t="str">
        <f t="shared" si="10"/>
        <v>Principal|DEMOACC|Casa B</v>
      </c>
      <c r="F156" s="11" t="str">
        <f>INDEX(Entradas!$C$40:$C$46,MATCH(C156,Entradas!$A$40:$A$46,0))</f>
        <v>accion</v>
      </c>
      <c r="G156" s="15" t="str">
        <f>IF(F156="cetes",INDEX(Entradas!$F$40:$F$46,MATCH(C156,Entradas!$A$40:$A$46,0)),"")</f>
        <v/>
      </c>
      <c r="H156" s="17" t="str">
        <f>IF(F156="cetes",INDEX(Entradas!$G$40:$G$46,MATCH(C156,Entradas!$A$40:$A$46,0)),"")</f>
        <v/>
      </c>
      <c r="I156" s="14">
        <f>IF(F156="cetes",IF(A156&gt;=G156,0,SUMIFS(Transacciones!$N$5:$N$20,Transacciones!$T$5:$T$20,E156,Transacciones!$F$5:$F$20,"&lt;="&amp;A156)),SUMIFS(Transacciones!$N$5:$N$20,Transacciones!$T$5:$T$20,E156,Transacciones!$F$5:$F$20,"&lt;="&amp;A156))</f>
        <v>100</v>
      </c>
      <c r="J156" s="14">
        <f>_xlfn.MAXIFS(Transacciones!$U$5:$U$20,Transacciones!$T$5:$T$20,E156,Transacciones!$F$5:$F$20,"&lt;="&amp;A156)</f>
        <v>46279006</v>
      </c>
      <c r="K156" s="18">
        <f>IF(I156=0,0,INDEX(Transacciones!$Z$5:$Z$20,MATCH(J156,Transacciones!$U$5:$U$20,0)))</f>
        <v>103.399</v>
      </c>
      <c r="L156" s="17">
        <f t="shared" si="11"/>
        <v>10339.9</v>
      </c>
      <c r="M156" s="15">
        <f>IF(F156="cetes",IF(COUNTIFS(CETES!$A$5:$A$95,A156,CETES!$B$5:$B$95,C156)=0,"",A156),SUMIFS(Precios!$K$5:$K$109,Precios!$I$5:$I$109,A156,Precios!$J$5:$J$109,C156))</f>
        <v>46290</v>
      </c>
      <c r="N156" s="18">
        <f>IF(F156="cetes",IF(COUNTIFS(CETES!$A$5:$A$95,A156,CETES!$B$5:$B$95,C156)=0,"",SUMIFS(CETES!$AF$5:$AF$95,CETES!$A$5:$A$95,A156,CETES!$B$5:$B$95,C156)),SUMIFS(Precios!$L$5:$L$109,Precios!$I$5:$I$109,A156,Precios!$J$5:$J$109,C156))</f>
        <v>96.15</v>
      </c>
      <c r="O156" s="17">
        <f t="shared" si="12"/>
        <v>9615</v>
      </c>
      <c r="P156" s="17">
        <f t="shared" si="13"/>
        <v>-724.89999999999964</v>
      </c>
      <c r="Q156" s="17">
        <f>IF(F156="cetes",IF(A156=G156,SUMIFS(Transacciones!$N$5:$N$20,Transacciones!$T$5:$T$20,E156,Transacciones!$F$5:$F$20,"&lt;"&amp;A156)*H156,0),0)</f>
        <v>0</v>
      </c>
      <c r="R156" s="11" t="str">
        <f>IF(COUNTIF(Entradas!$A$14:$A$17,A156)&gt;0,"sí","")</f>
        <v/>
      </c>
      <c r="S156" s="11" t="str">
        <f t="shared" si="14"/>
        <v>46290|Principal|DEMOACC|Casa B</v>
      </c>
    </row>
    <row r="157" spans="1:19" x14ac:dyDescent="0.3">
      <c r="A157" s="20">
        <v>46290</v>
      </c>
      <c r="B157" s="21" t="s">
        <v>94</v>
      </c>
      <c r="C157" s="21" t="s">
        <v>126</v>
      </c>
      <c r="D157" s="21" t="s">
        <v>113</v>
      </c>
      <c r="E157" s="11" t="str">
        <f t="shared" si="10"/>
        <v>Principal|DEMOETF|Casa B</v>
      </c>
      <c r="F157" s="11" t="str">
        <f>INDEX(Entradas!$C$40:$C$46,MATCH(C157,Entradas!$A$40:$A$46,0))</f>
        <v>etf</v>
      </c>
      <c r="G157" s="15" t="str">
        <f>IF(F157="cetes",INDEX(Entradas!$F$40:$F$46,MATCH(C157,Entradas!$A$40:$A$46,0)),"")</f>
        <v/>
      </c>
      <c r="H157" s="17" t="str">
        <f>IF(F157="cetes",INDEX(Entradas!$G$40:$G$46,MATCH(C157,Entradas!$A$40:$A$46,0)),"")</f>
        <v/>
      </c>
      <c r="I157" s="14">
        <f>IF(F157="cetes",IF(A157&gt;=G157,0,SUMIFS(Transacciones!$N$5:$N$20,Transacciones!$T$5:$T$20,E157,Transacciones!$F$5:$F$20,"&lt;="&amp;A157)),SUMIFS(Transacciones!$N$5:$N$20,Transacciones!$T$5:$T$20,E157,Transacciones!$F$5:$F$20,"&lt;="&amp;A157))</f>
        <v>40</v>
      </c>
      <c r="J157" s="14">
        <f>_xlfn.MAXIFS(Transacciones!$U$5:$U$20,Transacciones!$T$5:$T$20,E157,Transacciones!$F$5:$F$20,"&lt;="&amp;A157)</f>
        <v>46290512</v>
      </c>
      <c r="K157" s="18">
        <f>IF(I157=0,0,INDEX(Transacciones!$Z$5:$Z$20,MATCH(J157,Transacciones!$U$5:$U$20,0)))</f>
        <v>49.386499999999998</v>
      </c>
      <c r="L157" s="17">
        <f t="shared" si="11"/>
        <v>1975.46</v>
      </c>
      <c r="M157" s="15">
        <f>IF(F157="cetes",IF(COUNTIFS(CETES!$A$5:$A$95,A157,CETES!$B$5:$B$95,C157)=0,"",A157),SUMIFS(Precios!$K$5:$K$109,Precios!$I$5:$I$109,A157,Precios!$J$5:$J$109,C157))</f>
        <v>46290</v>
      </c>
      <c r="N157" s="18">
        <f>IF(F157="cetes",IF(COUNTIFS(CETES!$A$5:$A$95,A157,CETES!$B$5:$B$95,C157)=0,"",SUMIFS(CETES!$AF$5:$AF$95,CETES!$A$5:$A$95,A157,CETES!$B$5:$B$95,C157)),SUMIFS(Precios!$L$5:$L$109,Precios!$I$5:$I$109,A157,Precios!$J$5:$J$109,C157))</f>
        <v>48.06</v>
      </c>
      <c r="O157" s="17">
        <f t="shared" si="12"/>
        <v>1922.4</v>
      </c>
      <c r="P157" s="17">
        <f t="shared" si="13"/>
        <v>-53.059999999999945</v>
      </c>
      <c r="Q157" s="17">
        <f>IF(F157="cetes",IF(A157=G157,SUMIFS(Transacciones!$N$5:$N$20,Transacciones!$T$5:$T$20,E157,Transacciones!$F$5:$F$20,"&lt;"&amp;A157)*H157,0),0)</f>
        <v>0</v>
      </c>
      <c r="R157" s="11" t="str">
        <f>IF(COUNTIF(Entradas!$A$14:$A$17,A157)&gt;0,"sí","")</f>
        <v/>
      </c>
      <c r="S157" s="11" t="str">
        <f t="shared" si="14"/>
        <v>46290|Principal|DEMOETF|Casa B</v>
      </c>
    </row>
    <row r="158" spans="1:19" x14ac:dyDescent="0.3">
      <c r="A158" s="20">
        <v>46290</v>
      </c>
      <c r="B158" s="21" t="s">
        <v>94</v>
      </c>
      <c r="C158" s="21" t="s">
        <v>129</v>
      </c>
      <c r="D158" s="21" t="s">
        <v>112</v>
      </c>
      <c r="E158" s="11" t="str">
        <f t="shared" si="10"/>
        <v>Principal|DEMOFIB|Casa A</v>
      </c>
      <c r="F158" s="11" t="str">
        <f>INDEX(Entradas!$C$40:$C$46,MATCH(C158,Entradas!$A$40:$A$46,0))</f>
        <v>fibra</v>
      </c>
      <c r="G158" s="15" t="str">
        <f>IF(F158="cetes",INDEX(Entradas!$F$40:$F$46,MATCH(C158,Entradas!$A$40:$A$46,0)),"")</f>
        <v/>
      </c>
      <c r="H158" s="17" t="str">
        <f>IF(F158="cetes",INDEX(Entradas!$G$40:$G$46,MATCH(C158,Entradas!$A$40:$A$46,0)),"")</f>
        <v/>
      </c>
      <c r="I158" s="14">
        <f>IF(F158="cetes",IF(A158&gt;=G158,0,SUMIFS(Transacciones!$N$5:$N$20,Transacciones!$T$5:$T$20,E158,Transacciones!$F$5:$F$20,"&lt;="&amp;A158)),SUMIFS(Transacciones!$N$5:$N$20,Transacciones!$T$5:$T$20,E158,Transacciones!$F$5:$F$20,"&lt;="&amp;A158))</f>
        <v>0</v>
      </c>
      <c r="J158" s="14">
        <f>_xlfn.MAXIFS(Transacciones!$U$5:$U$20,Transacciones!$T$5:$T$20,E158,Transacciones!$F$5:$F$20,"&lt;="&amp;A158)</f>
        <v>46287510</v>
      </c>
      <c r="K158" s="18">
        <f>IF(I158=0,0,INDEX(Transacciones!$Z$5:$Z$20,MATCH(J158,Transacciones!$U$5:$U$20,0)))</f>
        <v>0</v>
      </c>
      <c r="L158" s="17">
        <f t="shared" si="11"/>
        <v>0</v>
      </c>
      <c r="M158" s="15">
        <f>IF(F158="cetes",IF(COUNTIFS(CETES!$A$5:$A$95,A158,CETES!$B$5:$B$95,C158)=0,"",A158),SUMIFS(Precios!$K$5:$K$109,Precios!$I$5:$I$109,A158,Precios!$J$5:$J$109,C158))</f>
        <v>46290</v>
      </c>
      <c r="N158" s="18">
        <f>IF(F158="cetes",IF(COUNTIFS(CETES!$A$5:$A$95,A158,CETES!$B$5:$B$95,C158)=0,"",SUMIFS(CETES!$AF$5:$AF$95,CETES!$A$5:$A$95,A158,CETES!$B$5:$B$95,C158)),SUMIFS(Precios!$L$5:$L$109,Precios!$I$5:$I$109,A158,Precios!$J$5:$J$109,C158))</f>
        <v>23.68</v>
      </c>
      <c r="O158" s="17">
        <f t="shared" si="12"/>
        <v>0</v>
      </c>
      <c r="P158" s="17">
        <f t="shared" si="13"/>
        <v>0</v>
      </c>
      <c r="Q158" s="17">
        <f>IF(F158="cetes",IF(A158=G158,SUMIFS(Transacciones!$N$5:$N$20,Transacciones!$T$5:$T$20,E158,Transacciones!$F$5:$F$20,"&lt;"&amp;A158)*H158,0),0)</f>
        <v>0</v>
      </c>
      <c r="R158" s="11" t="str">
        <f>IF(COUNTIF(Entradas!$A$14:$A$17,A158)&gt;0,"sí","")</f>
        <v/>
      </c>
      <c r="S158" s="11" t="str">
        <f t="shared" si="14"/>
        <v>46290|Principal|DEMOFIB|Casa A</v>
      </c>
    </row>
    <row r="159" spans="1:19" x14ac:dyDescent="0.3">
      <c r="A159" s="20">
        <v>46290</v>
      </c>
      <c r="B159" s="21" t="s">
        <v>94</v>
      </c>
      <c r="C159" s="21" t="s">
        <v>132</v>
      </c>
      <c r="D159" s="21" t="s">
        <v>112</v>
      </c>
      <c r="E159" s="11" t="str">
        <f t="shared" si="10"/>
        <v>Principal|BI261008|Casa A</v>
      </c>
      <c r="F159" s="11" t="str">
        <f>INDEX(Entradas!$C$40:$C$46,MATCH(C159,Entradas!$A$40:$A$46,0))</f>
        <v>cetes</v>
      </c>
      <c r="G159" s="15">
        <f>IF(F159="cetes",INDEX(Entradas!$F$40:$F$46,MATCH(C159,Entradas!$A$40:$A$46,0)),"")</f>
        <v>46303</v>
      </c>
      <c r="H159" s="17">
        <f>IF(F159="cetes",INDEX(Entradas!$G$40:$G$46,MATCH(C159,Entradas!$A$40:$A$46,0)),"")</f>
        <v>10</v>
      </c>
      <c r="I159" s="14">
        <f>IF(F159="cetes",IF(A159&gt;=G159,0,SUMIFS(Transacciones!$N$5:$N$20,Transacciones!$T$5:$T$20,E159,Transacciones!$F$5:$F$20,"&lt;="&amp;A159)),SUMIFS(Transacciones!$N$5:$N$20,Transacciones!$T$5:$T$20,E159,Transacciones!$F$5:$F$20,"&lt;="&amp;A159))</f>
        <v>1500</v>
      </c>
      <c r="J159" s="14">
        <f>_xlfn.MAXIFS(Transacciones!$U$5:$U$20,Transacciones!$T$5:$T$20,E159,Transacciones!$F$5:$F$20,"&lt;="&amp;A159)</f>
        <v>46275003</v>
      </c>
      <c r="K159" s="18">
        <f>IF(I159=0,0,INDEX(Transacciones!$Z$5:$Z$20,MATCH(J159,Transacciones!$U$5:$U$20,0)))</f>
        <v>9.9516240000000007</v>
      </c>
      <c r="L159" s="17">
        <f t="shared" si="11"/>
        <v>14927.436000000002</v>
      </c>
      <c r="M159" s="15">
        <f>IF(F159="cetes",IF(COUNTIFS(CETES!$A$5:$A$95,A159,CETES!$B$5:$B$95,C159)=0,"",A159),SUMIFS(Precios!$K$5:$K$109,Precios!$I$5:$I$109,A159,Precios!$J$5:$J$109,C159))</f>
        <v>46290</v>
      </c>
      <c r="N159" s="18">
        <f>IF(F159="cetes",IF(COUNTIFS(CETES!$A$5:$A$95,A159,CETES!$B$5:$B$95,C159)=0,"",SUMIFS(CETES!$AF$5:$AF$95,CETES!$A$5:$A$95,A159,CETES!$B$5:$B$95,C159)),SUMIFS(Precios!$L$5:$L$109,Precios!$I$5:$I$109,A159,Precios!$J$5:$J$109,C159))</f>
        <v>9.9778409000000003</v>
      </c>
      <c r="O159" s="17">
        <f t="shared" si="12"/>
        <v>14966.761350000001</v>
      </c>
      <c r="P159" s="17">
        <f t="shared" si="13"/>
        <v>39.325349999999162</v>
      </c>
      <c r="Q159" s="17">
        <f>IF(F159="cetes",IF(A159=G159,SUMIFS(Transacciones!$N$5:$N$20,Transacciones!$T$5:$T$20,E159,Transacciones!$F$5:$F$20,"&lt;"&amp;A159)*H159,0),0)</f>
        <v>0</v>
      </c>
      <c r="R159" s="11" t="str">
        <f>IF(COUNTIF(Entradas!$A$14:$A$17,A159)&gt;0,"sí","")</f>
        <v/>
      </c>
      <c r="S159" s="11" t="str">
        <f t="shared" si="14"/>
        <v>46290|Principal|BI261008|Casa A</v>
      </c>
    </row>
    <row r="160" spans="1:19" x14ac:dyDescent="0.3">
      <c r="A160" s="20">
        <v>46290</v>
      </c>
      <c r="B160" s="21" t="s">
        <v>94</v>
      </c>
      <c r="C160" s="21" t="s">
        <v>132</v>
      </c>
      <c r="D160" s="21" t="s">
        <v>113</v>
      </c>
      <c r="E160" s="11" t="str">
        <f t="shared" si="10"/>
        <v>Principal|BI261008|Casa B</v>
      </c>
      <c r="F160" s="11" t="str">
        <f>INDEX(Entradas!$C$40:$C$46,MATCH(C160,Entradas!$A$40:$A$46,0))</f>
        <v>cetes</v>
      </c>
      <c r="G160" s="15">
        <f>IF(F160="cetes",INDEX(Entradas!$F$40:$F$46,MATCH(C160,Entradas!$A$40:$A$46,0)),"")</f>
        <v>46303</v>
      </c>
      <c r="H160" s="17">
        <f>IF(F160="cetes",INDEX(Entradas!$G$40:$G$46,MATCH(C160,Entradas!$A$40:$A$46,0)),"")</f>
        <v>10</v>
      </c>
      <c r="I160" s="14">
        <f>IF(F160="cetes",IF(A160&gt;=G160,0,SUMIFS(Transacciones!$N$5:$N$20,Transacciones!$T$5:$T$20,E160,Transacciones!$F$5:$F$20,"&lt;="&amp;A160)),SUMIFS(Transacciones!$N$5:$N$20,Transacciones!$T$5:$T$20,E160,Transacciones!$F$5:$F$20,"&lt;="&amp;A160))</f>
        <v>1000</v>
      </c>
      <c r="J160" s="14">
        <f>_xlfn.MAXIFS(Transacciones!$U$5:$U$20,Transacciones!$T$5:$T$20,E160,Transacciones!$F$5:$F$20,"&lt;="&amp;A160)</f>
        <v>46275004</v>
      </c>
      <c r="K160" s="18">
        <f>IF(I160=0,0,INDEX(Transacciones!$Z$5:$Z$20,MATCH(J160,Transacciones!$U$5:$U$20,0)))</f>
        <v>9.9516239999999989</v>
      </c>
      <c r="L160" s="17">
        <f t="shared" si="11"/>
        <v>9951.6239999999998</v>
      </c>
      <c r="M160" s="15">
        <f>IF(F160="cetes",IF(COUNTIFS(CETES!$A$5:$A$95,A160,CETES!$B$5:$B$95,C160)=0,"",A160),SUMIFS(Precios!$K$5:$K$109,Precios!$I$5:$I$109,A160,Precios!$J$5:$J$109,C160))</f>
        <v>46290</v>
      </c>
      <c r="N160" s="18">
        <f>IF(F160="cetes",IF(COUNTIFS(CETES!$A$5:$A$95,A160,CETES!$B$5:$B$95,C160)=0,"",SUMIFS(CETES!$AF$5:$AF$95,CETES!$A$5:$A$95,A160,CETES!$B$5:$B$95,C160)),SUMIFS(Precios!$L$5:$L$109,Precios!$I$5:$I$109,A160,Precios!$J$5:$J$109,C160))</f>
        <v>9.9778409000000003</v>
      </c>
      <c r="O160" s="17">
        <f t="shared" si="12"/>
        <v>9977.8409000000011</v>
      </c>
      <c r="P160" s="17">
        <f t="shared" si="13"/>
        <v>26.21690000000126</v>
      </c>
      <c r="Q160" s="17">
        <f>IF(F160="cetes",IF(A160=G160,SUMIFS(Transacciones!$N$5:$N$20,Transacciones!$T$5:$T$20,E160,Transacciones!$F$5:$F$20,"&lt;"&amp;A160)*H160,0),0)</f>
        <v>0</v>
      </c>
      <c r="R160" s="11" t="str">
        <f>IF(COUNTIF(Entradas!$A$14:$A$17,A160)&gt;0,"sí","")</f>
        <v/>
      </c>
      <c r="S160" s="11" t="str">
        <f t="shared" si="14"/>
        <v>46290|Principal|BI261008|Casa B</v>
      </c>
    </row>
    <row r="161" spans="1:19" x14ac:dyDescent="0.3">
      <c r="A161" s="20">
        <v>46290</v>
      </c>
      <c r="B161" s="21" t="s">
        <v>94</v>
      </c>
      <c r="C161" s="21" t="s">
        <v>135</v>
      </c>
      <c r="D161" s="21" t="s">
        <v>113</v>
      </c>
      <c r="E161" s="11" t="str">
        <f t="shared" si="10"/>
        <v>Principal|BI261105|Casa B</v>
      </c>
      <c r="F161" s="11" t="str">
        <f>INDEX(Entradas!$C$40:$C$46,MATCH(C161,Entradas!$A$40:$A$46,0))</f>
        <v>cetes</v>
      </c>
      <c r="G161" s="15">
        <f>IF(F161="cetes",INDEX(Entradas!$F$40:$F$46,MATCH(C161,Entradas!$A$40:$A$46,0)),"")</f>
        <v>46331</v>
      </c>
      <c r="H161" s="17">
        <f>IF(F161="cetes",INDEX(Entradas!$G$40:$G$46,MATCH(C161,Entradas!$A$40:$A$46,0)),"")</f>
        <v>10</v>
      </c>
      <c r="I161" s="14">
        <f>IF(F161="cetes",IF(A161&gt;=G161,0,SUMIFS(Transacciones!$N$5:$N$20,Transacciones!$T$5:$T$20,E161,Transacciones!$F$5:$F$20,"&lt;="&amp;A161)),SUMIFS(Transacciones!$N$5:$N$20,Transacciones!$T$5:$T$20,E161,Transacciones!$F$5:$F$20,"&lt;="&amp;A161))</f>
        <v>0</v>
      </c>
      <c r="J161" s="14">
        <f>_xlfn.MAXIFS(Transacciones!$U$5:$U$20,Transacciones!$T$5:$T$20,E161,Transacciones!$F$5:$F$20,"&lt;="&amp;A161)</f>
        <v>0</v>
      </c>
      <c r="K161" s="18">
        <f>IF(I161=0,0,INDEX(Transacciones!$Z$5:$Z$20,MATCH(J161,Transacciones!$U$5:$U$20,0)))</f>
        <v>0</v>
      </c>
      <c r="L161" s="17">
        <f t="shared" si="11"/>
        <v>0</v>
      </c>
      <c r="M161" s="15" t="str">
        <f>IF(F161="cetes",IF(COUNTIFS(CETES!$A$5:$A$95,A161,CETES!$B$5:$B$95,C161)=0,"",A161),SUMIFS(Precios!$K$5:$K$109,Precios!$I$5:$I$109,A161,Precios!$J$5:$J$109,C161))</f>
        <v/>
      </c>
      <c r="N161" s="18" t="str">
        <f>IF(F161="cetes",IF(COUNTIFS(CETES!$A$5:$A$95,A161,CETES!$B$5:$B$95,C161)=0,"",SUMIFS(CETES!$AF$5:$AF$95,CETES!$A$5:$A$95,A161,CETES!$B$5:$B$95,C161)),SUMIFS(Precios!$L$5:$L$109,Precios!$I$5:$I$109,A161,Precios!$J$5:$J$109,C161))</f>
        <v/>
      </c>
      <c r="O161" s="17">
        <f t="shared" si="12"/>
        <v>0</v>
      </c>
      <c r="P161" s="17">
        <f t="shared" si="13"/>
        <v>0</v>
      </c>
      <c r="Q161" s="17">
        <f>IF(F161="cetes",IF(A161=G161,SUMIFS(Transacciones!$N$5:$N$20,Transacciones!$T$5:$T$20,E161,Transacciones!$F$5:$F$20,"&lt;"&amp;A161)*H161,0),0)</f>
        <v>0</v>
      </c>
      <c r="R161" s="11" t="str">
        <f>IF(COUNTIF(Entradas!$A$14:$A$17,A161)&gt;0,"sí","")</f>
        <v/>
      </c>
      <c r="S161" s="11" t="str">
        <f t="shared" si="14"/>
        <v>46290|Principal|BI261105|Casa B</v>
      </c>
    </row>
    <row r="162" spans="1:19" x14ac:dyDescent="0.3">
      <c r="A162" s="20">
        <v>46290</v>
      </c>
      <c r="B162" s="21" t="s">
        <v>94</v>
      </c>
      <c r="C162" s="21" t="s">
        <v>137</v>
      </c>
      <c r="D162" s="21" t="s">
        <v>112</v>
      </c>
      <c r="E162" s="11" t="str">
        <f t="shared" si="10"/>
        <v>Principal|BI261217|Casa A</v>
      </c>
      <c r="F162" s="11" t="str">
        <f>INDEX(Entradas!$C$40:$C$46,MATCH(C162,Entradas!$A$40:$A$46,0))</f>
        <v>cetes</v>
      </c>
      <c r="G162" s="15">
        <f>IF(F162="cetes",INDEX(Entradas!$F$40:$F$46,MATCH(C162,Entradas!$A$40:$A$46,0)),"")</f>
        <v>46373</v>
      </c>
      <c r="H162" s="17">
        <f>IF(F162="cetes",INDEX(Entradas!$G$40:$G$46,MATCH(C162,Entradas!$A$40:$A$46,0)),"")</f>
        <v>10</v>
      </c>
      <c r="I162" s="14">
        <f>IF(F162="cetes",IF(A162&gt;=G162,0,SUMIFS(Transacciones!$N$5:$N$20,Transacciones!$T$5:$T$20,E162,Transacciones!$F$5:$F$20,"&lt;="&amp;A162)),SUMIFS(Transacciones!$N$5:$N$20,Transacciones!$T$5:$T$20,E162,Transacciones!$F$5:$F$20,"&lt;="&amp;A162))</f>
        <v>1000</v>
      </c>
      <c r="J162" s="14">
        <f>_xlfn.MAXIFS(Transacciones!$U$5:$U$20,Transacciones!$T$5:$T$20,E162,Transacciones!$F$5:$F$20,"&lt;="&amp;A162)</f>
        <v>46282008</v>
      </c>
      <c r="K162" s="18">
        <f>IF(I162=0,0,INDEX(Transacciones!$Z$5:$Z$20,MATCH(J162,Transacciones!$U$5:$U$20,0)))</f>
        <v>9.8344372</v>
      </c>
      <c r="L162" s="17">
        <f t="shared" si="11"/>
        <v>9834.4372000000003</v>
      </c>
      <c r="M162" s="15">
        <f>IF(F162="cetes",IF(COUNTIFS(CETES!$A$5:$A$95,A162,CETES!$B$5:$B$95,C162)=0,"",A162),SUMIFS(Precios!$K$5:$K$109,Precios!$I$5:$I$109,A162,Precios!$J$5:$J$109,C162))</f>
        <v>46290</v>
      </c>
      <c r="N162" s="18">
        <f>IF(F162="cetes",IF(COUNTIFS(CETES!$A$5:$A$95,A162,CETES!$B$5:$B$95,C162)=0,"",SUMIFS(CETES!$AF$5:$AF$95,CETES!$A$5:$A$95,A162,CETES!$B$5:$B$95,C162)),SUMIFS(Precios!$L$5:$L$109,Precios!$I$5:$I$109,A162,Precios!$J$5:$J$109,C162))</f>
        <v>9.8515879000000002</v>
      </c>
      <c r="O162" s="17">
        <f t="shared" si="12"/>
        <v>9851.5879000000004</v>
      </c>
      <c r="P162" s="17">
        <f t="shared" si="13"/>
        <v>17.150700000000143</v>
      </c>
      <c r="Q162" s="17">
        <f>IF(F162="cetes",IF(A162=G162,SUMIFS(Transacciones!$N$5:$N$20,Transacciones!$T$5:$T$20,E162,Transacciones!$F$5:$F$20,"&lt;"&amp;A162)*H162,0),0)</f>
        <v>0</v>
      </c>
      <c r="R162" s="11" t="str">
        <f>IF(COUNTIF(Entradas!$A$14:$A$17,A162)&gt;0,"sí","")</f>
        <v/>
      </c>
      <c r="S162" s="11" t="str">
        <f t="shared" si="14"/>
        <v>46290|Principal|BI261217|Casa A</v>
      </c>
    </row>
    <row r="163" spans="1:19" x14ac:dyDescent="0.3">
      <c r="A163" s="20">
        <v>46290</v>
      </c>
      <c r="B163" s="21" t="s">
        <v>94</v>
      </c>
      <c r="C163" s="21" t="s">
        <v>139</v>
      </c>
      <c r="D163" s="21" t="s">
        <v>113</v>
      </c>
      <c r="E163" s="11" t="str">
        <f t="shared" si="10"/>
        <v>Principal|BI270318|Casa B</v>
      </c>
      <c r="F163" s="11" t="str">
        <f>INDEX(Entradas!$C$40:$C$46,MATCH(C163,Entradas!$A$40:$A$46,0))</f>
        <v>cetes</v>
      </c>
      <c r="G163" s="15">
        <f>IF(F163="cetes",INDEX(Entradas!$F$40:$F$46,MATCH(C163,Entradas!$A$40:$A$46,0)),"")</f>
        <v>46464</v>
      </c>
      <c r="H163" s="17">
        <f>IF(F163="cetes",INDEX(Entradas!$G$40:$G$46,MATCH(C163,Entradas!$A$40:$A$46,0)),"")</f>
        <v>10</v>
      </c>
      <c r="I163" s="14">
        <f>IF(F163="cetes",IF(A163&gt;=G163,0,SUMIFS(Transacciones!$N$5:$N$20,Transacciones!$T$5:$T$20,E163,Transacciones!$F$5:$F$20,"&lt;="&amp;A163)),SUMIFS(Transacciones!$N$5:$N$20,Transacciones!$T$5:$T$20,E163,Transacciones!$F$5:$F$20,"&lt;="&amp;A163))</f>
        <v>500</v>
      </c>
      <c r="J163" s="14">
        <f>_xlfn.MAXIFS(Transacciones!$U$5:$U$20,Transacciones!$T$5:$T$20,E163,Transacciones!$F$5:$F$20,"&lt;="&amp;A163)</f>
        <v>46282009</v>
      </c>
      <c r="K163" s="18">
        <f>IF(I163=0,0,INDEX(Transacciones!$Z$5:$Z$20,MATCH(J163,Transacciones!$U$5:$U$20,0)))</f>
        <v>9.6629249999999995</v>
      </c>
      <c r="L163" s="17">
        <f t="shared" si="11"/>
        <v>4831.4624999999996</v>
      </c>
      <c r="M163" s="15">
        <f>IF(F163="cetes",IF(COUNTIFS(CETES!$A$5:$A$95,A163,CETES!$B$5:$B$95,C163)=0,"",A163),SUMIFS(Precios!$K$5:$K$109,Precios!$I$5:$I$109,A163,Precios!$J$5:$J$109,C163))</f>
        <v>46290</v>
      </c>
      <c r="N163" s="18">
        <f>IF(F163="cetes",IF(COUNTIFS(CETES!$A$5:$A$95,A163,CETES!$B$5:$B$95,C163)=0,"",SUMIFS(CETES!$AF$5:$AF$95,CETES!$A$5:$A$95,A163,CETES!$B$5:$B$95,C163)),SUMIFS(Precios!$L$5:$L$109,Precios!$I$5:$I$109,A163,Precios!$J$5:$J$109,C163))</f>
        <v>9.6769830999999993</v>
      </c>
      <c r="O163" s="17">
        <f t="shared" si="12"/>
        <v>4838.4915499999997</v>
      </c>
      <c r="P163" s="17">
        <f t="shared" si="13"/>
        <v>7.0290500000000975</v>
      </c>
      <c r="Q163" s="17">
        <f>IF(F163="cetes",IF(A163=G163,SUMIFS(Transacciones!$N$5:$N$20,Transacciones!$T$5:$T$20,E163,Transacciones!$F$5:$F$20,"&lt;"&amp;A163)*H163,0),0)</f>
        <v>0</v>
      </c>
      <c r="R163" s="11" t="str">
        <f>IF(COUNTIF(Entradas!$A$14:$A$17,A163)&gt;0,"sí","")</f>
        <v/>
      </c>
      <c r="S163" s="11" t="str">
        <f t="shared" si="14"/>
        <v>46290|Principal|BI270318|Casa B</v>
      </c>
    </row>
    <row r="164" spans="1:19" x14ac:dyDescent="0.3">
      <c r="A164" s="20">
        <v>46290</v>
      </c>
      <c r="B164" s="21" t="s">
        <v>103</v>
      </c>
      <c r="C164" s="21" t="s">
        <v>123</v>
      </c>
      <c r="D164" s="21" t="s">
        <v>112</v>
      </c>
      <c r="E164" s="11" t="str">
        <f t="shared" si="10"/>
        <v>Secundario|DEMOACC|Casa A</v>
      </c>
      <c r="F164" s="11" t="str">
        <f>INDEX(Entradas!$C$40:$C$46,MATCH(C164,Entradas!$A$40:$A$46,0))</f>
        <v>accion</v>
      </c>
      <c r="G164" s="15" t="str">
        <f>IF(F164="cetes",INDEX(Entradas!$F$40:$F$46,MATCH(C164,Entradas!$A$40:$A$46,0)),"")</f>
        <v/>
      </c>
      <c r="H164" s="17" t="str">
        <f>IF(F164="cetes",INDEX(Entradas!$G$40:$G$46,MATCH(C164,Entradas!$A$40:$A$46,0)),"")</f>
        <v/>
      </c>
      <c r="I164" s="14">
        <f>IF(F164="cetes",IF(A164&gt;=G164,0,SUMIFS(Transacciones!$N$5:$N$20,Transacciones!$T$5:$T$20,E164,Transacciones!$F$5:$F$20,"&lt;="&amp;A164)),SUMIFS(Transacciones!$N$5:$N$20,Transacciones!$T$5:$T$20,E164,Transacciones!$F$5:$F$20,"&lt;="&amp;A164))</f>
        <v>150</v>
      </c>
      <c r="J164" s="14">
        <f>_xlfn.MAXIFS(Transacciones!$U$5:$U$20,Transacciones!$T$5:$T$20,E164,Transacciones!$F$5:$F$20,"&lt;="&amp;A164)</f>
        <v>46279007</v>
      </c>
      <c r="K164" s="18">
        <f>IF(I164=0,0,INDEX(Transacciones!$Z$5:$Z$20,MATCH(J164,Transacciones!$U$5:$U$20,0)))</f>
        <v>103.90046666666666</v>
      </c>
      <c r="L164" s="17">
        <f t="shared" si="11"/>
        <v>15585.07</v>
      </c>
      <c r="M164" s="15">
        <f>IF(F164="cetes",IF(COUNTIFS(CETES!$A$5:$A$95,A164,CETES!$B$5:$B$95,C164)=0,"",A164),SUMIFS(Precios!$K$5:$K$109,Precios!$I$5:$I$109,A164,Precios!$J$5:$J$109,C164))</f>
        <v>46290</v>
      </c>
      <c r="N164" s="18">
        <f>IF(F164="cetes",IF(COUNTIFS(CETES!$A$5:$A$95,A164,CETES!$B$5:$B$95,C164)=0,"",SUMIFS(CETES!$AF$5:$AF$95,CETES!$A$5:$A$95,A164,CETES!$B$5:$B$95,C164)),SUMIFS(Precios!$L$5:$L$109,Precios!$I$5:$I$109,A164,Precios!$J$5:$J$109,C164))</f>
        <v>96.15</v>
      </c>
      <c r="O164" s="17">
        <f t="shared" si="12"/>
        <v>14422.5</v>
      </c>
      <c r="P164" s="17">
        <f t="shared" si="13"/>
        <v>-1162.5699999999997</v>
      </c>
      <c r="Q164" s="17">
        <f>IF(F164="cetes",IF(A164=G164,SUMIFS(Transacciones!$N$5:$N$20,Transacciones!$T$5:$T$20,E164,Transacciones!$F$5:$F$20,"&lt;"&amp;A164)*H164,0),0)</f>
        <v>0</v>
      </c>
      <c r="R164" s="11" t="str">
        <f>IF(COUNTIF(Entradas!$A$14:$A$17,A164)&gt;0,"sí","")</f>
        <v/>
      </c>
      <c r="S164" s="11" t="str">
        <f t="shared" si="14"/>
        <v>46290|Secundario|DEMOACC|Casa A</v>
      </c>
    </row>
    <row r="165" spans="1:19" x14ac:dyDescent="0.3">
      <c r="A165" s="20">
        <v>46291</v>
      </c>
      <c r="B165" s="21" t="s">
        <v>94</v>
      </c>
      <c r="C165" s="21" t="s">
        <v>123</v>
      </c>
      <c r="D165" s="21" t="s">
        <v>112</v>
      </c>
      <c r="E165" s="11" t="str">
        <f t="shared" si="10"/>
        <v>Principal|DEMOACC|Casa A</v>
      </c>
      <c r="F165" s="11" t="str">
        <f>INDEX(Entradas!$C$40:$C$46,MATCH(C165,Entradas!$A$40:$A$46,0))</f>
        <v>accion</v>
      </c>
      <c r="G165" s="15" t="str">
        <f>IF(F165="cetes",INDEX(Entradas!$F$40:$F$46,MATCH(C165,Entradas!$A$40:$A$46,0)),"")</f>
        <v/>
      </c>
      <c r="H165" s="17" t="str">
        <f>IF(F165="cetes",INDEX(Entradas!$G$40:$G$46,MATCH(C165,Entradas!$A$40:$A$46,0)),"")</f>
        <v/>
      </c>
      <c r="I165" s="14">
        <f>IF(F165="cetes",IF(A165&gt;=G165,0,SUMIFS(Transacciones!$N$5:$N$20,Transacciones!$T$5:$T$20,E165,Transacciones!$F$5:$F$20,"&lt;="&amp;A165)),SUMIFS(Transacciones!$N$5:$N$20,Transacciones!$T$5:$T$20,E165,Transacciones!$F$5:$F$20,"&lt;="&amp;A165))</f>
        <v>200</v>
      </c>
      <c r="J165" s="14">
        <f>_xlfn.MAXIFS(Transacciones!$U$5:$U$20,Transacciones!$T$5:$T$20,E165,Transacciones!$F$5:$F$20,"&lt;="&amp;A165)</f>
        <v>46275001</v>
      </c>
      <c r="K165" s="18">
        <f>IF(I165=0,0,INDEX(Transacciones!$Z$5:$Z$20,MATCH(J165,Transacciones!$U$5:$U$20,0)))</f>
        <v>100.23985</v>
      </c>
      <c r="L165" s="17">
        <f t="shared" si="11"/>
        <v>20047.97</v>
      </c>
      <c r="M165" s="15">
        <f>IF(F165="cetes",IF(COUNTIFS(CETES!$A$5:$A$95,A165,CETES!$B$5:$B$95,C165)=0,"",A165),SUMIFS(Precios!$K$5:$K$109,Precios!$I$5:$I$109,A165,Precios!$J$5:$J$109,C165))</f>
        <v>46290</v>
      </c>
      <c r="N165" s="18">
        <f>IF(F165="cetes",IF(COUNTIFS(CETES!$A$5:$A$95,A165,CETES!$B$5:$B$95,C165)=0,"",SUMIFS(CETES!$AF$5:$AF$95,CETES!$A$5:$A$95,A165,CETES!$B$5:$B$95,C165)),SUMIFS(Precios!$L$5:$L$109,Precios!$I$5:$I$109,A165,Precios!$J$5:$J$109,C165))</f>
        <v>96.15</v>
      </c>
      <c r="O165" s="17">
        <f t="shared" si="12"/>
        <v>19230</v>
      </c>
      <c r="P165" s="17">
        <f t="shared" si="13"/>
        <v>-817.97000000000116</v>
      </c>
      <c r="Q165" s="17">
        <f>IF(F165="cetes",IF(A165=G165,SUMIFS(Transacciones!$N$5:$N$20,Transacciones!$T$5:$T$20,E165,Transacciones!$F$5:$F$20,"&lt;"&amp;A165)*H165,0),0)</f>
        <v>0</v>
      </c>
      <c r="R165" s="11" t="str">
        <f>IF(COUNTIF(Entradas!$A$14:$A$17,A165)&gt;0,"sí","")</f>
        <v/>
      </c>
      <c r="S165" s="11" t="str">
        <f t="shared" si="14"/>
        <v>46291|Principal|DEMOACC|Casa A</v>
      </c>
    </row>
    <row r="166" spans="1:19" x14ac:dyDescent="0.3">
      <c r="A166" s="20">
        <v>46291</v>
      </c>
      <c r="B166" s="21" t="s">
        <v>94</v>
      </c>
      <c r="C166" s="21" t="s">
        <v>123</v>
      </c>
      <c r="D166" s="21" t="s">
        <v>113</v>
      </c>
      <c r="E166" s="11" t="str">
        <f t="shared" si="10"/>
        <v>Principal|DEMOACC|Casa B</v>
      </c>
      <c r="F166" s="11" t="str">
        <f>INDEX(Entradas!$C$40:$C$46,MATCH(C166,Entradas!$A$40:$A$46,0))</f>
        <v>accion</v>
      </c>
      <c r="G166" s="15" t="str">
        <f>IF(F166="cetes",INDEX(Entradas!$F$40:$F$46,MATCH(C166,Entradas!$A$40:$A$46,0)),"")</f>
        <v/>
      </c>
      <c r="H166" s="17" t="str">
        <f>IF(F166="cetes",INDEX(Entradas!$G$40:$G$46,MATCH(C166,Entradas!$A$40:$A$46,0)),"")</f>
        <v/>
      </c>
      <c r="I166" s="14">
        <f>IF(F166="cetes",IF(A166&gt;=G166,0,SUMIFS(Transacciones!$N$5:$N$20,Transacciones!$T$5:$T$20,E166,Transacciones!$F$5:$F$20,"&lt;="&amp;A166)),SUMIFS(Transacciones!$N$5:$N$20,Transacciones!$T$5:$T$20,E166,Transacciones!$F$5:$F$20,"&lt;="&amp;A166))</f>
        <v>100</v>
      </c>
      <c r="J166" s="14">
        <f>_xlfn.MAXIFS(Transacciones!$U$5:$U$20,Transacciones!$T$5:$T$20,E166,Transacciones!$F$5:$F$20,"&lt;="&amp;A166)</f>
        <v>46279006</v>
      </c>
      <c r="K166" s="18">
        <f>IF(I166=0,0,INDEX(Transacciones!$Z$5:$Z$20,MATCH(J166,Transacciones!$U$5:$U$20,0)))</f>
        <v>103.399</v>
      </c>
      <c r="L166" s="17">
        <f t="shared" si="11"/>
        <v>10339.9</v>
      </c>
      <c r="M166" s="15">
        <f>IF(F166="cetes",IF(COUNTIFS(CETES!$A$5:$A$95,A166,CETES!$B$5:$B$95,C166)=0,"",A166),SUMIFS(Precios!$K$5:$K$109,Precios!$I$5:$I$109,A166,Precios!$J$5:$J$109,C166))</f>
        <v>46290</v>
      </c>
      <c r="N166" s="18">
        <f>IF(F166="cetes",IF(COUNTIFS(CETES!$A$5:$A$95,A166,CETES!$B$5:$B$95,C166)=0,"",SUMIFS(CETES!$AF$5:$AF$95,CETES!$A$5:$A$95,A166,CETES!$B$5:$B$95,C166)),SUMIFS(Precios!$L$5:$L$109,Precios!$I$5:$I$109,A166,Precios!$J$5:$J$109,C166))</f>
        <v>96.15</v>
      </c>
      <c r="O166" s="17">
        <f t="shared" si="12"/>
        <v>9615</v>
      </c>
      <c r="P166" s="17">
        <f t="shared" si="13"/>
        <v>-724.89999999999964</v>
      </c>
      <c r="Q166" s="17">
        <f>IF(F166="cetes",IF(A166=G166,SUMIFS(Transacciones!$N$5:$N$20,Transacciones!$T$5:$T$20,E166,Transacciones!$F$5:$F$20,"&lt;"&amp;A166)*H166,0),0)</f>
        <v>0</v>
      </c>
      <c r="R166" s="11" t="str">
        <f>IF(COUNTIF(Entradas!$A$14:$A$17,A166)&gt;0,"sí","")</f>
        <v/>
      </c>
      <c r="S166" s="11" t="str">
        <f t="shared" si="14"/>
        <v>46291|Principal|DEMOACC|Casa B</v>
      </c>
    </row>
    <row r="167" spans="1:19" x14ac:dyDescent="0.3">
      <c r="A167" s="20">
        <v>46291</v>
      </c>
      <c r="B167" s="21" t="s">
        <v>94</v>
      </c>
      <c r="C167" s="21" t="s">
        <v>126</v>
      </c>
      <c r="D167" s="21" t="s">
        <v>113</v>
      </c>
      <c r="E167" s="11" t="str">
        <f t="shared" si="10"/>
        <v>Principal|DEMOETF|Casa B</v>
      </c>
      <c r="F167" s="11" t="str">
        <f>INDEX(Entradas!$C$40:$C$46,MATCH(C167,Entradas!$A$40:$A$46,0))</f>
        <v>etf</v>
      </c>
      <c r="G167" s="15" t="str">
        <f>IF(F167="cetes",INDEX(Entradas!$F$40:$F$46,MATCH(C167,Entradas!$A$40:$A$46,0)),"")</f>
        <v/>
      </c>
      <c r="H167" s="17" t="str">
        <f>IF(F167="cetes",INDEX(Entradas!$G$40:$G$46,MATCH(C167,Entradas!$A$40:$A$46,0)),"")</f>
        <v/>
      </c>
      <c r="I167" s="14">
        <f>IF(F167="cetes",IF(A167&gt;=G167,0,SUMIFS(Transacciones!$N$5:$N$20,Transacciones!$T$5:$T$20,E167,Transacciones!$F$5:$F$20,"&lt;="&amp;A167)),SUMIFS(Transacciones!$N$5:$N$20,Transacciones!$T$5:$T$20,E167,Transacciones!$F$5:$F$20,"&lt;="&amp;A167))</f>
        <v>40</v>
      </c>
      <c r="J167" s="14">
        <f>_xlfn.MAXIFS(Transacciones!$U$5:$U$20,Transacciones!$T$5:$T$20,E167,Transacciones!$F$5:$F$20,"&lt;="&amp;A167)</f>
        <v>46290512</v>
      </c>
      <c r="K167" s="18">
        <f>IF(I167=0,0,INDEX(Transacciones!$Z$5:$Z$20,MATCH(J167,Transacciones!$U$5:$U$20,0)))</f>
        <v>49.386499999999998</v>
      </c>
      <c r="L167" s="17">
        <f t="shared" si="11"/>
        <v>1975.46</v>
      </c>
      <c r="M167" s="15">
        <f>IF(F167="cetes",IF(COUNTIFS(CETES!$A$5:$A$95,A167,CETES!$B$5:$B$95,C167)=0,"",A167),SUMIFS(Precios!$K$5:$K$109,Precios!$I$5:$I$109,A167,Precios!$J$5:$J$109,C167))</f>
        <v>46290</v>
      </c>
      <c r="N167" s="18">
        <f>IF(F167="cetes",IF(COUNTIFS(CETES!$A$5:$A$95,A167,CETES!$B$5:$B$95,C167)=0,"",SUMIFS(CETES!$AF$5:$AF$95,CETES!$A$5:$A$95,A167,CETES!$B$5:$B$95,C167)),SUMIFS(Precios!$L$5:$L$109,Precios!$I$5:$I$109,A167,Precios!$J$5:$J$109,C167))</f>
        <v>48.06</v>
      </c>
      <c r="O167" s="17">
        <f t="shared" si="12"/>
        <v>1922.4</v>
      </c>
      <c r="P167" s="17">
        <f t="shared" si="13"/>
        <v>-53.059999999999945</v>
      </c>
      <c r="Q167" s="17">
        <f>IF(F167="cetes",IF(A167=G167,SUMIFS(Transacciones!$N$5:$N$20,Transacciones!$T$5:$T$20,E167,Transacciones!$F$5:$F$20,"&lt;"&amp;A167)*H167,0),0)</f>
        <v>0</v>
      </c>
      <c r="R167" s="11" t="str">
        <f>IF(COUNTIF(Entradas!$A$14:$A$17,A167)&gt;0,"sí","")</f>
        <v/>
      </c>
      <c r="S167" s="11" t="str">
        <f t="shared" si="14"/>
        <v>46291|Principal|DEMOETF|Casa B</v>
      </c>
    </row>
    <row r="168" spans="1:19" x14ac:dyDescent="0.3">
      <c r="A168" s="20">
        <v>46291</v>
      </c>
      <c r="B168" s="21" t="s">
        <v>94</v>
      </c>
      <c r="C168" s="21" t="s">
        <v>129</v>
      </c>
      <c r="D168" s="21" t="s">
        <v>112</v>
      </c>
      <c r="E168" s="11" t="str">
        <f t="shared" si="10"/>
        <v>Principal|DEMOFIB|Casa A</v>
      </c>
      <c r="F168" s="11" t="str">
        <f>INDEX(Entradas!$C$40:$C$46,MATCH(C168,Entradas!$A$40:$A$46,0))</f>
        <v>fibra</v>
      </c>
      <c r="G168" s="15" t="str">
        <f>IF(F168="cetes",INDEX(Entradas!$F$40:$F$46,MATCH(C168,Entradas!$A$40:$A$46,0)),"")</f>
        <v/>
      </c>
      <c r="H168" s="17" t="str">
        <f>IF(F168="cetes",INDEX(Entradas!$G$40:$G$46,MATCH(C168,Entradas!$A$40:$A$46,0)),"")</f>
        <v/>
      </c>
      <c r="I168" s="14">
        <f>IF(F168="cetes",IF(A168&gt;=G168,0,SUMIFS(Transacciones!$N$5:$N$20,Transacciones!$T$5:$T$20,E168,Transacciones!$F$5:$F$20,"&lt;="&amp;A168)),SUMIFS(Transacciones!$N$5:$N$20,Transacciones!$T$5:$T$20,E168,Transacciones!$F$5:$F$20,"&lt;="&amp;A168))</f>
        <v>0</v>
      </c>
      <c r="J168" s="14">
        <f>_xlfn.MAXIFS(Transacciones!$U$5:$U$20,Transacciones!$T$5:$T$20,E168,Transacciones!$F$5:$F$20,"&lt;="&amp;A168)</f>
        <v>46287510</v>
      </c>
      <c r="K168" s="18">
        <f>IF(I168=0,0,INDEX(Transacciones!$Z$5:$Z$20,MATCH(J168,Transacciones!$U$5:$U$20,0)))</f>
        <v>0</v>
      </c>
      <c r="L168" s="17">
        <f t="shared" si="11"/>
        <v>0</v>
      </c>
      <c r="M168" s="15">
        <f>IF(F168="cetes",IF(COUNTIFS(CETES!$A$5:$A$95,A168,CETES!$B$5:$B$95,C168)=0,"",A168),SUMIFS(Precios!$K$5:$K$109,Precios!$I$5:$I$109,A168,Precios!$J$5:$J$109,C168))</f>
        <v>46290</v>
      </c>
      <c r="N168" s="18">
        <f>IF(F168="cetes",IF(COUNTIFS(CETES!$A$5:$A$95,A168,CETES!$B$5:$B$95,C168)=0,"",SUMIFS(CETES!$AF$5:$AF$95,CETES!$A$5:$A$95,A168,CETES!$B$5:$B$95,C168)),SUMIFS(Precios!$L$5:$L$109,Precios!$I$5:$I$109,A168,Precios!$J$5:$J$109,C168))</f>
        <v>23.68</v>
      </c>
      <c r="O168" s="17">
        <f t="shared" si="12"/>
        <v>0</v>
      </c>
      <c r="P168" s="17">
        <f t="shared" si="13"/>
        <v>0</v>
      </c>
      <c r="Q168" s="17">
        <f>IF(F168="cetes",IF(A168=G168,SUMIFS(Transacciones!$N$5:$N$20,Transacciones!$T$5:$T$20,E168,Transacciones!$F$5:$F$20,"&lt;"&amp;A168)*H168,0),0)</f>
        <v>0</v>
      </c>
      <c r="R168" s="11" t="str">
        <f>IF(COUNTIF(Entradas!$A$14:$A$17,A168)&gt;0,"sí","")</f>
        <v/>
      </c>
      <c r="S168" s="11" t="str">
        <f t="shared" si="14"/>
        <v>46291|Principal|DEMOFIB|Casa A</v>
      </c>
    </row>
    <row r="169" spans="1:19" x14ac:dyDescent="0.3">
      <c r="A169" s="20">
        <v>46291</v>
      </c>
      <c r="B169" s="21" t="s">
        <v>94</v>
      </c>
      <c r="C169" s="21" t="s">
        <v>132</v>
      </c>
      <c r="D169" s="21" t="s">
        <v>112</v>
      </c>
      <c r="E169" s="11" t="str">
        <f t="shared" si="10"/>
        <v>Principal|BI261008|Casa A</v>
      </c>
      <c r="F169" s="11" t="str">
        <f>INDEX(Entradas!$C$40:$C$46,MATCH(C169,Entradas!$A$40:$A$46,0))</f>
        <v>cetes</v>
      </c>
      <c r="G169" s="15">
        <f>IF(F169="cetes",INDEX(Entradas!$F$40:$F$46,MATCH(C169,Entradas!$A$40:$A$46,0)),"")</f>
        <v>46303</v>
      </c>
      <c r="H169" s="17">
        <f>IF(F169="cetes",INDEX(Entradas!$G$40:$G$46,MATCH(C169,Entradas!$A$40:$A$46,0)),"")</f>
        <v>10</v>
      </c>
      <c r="I169" s="14">
        <f>IF(F169="cetes",IF(A169&gt;=G169,0,SUMIFS(Transacciones!$N$5:$N$20,Transacciones!$T$5:$T$20,E169,Transacciones!$F$5:$F$20,"&lt;="&amp;A169)),SUMIFS(Transacciones!$N$5:$N$20,Transacciones!$T$5:$T$20,E169,Transacciones!$F$5:$F$20,"&lt;="&amp;A169))</f>
        <v>1500</v>
      </c>
      <c r="J169" s="14">
        <f>_xlfn.MAXIFS(Transacciones!$U$5:$U$20,Transacciones!$T$5:$T$20,E169,Transacciones!$F$5:$F$20,"&lt;="&amp;A169)</f>
        <v>46275003</v>
      </c>
      <c r="K169" s="18">
        <f>IF(I169=0,0,INDEX(Transacciones!$Z$5:$Z$20,MATCH(J169,Transacciones!$U$5:$U$20,0)))</f>
        <v>9.9516240000000007</v>
      </c>
      <c r="L169" s="17">
        <f t="shared" si="11"/>
        <v>14927.436000000002</v>
      </c>
      <c r="M169" s="15">
        <f>IF(F169="cetes",IF(COUNTIFS(CETES!$A$5:$A$95,A169,CETES!$B$5:$B$95,C169)=0,"",A169),SUMIFS(Precios!$K$5:$K$109,Precios!$I$5:$I$109,A169,Precios!$J$5:$J$109,C169))</f>
        <v>46291</v>
      </c>
      <c r="N169" s="18">
        <f>IF(F169="cetes",IF(COUNTIFS(CETES!$A$5:$A$95,A169,CETES!$B$5:$B$95,C169)=0,"",SUMIFS(CETES!$AF$5:$AF$95,CETES!$A$5:$A$95,A169,CETES!$B$5:$B$95,C169)),SUMIFS(Precios!$L$5:$L$109,Precios!$I$5:$I$109,A169,Precios!$J$5:$J$109,C169))</f>
        <v>9.9795418999999992</v>
      </c>
      <c r="O169" s="17">
        <f t="shared" si="12"/>
        <v>14969.312849999998</v>
      </c>
      <c r="P169" s="17">
        <f t="shared" si="13"/>
        <v>41.876849999996921</v>
      </c>
      <c r="Q169" s="17">
        <f>IF(F169="cetes",IF(A169=G169,SUMIFS(Transacciones!$N$5:$N$20,Transacciones!$T$5:$T$20,E169,Transacciones!$F$5:$F$20,"&lt;"&amp;A169)*H169,0),0)</f>
        <v>0</v>
      </c>
      <c r="R169" s="11" t="str">
        <f>IF(COUNTIF(Entradas!$A$14:$A$17,A169)&gt;0,"sí","")</f>
        <v/>
      </c>
      <c r="S169" s="11" t="str">
        <f t="shared" si="14"/>
        <v>46291|Principal|BI261008|Casa A</v>
      </c>
    </row>
    <row r="170" spans="1:19" x14ac:dyDescent="0.3">
      <c r="A170" s="20">
        <v>46291</v>
      </c>
      <c r="B170" s="21" t="s">
        <v>94</v>
      </c>
      <c r="C170" s="21" t="s">
        <v>132</v>
      </c>
      <c r="D170" s="21" t="s">
        <v>113</v>
      </c>
      <c r="E170" s="11" t="str">
        <f t="shared" si="10"/>
        <v>Principal|BI261008|Casa B</v>
      </c>
      <c r="F170" s="11" t="str">
        <f>INDEX(Entradas!$C$40:$C$46,MATCH(C170,Entradas!$A$40:$A$46,0))</f>
        <v>cetes</v>
      </c>
      <c r="G170" s="15">
        <f>IF(F170="cetes",INDEX(Entradas!$F$40:$F$46,MATCH(C170,Entradas!$A$40:$A$46,0)),"")</f>
        <v>46303</v>
      </c>
      <c r="H170" s="17">
        <f>IF(F170="cetes",INDEX(Entradas!$G$40:$G$46,MATCH(C170,Entradas!$A$40:$A$46,0)),"")</f>
        <v>10</v>
      </c>
      <c r="I170" s="14">
        <f>IF(F170="cetes",IF(A170&gt;=G170,0,SUMIFS(Transacciones!$N$5:$N$20,Transacciones!$T$5:$T$20,E170,Transacciones!$F$5:$F$20,"&lt;="&amp;A170)),SUMIFS(Transacciones!$N$5:$N$20,Transacciones!$T$5:$T$20,E170,Transacciones!$F$5:$F$20,"&lt;="&amp;A170))</f>
        <v>1000</v>
      </c>
      <c r="J170" s="14">
        <f>_xlfn.MAXIFS(Transacciones!$U$5:$U$20,Transacciones!$T$5:$T$20,E170,Transacciones!$F$5:$F$20,"&lt;="&amp;A170)</f>
        <v>46275004</v>
      </c>
      <c r="K170" s="18">
        <f>IF(I170=0,0,INDEX(Transacciones!$Z$5:$Z$20,MATCH(J170,Transacciones!$U$5:$U$20,0)))</f>
        <v>9.9516239999999989</v>
      </c>
      <c r="L170" s="17">
        <f t="shared" si="11"/>
        <v>9951.6239999999998</v>
      </c>
      <c r="M170" s="15">
        <f>IF(F170="cetes",IF(COUNTIFS(CETES!$A$5:$A$95,A170,CETES!$B$5:$B$95,C170)=0,"",A170),SUMIFS(Precios!$K$5:$K$109,Precios!$I$5:$I$109,A170,Precios!$J$5:$J$109,C170))</f>
        <v>46291</v>
      </c>
      <c r="N170" s="18">
        <f>IF(F170="cetes",IF(COUNTIFS(CETES!$A$5:$A$95,A170,CETES!$B$5:$B$95,C170)=0,"",SUMIFS(CETES!$AF$5:$AF$95,CETES!$A$5:$A$95,A170,CETES!$B$5:$B$95,C170)),SUMIFS(Precios!$L$5:$L$109,Precios!$I$5:$I$109,A170,Precios!$J$5:$J$109,C170))</f>
        <v>9.9795418999999992</v>
      </c>
      <c r="O170" s="17">
        <f t="shared" si="12"/>
        <v>9979.5418999999983</v>
      </c>
      <c r="P170" s="17">
        <f t="shared" si="13"/>
        <v>27.917899999998554</v>
      </c>
      <c r="Q170" s="17">
        <f>IF(F170="cetes",IF(A170=G170,SUMIFS(Transacciones!$N$5:$N$20,Transacciones!$T$5:$T$20,E170,Transacciones!$F$5:$F$20,"&lt;"&amp;A170)*H170,0),0)</f>
        <v>0</v>
      </c>
      <c r="R170" s="11" t="str">
        <f>IF(COUNTIF(Entradas!$A$14:$A$17,A170)&gt;0,"sí","")</f>
        <v/>
      </c>
      <c r="S170" s="11" t="str">
        <f t="shared" si="14"/>
        <v>46291|Principal|BI261008|Casa B</v>
      </c>
    </row>
    <row r="171" spans="1:19" x14ac:dyDescent="0.3">
      <c r="A171" s="20">
        <v>46291</v>
      </c>
      <c r="B171" s="21" t="s">
        <v>94</v>
      </c>
      <c r="C171" s="21" t="s">
        <v>135</v>
      </c>
      <c r="D171" s="21" t="s">
        <v>113</v>
      </c>
      <c r="E171" s="11" t="str">
        <f t="shared" si="10"/>
        <v>Principal|BI261105|Casa B</v>
      </c>
      <c r="F171" s="11" t="str">
        <f>INDEX(Entradas!$C$40:$C$46,MATCH(C171,Entradas!$A$40:$A$46,0))</f>
        <v>cetes</v>
      </c>
      <c r="G171" s="15">
        <f>IF(F171="cetes",INDEX(Entradas!$F$40:$F$46,MATCH(C171,Entradas!$A$40:$A$46,0)),"")</f>
        <v>46331</v>
      </c>
      <c r="H171" s="17">
        <f>IF(F171="cetes",INDEX(Entradas!$G$40:$G$46,MATCH(C171,Entradas!$A$40:$A$46,0)),"")</f>
        <v>10</v>
      </c>
      <c r="I171" s="14">
        <f>IF(F171="cetes",IF(A171&gt;=G171,0,SUMIFS(Transacciones!$N$5:$N$20,Transacciones!$T$5:$T$20,E171,Transacciones!$F$5:$F$20,"&lt;="&amp;A171)),SUMIFS(Transacciones!$N$5:$N$20,Transacciones!$T$5:$T$20,E171,Transacciones!$F$5:$F$20,"&lt;="&amp;A171))</f>
        <v>0</v>
      </c>
      <c r="J171" s="14">
        <f>_xlfn.MAXIFS(Transacciones!$U$5:$U$20,Transacciones!$T$5:$T$20,E171,Transacciones!$F$5:$F$20,"&lt;="&amp;A171)</f>
        <v>0</v>
      </c>
      <c r="K171" s="18">
        <f>IF(I171=0,0,INDEX(Transacciones!$Z$5:$Z$20,MATCH(J171,Transacciones!$U$5:$U$20,0)))</f>
        <v>0</v>
      </c>
      <c r="L171" s="17">
        <f t="shared" si="11"/>
        <v>0</v>
      </c>
      <c r="M171" s="15" t="str">
        <f>IF(F171="cetes",IF(COUNTIFS(CETES!$A$5:$A$95,A171,CETES!$B$5:$B$95,C171)=0,"",A171),SUMIFS(Precios!$K$5:$K$109,Precios!$I$5:$I$109,A171,Precios!$J$5:$J$109,C171))</f>
        <v/>
      </c>
      <c r="N171" s="18" t="str">
        <f>IF(F171="cetes",IF(COUNTIFS(CETES!$A$5:$A$95,A171,CETES!$B$5:$B$95,C171)=0,"",SUMIFS(CETES!$AF$5:$AF$95,CETES!$A$5:$A$95,A171,CETES!$B$5:$B$95,C171)),SUMIFS(Precios!$L$5:$L$109,Precios!$I$5:$I$109,A171,Precios!$J$5:$J$109,C171))</f>
        <v/>
      </c>
      <c r="O171" s="17">
        <f t="shared" si="12"/>
        <v>0</v>
      </c>
      <c r="P171" s="17">
        <f t="shared" si="13"/>
        <v>0</v>
      </c>
      <c r="Q171" s="17">
        <f>IF(F171="cetes",IF(A171=G171,SUMIFS(Transacciones!$N$5:$N$20,Transacciones!$T$5:$T$20,E171,Transacciones!$F$5:$F$20,"&lt;"&amp;A171)*H171,0),0)</f>
        <v>0</v>
      </c>
      <c r="R171" s="11" t="str">
        <f>IF(COUNTIF(Entradas!$A$14:$A$17,A171)&gt;0,"sí","")</f>
        <v/>
      </c>
      <c r="S171" s="11" t="str">
        <f t="shared" si="14"/>
        <v>46291|Principal|BI261105|Casa B</v>
      </c>
    </row>
    <row r="172" spans="1:19" x14ac:dyDescent="0.3">
      <c r="A172" s="20">
        <v>46291</v>
      </c>
      <c r="B172" s="21" t="s">
        <v>94</v>
      </c>
      <c r="C172" s="21" t="s">
        <v>137</v>
      </c>
      <c r="D172" s="21" t="s">
        <v>112</v>
      </c>
      <c r="E172" s="11" t="str">
        <f t="shared" si="10"/>
        <v>Principal|BI261217|Casa A</v>
      </c>
      <c r="F172" s="11" t="str">
        <f>INDEX(Entradas!$C$40:$C$46,MATCH(C172,Entradas!$A$40:$A$46,0))</f>
        <v>cetes</v>
      </c>
      <c r="G172" s="15">
        <f>IF(F172="cetes",INDEX(Entradas!$F$40:$F$46,MATCH(C172,Entradas!$A$40:$A$46,0)),"")</f>
        <v>46373</v>
      </c>
      <c r="H172" s="17">
        <f>IF(F172="cetes",INDEX(Entradas!$G$40:$G$46,MATCH(C172,Entradas!$A$40:$A$46,0)),"")</f>
        <v>10</v>
      </c>
      <c r="I172" s="14">
        <f>IF(F172="cetes",IF(A172&gt;=G172,0,SUMIFS(Transacciones!$N$5:$N$20,Transacciones!$T$5:$T$20,E172,Transacciones!$F$5:$F$20,"&lt;="&amp;A172)),SUMIFS(Transacciones!$N$5:$N$20,Transacciones!$T$5:$T$20,E172,Transacciones!$F$5:$F$20,"&lt;="&amp;A172))</f>
        <v>1000</v>
      </c>
      <c r="J172" s="14">
        <f>_xlfn.MAXIFS(Transacciones!$U$5:$U$20,Transacciones!$T$5:$T$20,E172,Transacciones!$F$5:$F$20,"&lt;="&amp;A172)</f>
        <v>46282008</v>
      </c>
      <c r="K172" s="18">
        <f>IF(I172=0,0,INDEX(Transacciones!$Z$5:$Z$20,MATCH(J172,Transacciones!$U$5:$U$20,0)))</f>
        <v>9.8344372</v>
      </c>
      <c r="L172" s="17">
        <f t="shared" si="11"/>
        <v>9834.4372000000003</v>
      </c>
      <c r="M172" s="15">
        <f>IF(F172="cetes",IF(COUNTIFS(CETES!$A$5:$A$95,A172,CETES!$B$5:$B$95,C172)=0,"",A172),SUMIFS(Precios!$K$5:$K$109,Precios!$I$5:$I$109,A172,Precios!$J$5:$J$109,C172))</f>
        <v>46291</v>
      </c>
      <c r="N172" s="18">
        <f>IF(F172="cetes",IF(COUNTIFS(CETES!$A$5:$A$95,A172,CETES!$B$5:$B$95,C172)=0,"",SUMIFS(CETES!$AF$5:$AF$95,CETES!$A$5:$A$95,A172,CETES!$B$5:$B$95,C172)),SUMIFS(Precios!$L$5:$L$109,Precios!$I$5:$I$109,A172,Precios!$J$5:$J$109,C172))</f>
        <v>9.8535041999999997</v>
      </c>
      <c r="O172" s="17">
        <f t="shared" si="12"/>
        <v>9853.5041999999994</v>
      </c>
      <c r="P172" s="17">
        <f t="shared" si="13"/>
        <v>19.066999999999098</v>
      </c>
      <c r="Q172" s="17">
        <f>IF(F172="cetes",IF(A172=G172,SUMIFS(Transacciones!$N$5:$N$20,Transacciones!$T$5:$T$20,E172,Transacciones!$F$5:$F$20,"&lt;"&amp;A172)*H172,0),0)</f>
        <v>0</v>
      </c>
      <c r="R172" s="11" t="str">
        <f>IF(COUNTIF(Entradas!$A$14:$A$17,A172)&gt;0,"sí","")</f>
        <v/>
      </c>
      <c r="S172" s="11" t="str">
        <f t="shared" si="14"/>
        <v>46291|Principal|BI261217|Casa A</v>
      </c>
    </row>
    <row r="173" spans="1:19" x14ac:dyDescent="0.3">
      <c r="A173" s="20">
        <v>46291</v>
      </c>
      <c r="B173" s="21" t="s">
        <v>94</v>
      </c>
      <c r="C173" s="21" t="s">
        <v>139</v>
      </c>
      <c r="D173" s="21" t="s">
        <v>113</v>
      </c>
      <c r="E173" s="11" t="str">
        <f t="shared" si="10"/>
        <v>Principal|BI270318|Casa B</v>
      </c>
      <c r="F173" s="11" t="str">
        <f>INDEX(Entradas!$C$40:$C$46,MATCH(C173,Entradas!$A$40:$A$46,0))</f>
        <v>cetes</v>
      </c>
      <c r="G173" s="15">
        <f>IF(F173="cetes",INDEX(Entradas!$F$40:$F$46,MATCH(C173,Entradas!$A$40:$A$46,0)),"")</f>
        <v>46464</v>
      </c>
      <c r="H173" s="17">
        <f>IF(F173="cetes",INDEX(Entradas!$G$40:$G$46,MATCH(C173,Entradas!$A$40:$A$46,0)),"")</f>
        <v>10</v>
      </c>
      <c r="I173" s="14">
        <f>IF(F173="cetes",IF(A173&gt;=G173,0,SUMIFS(Transacciones!$N$5:$N$20,Transacciones!$T$5:$T$20,E173,Transacciones!$F$5:$F$20,"&lt;="&amp;A173)),SUMIFS(Transacciones!$N$5:$N$20,Transacciones!$T$5:$T$20,E173,Transacciones!$F$5:$F$20,"&lt;="&amp;A173))</f>
        <v>500</v>
      </c>
      <c r="J173" s="14">
        <f>_xlfn.MAXIFS(Transacciones!$U$5:$U$20,Transacciones!$T$5:$T$20,E173,Transacciones!$F$5:$F$20,"&lt;="&amp;A173)</f>
        <v>46282009</v>
      </c>
      <c r="K173" s="18">
        <f>IF(I173=0,0,INDEX(Transacciones!$Z$5:$Z$20,MATCH(J173,Transacciones!$U$5:$U$20,0)))</f>
        <v>9.6629249999999995</v>
      </c>
      <c r="L173" s="17">
        <f t="shared" si="11"/>
        <v>4831.4624999999996</v>
      </c>
      <c r="M173" s="15">
        <f>IF(F173="cetes",IF(COUNTIFS(CETES!$A$5:$A$95,A173,CETES!$B$5:$B$95,C173)=0,"",A173),SUMIFS(Precios!$K$5:$K$109,Precios!$I$5:$I$109,A173,Precios!$J$5:$J$109,C173))</f>
        <v>46291</v>
      </c>
      <c r="N173" s="18">
        <f>IF(F173="cetes",IF(COUNTIFS(CETES!$A$5:$A$95,A173,CETES!$B$5:$B$95,C173)=0,"",SUMIFS(CETES!$AF$5:$AF$95,CETES!$A$5:$A$95,A173,CETES!$B$5:$B$95,C173)),SUMIFS(Precios!$L$5:$L$109,Precios!$I$5:$I$109,A173,Precios!$J$5:$J$109,C173))</f>
        <v>9.6789514000000008</v>
      </c>
      <c r="O173" s="17">
        <f t="shared" si="12"/>
        <v>4839.4757</v>
      </c>
      <c r="P173" s="17">
        <f t="shared" si="13"/>
        <v>8.0132000000003245</v>
      </c>
      <c r="Q173" s="17">
        <f>IF(F173="cetes",IF(A173=G173,SUMIFS(Transacciones!$N$5:$N$20,Transacciones!$T$5:$T$20,E173,Transacciones!$F$5:$F$20,"&lt;"&amp;A173)*H173,0),0)</f>
        <v>0</v>
      </c>
      <c r="R173" s="11" t="str">
        <f>IF(COUNTIF(Entradas!$A$14:$A$17,A173)&gt;0,"sí","")</f>
        <v/>
      </c>
      <c r="S173" s="11" t="str">
        <f t="shared" si="14"/>
        <v>46291|Principal|BI270318|Casa B</v>
      </c>
    </row>
    <row r="174" spans="1:19" x14ac:dyDescent="0.3">
      <c r="A174" s="20">
        <v>46291</v>
      </c>
      <c r="B174" s="21" t="s">
        <v>103</v>
      </c>
      <c r="C174" s="21" t="s">
        <v>123</v>
      </c>
      <c r="D174" s="21" t="s">
        <v>112</v>
      </c>
      <c r="E174" s="11" t="str">
        <f t="shared" si="10"/>
        <v>Secundario|DEMOACC|Casa A</v>
      </c>
      <c r="F174" s="11" t="str">
        <f>INDEX(Entradas!$C$40:$C$46,MATCH(C174,Entradas!$A$40:$A$46,0))</f>
        <v>accion</v>
      </c>
      <c r="G174" s="15" t="str">
        <f>IF(F174="cetes",INDEX(Entradas!$F$40:$F$46,MATCH(C174,Entradas!$A$40:$A$46,0)),"")</f>
        <v/>
      </c>
      <c r="H174" s="17" t="str">
        <f>IF(F174="cetes",INDEX(Entradas!$G$40:$G$46,MATCH(C174,Entradas!$A$40:$A$46,0)),"")</f>
        <v/>
      </c>
      <c r="I174" s="14">
        <f>IF(F174="cetes",IF(A174&gt;=G174,0,SUMIFS(Transacciones!$N$5:$N$20,Transacciones!$T$5:$T$20,E174,Transacciones!$F$5:$F$20,"&lt;="&amp;A174)),SUMIFS(Transacciones!$N$5:$N$20,Transacciones!$T$5:$T$20,E174,Transacciones!$F$5:$F$20,"&lt;="&amp;A174))</f>
        <v>150</v>
      </c>
      <c r="J174" s="14">
        <f>_xlfn.MAXIFS(Transacciones!$U$5:$U$20,Transacciones!$T$5:$T$20,E174,Transacciones!$F$5:$F$20,"&lt;="&amp;A174)</f>
        <v>46279007</v>
      </c>
      <c r="K174" s="18">
        <f>IF(I174=0,0,INDEX(Transacciones!$Z$5:$Z$20,MATCH(J174,Transacciones!$U$5:$U$20,0)))</f>
        <v>103.90046666666666</v>
      </c>
      <c r="L174" s="17">
        <f t="shared" si="11"/>
        <v>15585.07</v>
      </c>
      <c r="M174" s="15">
        <f>IF(F174="cetes",IF(COUNTIFS(CETES!$A$5:$A$95,A174,CETES!$B$5:$B$95,C174)=0,"",A174),SUMIFS(Precios!$K$5:$K$109,Precios!$I$5:$I$109,A174,Precios!$J$5:$J$109,C174))</f>
        <v>46290</v>
      </c>
      <c r="N174" s="18">
        <f>IF(F174="cetes",IF(COUNTIFS(CETES!$A$5:$A$95,A174,CETES!$B$5:$B$95,C174)=0,"",SUMIFS(CETES!$AF$5:$AF$95,CETES!$A$5:$A$95,A174,CETES!$B$5:$B$95,C174)),SUMIFS(Precios!$L$5:$L$109,Precios!$I$5:$I$109,A174,Precios!$J$5:$J$109,C174))</f>
        <v>96.15</v>
      </c>
      <c r="O174" s="17">
        <f t="shared" si="12"/>
        <v>14422.5</v>
      </c>
      <c r="P174" s="17">
        <f t="shared" si="13"/>
        <v>-1162.5699999999997</v>
      </c>
      <c r="Q174" s="17">
        <f>IF(F174="cetes",IF(A174=G174,SUMIFS(Transacciones!$N$5:$N$20,Transacciones!$T$5:$T$20,E174,Transacciones!$F$5:$F$20,"&lt;"&amp;A174)*H174,0),0)</f>
        <v>0</v>
      </c>
      <c r="R174" s="11" t="str">
        <f>IF(COUNTIF(Entradas!$A$14:$A$17,A174)&gt;0,"sí","")</f>
        <v/>
      </c>
      <c r="S174" s="11" t="str">
        <f t="shared" si="14"/>
        <v>46291|Secundario|DEMOACC|Casa A</v>
      </c>
    </row>
    <row r="175" spans="1:19" x14ac:dyDescent="0.3">
      <c r="A175" s="20">
        <v>46292</v>
      </c>
      <c r="B175" s="21" t="s">
        <v>94</v>
      </c>
      <c r="C175" s="21" t="s">
        <v>123</v>
      </c>
      <c r="D175" s="21" t="s">
        <v>112</v>
      </c>
      <c r="E175" s="11" t="str">
        <f t="shared" si="10"/>
        <v>Principal|DEMOACC|Casa A</v>
      </c>
      <c r="F175" s="11" t="str">
        <f>INDEX(Entradas!$C$40:$C$46,MATCH(C175,Entradas!$A$40:$A$46,0))</f>
        <v>accion</v>
      </c>
      <c r="G175" s="15" t="str">
        <f>IF(F175="cetes",INDEX(Entradas!$F$40:$F$46,MATCH(C175,Entradas!$A$40:$A$46,0)),"")</f>
        <v/>
      </c>
      <c r="H175" s="17" t="str">
        <f>IF(F175="cetes",INDEX(Entradas!$G$40:$G$46,MATCH(C175,Entradas!$A$40:$A$46,0)),"")</f>
        <v/>
      </c>
      <c r="I175" s="14">
        <f>IF(F175="cetes",IF(A175&gt;=G175,0,SUMIFS(Transacciones!$N$5:$N$20,Transacciones!$T$5:$T$20,E175,Transacciones!$F$5:$F$20,"&lt;="&amp;A175)),SUMIFS(Transacciones!$N$5:$N$20,Transacciones!$T$5:$T$20,E175,Transacciones!$F$5:$F$20,"&lt;="&amp;A175))</f>
        <v>200</v>
      </c>
      <c r="J175" s="14">
        <f>_xlfn.MAXIFS(Transacciones!$U$5:$U$20,Transacciones!$T$5:$T$20,E175,Transacciones!$F$5:$F$20,"&lt;="&amp;A175)</f>
        <v>46275001</v>
      </c>
      <c r="K175" s="18">
        <f>IF(I175=0,0,INDEX(Transacciones!$Z$5:$Z$20,MATCH(J175,Transacciones!$U$5:$U$20,0)))</f>
        <v>100.23985</v>
      </c>
      <c r="L175" s="17">
        <f t="shared" si="11"/>
        <v>20047.97</v>
      </c>
      <c r="M175" s="15">
        <f>IF(F175="cetes",IF(COUNTIFS(CETES!$A$5:$A$95,A175,CETES!$B$5:$B$95,C175)=0,"",A175),SUMIFS(Precios!$K$5:$K$109,Precios!$I$5:$I$109,A175,Precios!$J$5:$J$109,C175))</f>
        <v>46290</v>
      </c>
      <c r="N175" s="18">
        <f>IF(F175="cetes",IF(COUNTIFS(CETES!$A$5:$A$95,A175,CETES!$B$5:$B$95,C175)=0,"",SUMIFS(CETES!$AF$5:$AF$95,CETES!$A$5:$A$95,A175,CETES!$B$5:$B$95,C175)),SUMIFS(Precios!$L$5:$L$109,Precios!$I$5:$I$109,A175,Precios!$J$5:$J$109,C175))</f>
        <v>96.15</v>
      </c>
      <c r="O175" s="17">
        <f t="shared" si="12"/>
        <v>19230</v>
      </c>
      <c r="P175" s="17">
        <f t="shared" si="13"/>
        <v>-817.97000000000116</v>
      </c>
      <c r="Q175" s="17">
        <f>IF(F175="cetes",IF(A175=G175,SUMIFS(Transacciones!$N$5:$N$20,Transacciones!$T$5:$T$20,E175,Transacciones!$F$5:$F$20,"&lt;"&amp;A175)*H175,0),0)</f>
        <v>0</v>
      </c>
      <c r="R175" s="11" t="str">
        <f>IF(COUNTIF(Entradas!$A$14:$A$17,A175)&gt;0,"sí","")</f>
        <v/>
      </c>
      <c r="S175" s="11" t="str">
        <f t="shared" si="14"/>
        <v>46292|Principal|DEMOACC|Casa A</v>
      </c>
    </row>
    <row r="176" spans="1:19" x14ac:dyDescent="0.3">
      <c r="A176" s="20">
        <v>46292</v>
      </c>
      <c r="B176" s="21" t="s">
        <v>94</v>
      </c>
      <c r="C176" s="21" t="s">
        <v>123</v>
      </c>
      <c r="D176" s="21" t="s">
        <v>113</v>
      </c>
      <c r="E176" s="11" t="str">
        <f t="shared" si="10"/>
        <v>Principal|DEMOACC|Casa B</v>
      </c>
      <c r="F176" s="11" t="str">
        <f>INDEX(Entradas!$C$40:$C$46,MATCH(C176,Entradas!$A$40:$A$46,0))</f>
        <v>accion</v>
      </c>
      <c r="G176" s="15" t="str">
        <f>IF(F176="cetes",INDEX(Entradas!$F$40:$F$46,MATCH(C176,Entradas!$A$40:$A$46,0)),"")</f>
        <v/>
      </c>
      <c r="H176" s="17" t="str">
        <f>IF(F176="cetes",INDEX(Entradas!$G$40:$G$46,MATCH(C176,Entradas!$A$40:$A$46,0)),"")</f>
        <v/>
      </c>
      <c r="I176" s="14">
        <f>IF(F176="cetes",IF(A176&gt;=G176,0,SUMIFS(Transacciones!$N$5:$N$20,Transacciones!$T$5:$T$20,E176,Transacciones!$F$5:$F$20,"&lt;="&amp;A176)),SUMIFS(Transacciones!$N$5:$N$20,Transacciones!$T$5:$T$20,E176,Transacciones!$F$5:$F$20,"&lt;="&amp;A176))</f>
        <v>100</v>
      </c>
      <c r="J176" s="14">
        <f>_xlfn.MAXIFS(Transacciones!$U$5:$U$20,Transacciones!$T$5:$T$20,E176,Transacciones!$F$5:$F$20,"&lt;="&amp;A176)</f>
        <v>46279006</v>
      </c>
      <c r="K176" s="18">
        <f>IF(I176=0,0,INDEX(Transacciones!$Z$5:$Z$20,MATCH(J176,Transacciones!$U$5:$U$20,0)))</f>
        <v>103.399</v>
      </c>
      <c r="L176" s="17">
        <f t="shared" si="11"/>
        <v>10339.9</v>
      </c>
      <c r="M176" s="15">
        <f>IF(F176="cetes",IF(COUNTIFS(CETES!$A$5:$A$95,A176,CETES!$B$5:$B$95,C176)=0,"",A176),SUMIFS(Precios!$K$5:$K$109,Precios!$I$5:$I$109,A176,Precios!$J$5:$J$109,C176))</f>
        <v>46290</v>
      </c>
      <c r="N176" s="18">
        <f>IF(F176="cetes",IF(COUNTIFS(CETES!$A$5:$A$95,A176,CETES!$B$5:$B$95,C176)=0,"",SUMIFS(CETES!$AF$5:$AF$95,CETES!$A$5:$A$95,A176,CETES!$B$5:$B$95,C176)),SUMIFS(Precios!$L$5:$L$109,Precios!$I$5:$I$109,A176,Precios!$J$5:$J$109,C176))</f>
        <v>96.15</v>
      </c>
      <c r="O176" s="17">
        <f t="shared" si="12"/>
        <v>9615</v>
      </c>
      <c r="P176" s="17">
        <f t="shared" si="13"/>
        <v>-724.89999999999964</v>
      </c>
      <c r="Q176" s="17">
        <f>IF(F176="cetes",IF(A176=G176,SUMIFS(Transacciones!$N$5:$N$20,Transacciones!$T$5:$T$20,E176,Transacciones!$F$5:$F$20,"&lt;"&amp;A176)*H176,0),0)</f>
        <v>0</v>
      </c>
      <c r="R176" s="11" t="str">
        <f>IF(COUNTIF(Entradas!$A$14:$A$17,A176)&gt;0,"sí","")</f>
        <v/>
      </c>
      <c r="S176" s="11" t="str">
        <f t="shared" si="14"/>
        <v>46292|Principal|DEMOACC|Casa B</v>
      </c>
    </row>
    <row r="177" spans="1:19" x14ac:dyDescent="0.3">
      <c r="A177" s="20">
        <v>46292</v>
      </c>
      <c r="B177" s="21" t="s">
        <v>94</v>
      </c>
      <c r="C177" s="21" t="s">
        <v>126</v>
      </c>
      <c r="D177" s="21" t="s">
        <v>113</v>
      </c>
      <c r="E177" s="11" t="str">
        <f t="shared" si="10"/>
        <v>Principal|DEMOETF|Casa B</v>
      </c>
      <c r="F177" s="11" t="str">
        <f>INDEX(Entradas!$C$40:$C$46,MATCH(C177,Entradas!$A$40:$A$46,0))</f>
        <v>etf</v>
      </c>
      <c r="G177" s="15" t="str">
        <f>IF(F177="cetes",INDEX(Entradas!$F$40:$F$46,MATCH(C177,Entradas!$A$40:$A$46,0)),"")</f>
        <v/>
      </c>
      <c r="H177" s="17" t="str">
        <f>IF(F177="cetes",INDEX(Entradas!$G$40:$G$46,MATCH(C177,Entradas!$A$40:$A$46,0)),"")</f>
        <v/>
      </c>
      <c r="I177" s="14">
        <f>IF(F177="cetes",IF(A177&gt;=G177,0,SUMIFS(Transacciones!$N$5:$N$20,Transacciones!$T$5:$T$20,E177,Transacciones!$F$5:$F$20,"&lt;="&amp;A177)),SUMIFS(Transacciones!$N$5:$N$20,Transacciones!$T$5:$T$20,E177,Transacciones!$F$5:$F$20,"&lt;="&amp;A177))</f>
        <v>40</v>
      </c>
      <c r="J177" s="14">
        <f>_xlfn.MAXIFS(Transacciones!$U$5:$U$20,Transacciones!$T$5:$T$20,E177,Transacciones!$F$5:$F$20,"&lt;="&amp;A177)</f>
        <v>46290512</v>
      </c>
      <c r="K177" s="18">
        <f>IF(I177=0,0,INDEX(Transacciones!$Z$5:$Z$20,MATCH(J177,Transacciones!$U$5:$U$20,0)))</f>
        <v>49.386499999999998</v>
      </c>
      <c r="L177" s="17">
        <f t="shared" si="11"/>
        <v>1975.46</v>
      </c>
      <c r="M177" s="15">
        <f>IF(F177="cetes",IF(COUNTIFS(CETES!$A$5:$A$95,A177,CETES!$B$5:$B$95,C177)=0,"",A177),SUMIFS(Precios!$K$5:$K$109,Precios!$I$5:$I$109,A177,Precios!$J$5:$J$109,C177))</f>
        <v>46290</v>
      </c>
      <c r="N177" s="18">
        <f>IF(F177="cetes",IF(COUNTIFS(CETES!$A$5:$A$95,A177,CETES!$B$5:$B$95,C177)=0,"",SUMIFS(CETES!$AF$5:$AF$95,CETES!$A$5:$A$95,A177,CETES!$B$5:$B$95,C177)),SUMIFS(Precios!$L$5:$L$109,Precios!$I$5:$I$109,A177,Precios!$J$5:$J$109,C177))</f>
        <v>48.06</v>
      </c>
      <c r="O177" s="17">
        <f t="shared" si="12"/>
        <v>1922.4</v>
      </c>
      <c r="P177" s="17">
        <f t="shared" si="13"/>
        <v>-53.059999999999945</v>
      </c>
      <c r="Q177" s="17">
        <f>IF(F177="cetes",IF(A177=G177,SUMIFS(Transacciones!$N$5:$N$20,Transacciones!$T$5:$T$20,E177,Transacciones!$F$5:$F$20,"&lt;"&amp;A177)*H177,0),0)</f>
        <v>0</v>
      </c>
      <c r="R177" s="11" t="str">
        <f>IF(COUNTIF(Entradas!$A$14:$A$17,A177)&gt;0,"sí","")</f>
        <v/>
      </c>
      <c r="S177" s="11" t="str">
        <f t="shared" si="14"/>
        <v>46292|Principal|DEMOETF|Casa B</v>
      </c>
    </row>
    <row r="178" spans="1:19" x14ac:dyDescent="0.3">
      <c r="A178" s="20">
        <v>46292</v>
      </c>
      <c r="B178" s="21" t="s">
        <v>94</v>
      </c>
      <c r="C178" s="21" t="s">
        <v>129</v>
      </c>
      <c r="D178" s="21" t="s">
        <v>112</v>
      </c>
      <c r="E178" s="11" t="str">
        <f t="shared" si="10"/>
        <v>Principal|DEMOFIB|Casa A</v>
      </c>
      <c r="F178" s="11" t="str">
        <f>INDEX(Entradas!$C$40:$C$46,MATCH(C178,Entradas!$A$40:$A$46,0))</f>
        <v>fibra</v>
      </c>
      <c r="G178" s="15" t="str">
        <f>IF(F178="cetes",INDEX(Entradas!$F$40:$F$46,MATCH(C178,Entradas!$A$40:$A$46,0)),"")</f>
        <v/>
      </c>
      <c r="H178" s="17" t="str">
        <f>IF(F178="cetes",INDEX(Entradas!$G$40:$G$46,MATCH(C178,Entradas!$A$40:$A$46,0)),"")</f>
        <v/>
      </c>
      <c r="I178" s="14">
        <f>IF(F178="cetes",IF(A178&gt;=G178,0,SUMIFS(Transacciones!$N$5:$N$20,Transacciones!$T$5:$T$20,E178,Transacciones!$F$5:$F$20,"&lt;="&amp;A178)),SUMIFS(Transacciones!$N$5:$N$20,Transacciones!$T$5:$T$20,E178,Transacciones!$F$5:$F$20,"&lt;="&amp;A178))</f>
        <v>0</v>
      </c>
      <c r="J178" s="14">
        <f>_xlfn.MAXIFS(Transacciones!$U$5:$U$20,Transacciones!$T$5:$T$20,E178,Transacciones!$F$5:$F$20,"&lt;="&amp;A178)</f>
        <v>46287510</v>
      </c>
      <c r="K178" s="18">
        <f>IF(I178=0,0,INDEX(Transacciones!$Z$5:$Z$20,MATCH(J178,Transacciones!$U$5:$U$20,0)))</f>
        <v>0</v>
      </c>
      <c r="L178" s="17">
        <f t="shared" si="11"/>
        <v>0</v>
      </c>
      <c r="M178" s="15">
        <f>IF(F178="cetes",IF(COUNTIFS(CETES!$A$5:$A$95,A178,CETES!$B$5:$B$95,C178)=0,"",A178),SUMIFS(Precios!$K$5:$K$109,Precios!$I$5:$I$109,A178,Precios!$J$5:$J$109,C178))</f>
        <v>46290</v>
      </c>
      <c r="N178" s="18">
        <f>IF(F178="cetes",IF(COUNTIFS(CETES!$A$5:$A$95,A178,CETES!$B$5:$B$95,C178)=0,"",SUMIFS(CETES!$AF$5:$AF$95,CETES!$A$5:$A$95,A178,CETES!$B$5:$B$95,C178)),SUMIFS(Precios!$L$5:$L$109,Precios!$I$5:$I$109,A178,Precios!$J$5:$J$109,C178))</f>
        <v>23.68</v>
      </c>
      <c r="O178" s="17">
        <f t="shared" si="12"/>
        <v>0</v>
      </c>
      <c r="P178" s="17">
        <f t="shared" si="13"/>
        <v>0</v>
      </c>
      <c r="Q178" s="17">
        <f>IF(F178="cetes",IF(A178=G178,SUMIFS(Transacciones!$N$5:$N$20,Transacciones!$T$5:$T$20,E178,Transacciones!$F$5:$F$20,"&lt;"&amp;A178)*H178,0),0)</f>
        <v>0</v>
      </c>
      <c r="R178" s="11" t="str">
        <f>IF(COUNTIF(Entradas!$A$14:$A$17,A178)&gt;0,"sí","")</f>
        <v/>
      </c>
      <c r="S178" s="11" t="str">
        <f t="shared" si="14"/>
        <v>46292|Principal|DEMOFIB|Casa A</v>
      </c>
    </row>
    <row r="179" spans="1:19" x14ac:dyDescent="0.3">
      <c r="A179" s="20">
        <v>46292</v>
      </c>
      <c r="B179" s="21" t="s">
        <v>94</v>
      </c>
      <c r="C179" s="21" t="s">
        <v>132</v>
      </c>
      <c r="D179" s="21" t="s">
        <v>112</v>
      </c>
      <c r="E179" s="11" t="str">
        <f t="shared" si="10"/>
        <v>Principal|BI261008|Casa A</v>
      </c>
      <c r="F179" s="11" t="str">
        <f>INDEX(Entradas!$C$40:$C$46,MATCH(C179,Entradas!$A$40:$A$46,0))</f>
        <v>cetes</v>
      </c>
      <c r="G179" s="15">
        <f>IF(F179="cetes",INDEX(Entradas!$F$40:$F$46,MATCH(C179,Entradas!$A$40:$A$46,0)),"")</f>
        <v>46303</v>
      </c>
      <c r="H179" s="17">
        <f>IF(F179="cetes",INDEX(Entradas!$G$40:$G$46,MATCH(C179,Entradas!$A$40:$A$46,0)),"")</f>
        <v>10</v>
      </c>
      <c r="I179" s="14">
        <f>IF(F179="cetes",IF(A179&gt;=G179,0,SUMIFS(Transacciones!$N$5:$N$20,Transacciones!$T$5:$T$20,E179,Transacciones!$F$5:$F$20,"&lt;="&amp;A179)),SUMIFS(Transacciones!$N$5:$N$20,Transacciones!$T$5:$T$20,E179,Transacciones!$F$5:$F$20,"&lt;="&amp;A179))</f>
        <v>1500</v>
      </c>
      <c r="J179" s="14">
        <f>_xlfn.MAXIFS(Transacciones!$U$5:$U$20,Transacciones!$T$5:$T$20,E179,Transacciones!$F$5:$F$20,"&lt;="&amp;A179)</f>
        <v>46275003</v>
      </c>
      <c r="K179" s="18">
        <f>IF(I179=0,0,INDEX(Transacciones!$Z$5:$Z$20,MATCH(J179,Transacciones!$U$5:$U$20,0)))</f>
        <v>9.9516240000000007</v>
      </c>
      <c r="L179" s="17">
        <f t="shared" si="11"/>
        <v>14927.436000000002</v>
      </c>
      <c r="M179" s="15">
        <f>IF(F179="cetes",IF(COUNTIFS(CETES!$A$5:$A$95,A179,CETES!$B$5:$B$95,C179)=0,"",A179),SUMIFS(Precios!$K$5:$K$109,Precios!$I$5:$I$109,A179,Precios!$J$5:$J$109,C179))</f>
        <v>46292</v>
      </c>
      <c r="N179" s="18">
        <f>IF(F179="cetes",IF(COUNTIFS(CETES!$A$5:$A$95,A179,CETES!$B$5:$B$95,C179)=0,"",SUMIFS(CETES!$AF$5:$AF$95,CETES!$A$5:$A$95,A179,CETES!$B$5:$B$95,C179)),SUMIFS(Precios!$L$5:$L$109,Precios!$I$5:$I$109,A179,Precios!$J$5:$J$109,C179))</f>
        <v>9.9812436000000009</v>
      </c>
      <c r="O179" s="17">
        <f t="shared" si="12"/>
        <v>14971.865400000001</v>
      </c>
      <c r="P179" s="17">
        <f t="shared" si="13"/>
        <v>44.429399999999077</v>
      </c>
      <c r="Q179" s="17">
        <f>IF(F179="cetes",IF(A179=G179,SUMIFS(Transacciones!$N$5:$N$20,Transacciones!$T$5:$T$20,E179,Transacciones!$F$5:$F$20,"&lt;"&amp;A179)*H179,0),0)</f>
        <v>0</v>
      </c>
      <c r="R179" s="11" t="str">
        <f>IF(COUNTIF(Entradas!$A$14:$A$17,A179)&gt;0,"sí","")</f>
        <v/>
      </c>
      <c r="S179" s="11" t="str">
        <f t="shared" si="14"/>
        <v>46292|Principal|BI261008|Casa A</v>
      </c>
    </row>
    <row r="180" spans="1:19" x14ac:dyDescent="0.3">
      <c r="A180" s="20">
        <v>46292</v>
      </c>
      <c r="B180" s="21" t="s">
        <v>94</v>
      </c>
      <c r="C180" s="21" t="s">
        <v>132</v>
      </c>
      <c r="D180" s="21" t="s">
        <v>113</v>
      </c>
      <c r="E180" s="11" t="str">
        <f t="shared" si="10"/>
        <v>Principal|BI261008|Casa B</v>
      </c>
      <c r="F180" s="11" t="str">
        <f>INDEX(Entradas!$C$40:$C$46,MATCH(C180,Entradas!$A$40:$A$46,0))</f>
        <v>cetes</v>
      </c>
      <c r="G180" s="15">
        <f>IF(F180="cetes",INDEX(Entradas!$F$40:$F$46,MATCH(C180,Entradas!$A$40:$A$46,0)),"")</f>
        <v>46303</v>
      </c>
      <c r="H180" s="17">
        <f>IF(F180="cetes",INDEX(Entradas!$G$40:$G$46,MATCH(C180,Entradas!$A$40:$A$46,0)),"")</f>
        <v>10</v>
      </c>
      <c r="I180" s="14">
        <f>IF(F180="cetes",IF(A180&gt;=G180,0,SUMIFS(Transacciones!$N$5:$N$20,Transacciones!$T$5:$T$20,E180,Transacciones!$F$5:$F$20,"&lt;="&amp;A180)),SUMIFS(Transacciones!$N$5:$N$20,Transacciones!$T$5:$T$20,E180,Transacciones!$F$5:$F$20,"&lt;="&amp;A180))</f>
        <v>1000</v>
      </c>
      <c r="J180" s="14">
        <f>_xlfn.MAXIFS(Transacciones!$U$5:$U$20,Transacciones!$T$5:$T$20,E180,Transacciones!$F$5:$F$20,"&lt;="&amp;A180)</f>
        <v>46275004</v>
      </c>
      <c r="K180" s="18">
        <f>IF(I180=0,0,INDEX(Transacciones!$Z$5:$Z$20,MATCH(J180,Transacciones!$U$5:$U$20,0)))</f>
        <v>9.9516239999999989</v>
      </c>
      <c r="L180" s="17">
        <f t="shared" si="11"/>
        <v>9951.6239999999998</v>
      </c>
      <c r="M180" s="15">
        <f>IF(F180="cetes",IF(COUNTIFS(CETES!$A$5:$A$95,A180,CETES!$B$5:$B$95,C180)=0,"",A180),SUMIFS(Precios!$K$5:$K$109,Precios!$I$5:$I$109,A180,Precios!$J$5:$J$109,C180))</f>
        <v>46292</v>
      </c>
      <c r="N180" s="18">
        <f>IF(F180="cetes",IF(COUNTIFS(CETES!$A$5:$A$95,A180,CETES!$B$5:$B$95,C180)=0,"",SUMIFS(CETES!$AF$5:$AF$95,CETES!$A$5:$A$95,A180,CETES!$B$5:$B$95,C180)),SUMIFS(Precios!$L$5:$L$109,Precios!$I$5:$I$109,A180,Precios!$J$5:$J$109,C180))</f>
        <v>9.9812436000000009</v>
      </c>
      <c r="O180" s="17">
        <f t="shared" si="12"/>
        <v>9981.2436000000016</v>
      </c>
      <c r="P180" s="17">
        <f t="shared" si="13"/>
        <v>29.61960000000181</v>
      </c>
      <c r="Q180" s="17">
        <f>IF(F180="cetes",IF(A180=G180,SUMIFS(Transacciones!$N$5:$N$20,Transacciones!$T$5:$T$20,E180,Transacciones!$F$5:$F$20,"&lt;"&amp;A180)*H180,0),0)</f>
        <v>0</v>
      </c>
      <c r="R180" s="11" t="str">
        <f>IF(COUNTIF(Entradas!$A$14:$A$17,A180)&gt;0,"sí","")</f>
        <v/>
      </c>
      <c r="S180" s="11" t="str">
        <f t="shared" si="14"/>
        <v>46292|Principal|BI261008|Casa B</v>
      </c>
    </row>
    <row r="181" spans="1:19" x14ac:dyDescent="0.3">
      <c r="A181" s="20">
        <v>46292</v>
      </c>
      <c r="B181" s="21" t="s">
        <v>94</v>
      </c>
      <c r="C181" s="21" t="s">
        <v>135</v>
      </c>
      <c r="D181" s="21" t="s">
        <v>113</v>
      </c>
      <c r="E181" s="11" t="str">
        <f t="shared" si="10"/>
        <v>Principal|BI261105|Casa B</v>
      </c>
      <c r="F181" s="11" t="str">
        <f>INDEX(Entradas!$C$40:$C$46,MATCH(C181,Entradas!$A$40:$A$46,0))</f>
        <v>cetes</v>
      </c>
      <c r="G181" s="15">
        <f>IF(F181="cetes",INDEX(Entradas!$F$40:$F$46,MATCH(C181,Entradas!$A$40:$A$46,0)),"")</f>
        <v>46331</v>
      </c>
      <c r="H181" s="17">
        <f>IF(F181="cetes",INDEX(Entradas!$G$40:$G$46,MATCH(C181,Entradas!$A$40:$A$46,0)),"")</f>
        <v>10</v>
      </c>
      <c r="I181" s="14">
        <f>IF(F181="cetes",IF(A181&gt;=G181,0,SUMIFS(Transacciones!$N$5:$N$20,Transacciones!$T$5:$T$20,E181,Transacciones!$F$5:$F$20,"&lt;="&amp;A181)),SUMIFS(Transacciones!$N$5:$N$20,Transacciones!$T$5:$T$20,E181,Transacciones!$F$5:$F$20,"&lt;="&amp;A181))</f>
        <v>0</v>
      </c>
      <c r="J181" s="14">
        <f>_xlfn.MAXIFS(Transacciones!$U$5:$U$20,Transacciones!$T$5:$T$20,E181,Transacciones!$F$5:$F$20,"&lt;="&amp;A181)</f>
        <v>0</v>
      </c>
      <c r="K181" s="18">
        <f>IF(I181=0,0,INDEX(Transacciones!$Z$5:$Z$20,MATCH(J181,Transacciones!$U$5:$U$20,0)))</f>
        <v>0</v>
      </c>
      <c r="L181" s="17">
        <f t="shared" si="11"/>
        <v>0</v>
      </c>
      <c r="M181" s="15" t="str">
        <f>IF(F181="cetes",IF(COUNTIFS(CETES!$A$5:$A$95,A181,CETES!$B$5:$B$95,C181)=0,"",A181),SUMIFS(Precios!$K$5:$K$109,Precios!$I$5:$I$109,A181,Precios!$J$5:$J$109,C181))</f>
        <v/>
      </c>
      <c r="N181" s="18" t="str">
        <f>IF(F181="cetes",IF(COUNTIFS(CETES!$A$5:$A$95,A181,CETES!$B$5:$B$95,C181)=0,"",SUMIFS(CETES!$AF$5:$AF$95,CETES!$A$5:$A$95,A181,CETES!$B$5:$B$95,C181)),SUMIFS(Precios!$L$5:$L$109,Precios!$I$5:$I$109,A181,Precios!$J$5:$J$109,C181))</f>
        <v/>
      </c>
      <c r="O181" s="17">
        <f t="shared" si="12"/>
        <v>0</v>
      </c>
      <c r="P181" s="17">
        <f t="shared" si="13"/>
        <v>0</v>
      </c>
      <c r="Q181" s="17">
        <f>IF(F181="cetes",IF(A181=G181,SUMIFS(Transacciones!$N$5:$N$20,Transacciones!$T$5:$T$20,E181,Transacciones!$F$5:$F$20,"&lt;"&amp;A181)*H181,0),0)</f>
        <v>0</v>
      </c>
      <c r="R181" s="11" t="str">
        <f>IF(COUNTIF(Entradas!$A$14:$A$17,A181)&gt;0,"sí","")</f>
        <v/>
      </c>
      <c r="S181" s="11" t="str">
        <f t="shared" si="14"/>
        <v>46292|Principal|BI261105|Casa B</v>
      </c>
    </row>
    <row r="182" spans="1:19" x14ac:dyDescent="0.3">
      <c r="A182" s="20">
        <v>46292</v>
      </c>
      <c r="B182" s="21" t="s">
        <v>94</v>
      </c>
      <c r="C182" s="21" t="s">
        <v>137</v>
      </c>
      <c r="D182" s="21" t="s">
        <v>112</v>
      </c>
      <c r="E182" s="11" t="str">
        <f t="shared" si="10"/>
        <v>Principal|BI261217|Casa A</v>
      </c>
      <c r="F182" s="11" t="str">
        <f>INDEX(Entradas!$C$40:$C$46,MATCH(C182,Entradas!$A$40:$A$46,0))</f>
        <v>cetes</v>
      </c>
      <c r="G182" s="15">
        <f>IF(F182="cetes",INDEX(Entradas!$F$40:$F$46,MATCH(C182,Entradas!$A$40:$A$46,0)),"")</f>
        <v>46373</v>
      </c>
      <c r="H182" s="17">
        <f>IF(F182="cetes",INDEX(Entradas!$G$40:$G$46,MATCH(C182,Entradas!$A$40:$A$46,0)),"")</f>
        <v>10</v>
      </c>
      <c r="I182" s="14">
        <f>IF(F182="cetes",IF(A182&gt;=G182,0,SUMIFS(Transacciones!$N$5:$N$20,Transacciones!$T$5:$T$20,E182,Transacciones!$F$5:$F$20,"&lt;="&amp;A182)),SUMIFS(Transacciones!$N$5:$N$20,Transacciones!$T$5:$T$20,E182,Transacciones!$F$5:$F$20,"&lt;="&amp;A182))</f>
        <v>1000</v>
      </c>
      <c r="J182" s="14">
        <f>_xlfn.MAXIFS(Transacciones!$U$5:$U$20,Transacciones!$T$5:$T$20,E182,Transacciones!$F$5:$F$20,"&lt;="&amp;A182)</f>
        <v>46282008</v>
      </c>
      <c r="K182" s="18">
        <f>IF(I182=0,0,INDEX(Transacciones!$Z$5:$Z$20,MATCH(J182,Transacciones!$U$5:$U$20,0)))</f>
        <v>9.8344372</v>
      </c>
      <c r="L182" s="17">
        <f t="shared" si="11"/>
        <v>9834.4372000000003</v>
      </c>
      <c r="M182" s="15">
        <f>IF(F182="cetes",IF(COUNTIFS(CETES!$A$5:$A$95,A182,CETES!$B$5:$B$95,C182)=0,"",A182),SUMIFS(Precios!$K$5:$K$109,Precios!$I$5:$I$109,A182,Precios!$J$5:$J$109,C182))</f>
        <v>46292</v>
      </c>
      <c r="N182" s="18">
        <f>IF(F182="cetes",IF(COUNTIFS(CETES!$A$5:$A$95,A182,CETES!$B$5:$B$95,C182)=0,"",SUMIFS(CETES!$AF$5:$AF$95,CETES!$A$5:$A$95,A182,CETES!$B$5:$B$95,C182)),SUMIFS(Precios!$L$5:$L$109,Precios!$I$5:$I$109,A182,Precios!$J$5:$J$109,C182))</f>
        <v>9.8554174999999997</v>
      </c>
      <c r="O182" s="17">
        <f t="shared" si="12"/>
        <v>9855.4174999999996</v>
      </c>
      <c r="P182" s="17">
        <f t="shared" si="13"/>
        <v>20.980299999999261</v>
      </c>
      <c r="Q182" s="17">
        <f>IF(F182="cetes",IF(A182=G182,SUMIFS(Transacciones!$N$5:$N$20,Transacciones!$T$5:$T$20,E182,Transacciones!$F$5:$F$20,"&lt;"&amp;A182)*H182,0),0)</f>
        <v>0</v>
      </c>
      <c r="R182" s="11" t="str">
        <f>IF(COUNTIF(Entradas!$A$14:$A$17,A182)&gt;0,"sí","")</f>
        <v/>
      </c>
      <c r="S182" s="11" t="str">
        <f t="shared" si="14"/>
        <v>46292|Principal|BI261217|Casa A</v>
      </c>
    </row>
    <row r="183" spans="1:19" x14ac:dyDescent="0.3">
      <c r="A183" s="20">
        <v>46292</v>
      </c>
      <c r="B183" s="21" t="s">
        <v>94</v>
      </c>
      <c r="C183" s="21" t="s">
        <v>139</v>
      </c>
      <c r="D183" s="21" t="s">
        <v>113</v>
      </c>
      <c r="E183" s="11" t="str">
        <f t="shared" si="10"/>
        <v>Principal|BI270318|Casa B</v>
      </c>
      <c r="F183" s="11" t="str">
        <f>INDEX(Entradas!$C$40:$C$46,MATCH(C183,Entradas!$A$40:$A$46,0))</f>
        <v>cetes</v>
      </c>
      <c r="G183" s="15">
        <f>IF(F183="cetes",INDEX(Entradas!$F$40:$F$46,MATCH(C183,Entradas!$A$40:$A$46,0)),"")</f>
        <v>46464</v>
      </c>
      <c r="H183" s="17">
        <f>IF(F183="cetes",INDEX(Entradas!$G$40:$G$46,MATCH(C183,Entradas!$A$40:$A$46,0)),"")</f>
        <v>10</v>
      </c>
      <c r="I183" s="14">
        <f>IF(F183="cetes",IF(A183&gt;=G183,0,SUMIFS(Transacciones!$N$5:$N$20,Transacciones!$T$5:$T$20,E183,Transacciones!$F$5:$F$20,"&lt;="&amp;A183)),SUMIFS(Transacciones!$N$5:$N$20,Transacciones!$T$5:$T$20,E183,Transacciones!$F$5:$F$20,"&lt;="&amp;A183))</f>
        <v>500</v>
      </c>
      <c r="J183" s="14">
        <f>_xlfn.MAXIFS(Transacciones!$U$5:$U$20,Transacciones!$T$5:$T$20,E183,Transacciones!$F$5:$F$20,"&lt;="&amp;A183)</f>
        <v>46282009</v>
      </c>
      <c r="K183" s="18">
        <f>IF(I183=0,0,INDEX(Transacciones!$Z$5:$Z$20,MATCH(J183,Transacciones!$U$5:$U$20,0)))</f>
        <v>9.6629249999999995</v>
      </c>
      <c r="L183" s="17">
        <f t="shared" si="11"/>
        <v>4831.4624999999996</v>
      </c>
      <c r="M183" s="15">
        <f>IF(F183="cetes",IF(COUNTIFS(CETES!$A$5:$A$95,A183,CETES!$B$5:$B$95,C183)=0,"",A183),SUMIFS(Precios!$K$5:$K$109,Precios!$I$5:$I$109,A183,Precios!$J$5:$J$109,C183))</f>
        <v>46292</v>
      </c>
      <c r="N183" s="18">
        <f>IF(F183="cetes",IF(COUNTIFS(CETES!$A$5:$A$95,A183,CETES!$B$5:$B$95,C183)=0,"",SUMIFS(CETES!$AF$5:$AF$95,CETES!$A$5:$A$95,A183,CETES!$B$5:$B$95,C183)),SUMIFS(Precios!$L$5:$L$109,Precios!$I$5:$I$109,A183,Precios!$J$5:$J$109,C183))</f>
        <v>9.6809185000000006</v>
      </c>
      <c r="O183" s="17">
        <f t="shared" si="12"/>
        <v>4840.4592499999999</v>
      </c>
      <c r="P183" s="17">
        <f t="shared" si="13"/>
        <v>8.9967500000002474</v>
      </c>
      <c r="Q183" s="17">
        <f>IF(F183="cetes",IF(A183=G183,SUMIFS(Transacciones!$N$5:$N$20,Transacciones!$T$5:$T$20,E183,Transacciones!$F$5:$F$20,"&lt;"&amp;A183)*H183,0),0)</f>
        <v>0</v>
      </c>
      <c r="R183" s="11" t="str">
        <f>IF(COUNTIF(Entradas!$A$14:$A$17,A183)&gt;0,"sí","")</f>
        <v/>
      </c>
      <c r="S183" s="11" t="str">
        <f t="shared" si="14"/>
        <v>46292|Principal|BI270318|Casa B</v>
      </c>
    </row>
    <row r="184" spans="1:19" x14ac:dyDescent="0.3">
      <c r="A184" s="20">
        <v>46292</v>
      </c>
      <c r="B184" s="21" t="s">
        <v>103</v>
      </c>
      <c r="C184" s="21" t="s">
        <v>123</v>
      </c>
      <c r="D184" s="21" t="s">
        <v>112</v>
      </c>
      <c r="E184" s="11" t="str">
        <f t="shared" si="10"/>
        <v>Secundario|DEMOACC|Casa A</v>
      </c>
      <c r="F184" s="11" t="str">
        <f>INDEX(Entradas!$C$40:$C$46,MATCH(C184,Entradas!$A$40:$A$46,0))</f>
        <v>accion</v>
      </c>
      <c r="G184" s="15" t="str">
        <f>IF(F184="cetes",INDEX(Entradas!$F$40:$F$46,MATCH(C184,Entradas!$A$40:$A$46,0)),"")</f>
        <v/>
      </c>
      <c r="H184" s="17" t="str">
        <f>IF(F184="cetes",INDEX(Entradas!$G$40:$G$46,MATCH(C184,Entradas!$A$40:$A$46,0)),"")</f>
        <v/>
      </c>
      <c r="I184" s="14">
        <f>IF(F184="cetes",IF(A184&gt;=G184,0,SUMIFS(Transacciones!$N$5:$N$20,Transacciones!$T$5:$T$20,E184,Transacciones!$F$5:$F$20,"&lt;="&amp;A184)),SUMIFS(Transacciones!$N$5:$N$20,Transacciones!$T$5:$T$20,E184,Transacciones!$F$5:$F$20,"&lt;="&amp;A184))</f>
        <v>150</v>
      </c>
      <c r="J184" s="14">
        <f>_xlfn.MAXIFS(Transacciones!$U$5:$U$20,Transacciones!$T$5:$T$20,E184,Transacciones!$F$5:$F$20,"&lt;="&amp;A184)</f>
        <v>46279007</v>
      </c>
      <c r="K184" s="18">
        <f>IF(I184=0,0,INDEX(Transacciones!$Z$5:$Z$20,MATCH(J184,Transacciones!$U$5:$U$20,0)))</f>
        <v>103.90046666666666</v>
      </c>
      <c r="L184" s="17">
        <f t="shared" si="11"/>
        <v>15585.07</v>
      </c>
      <c r="M184" s="15">
        <f>IF(F184="cetes",IF(COUNTIFS(CETES!$A$5:$A$95,A184,CETES!$B$5:$B$95,C184)=0,"",A184),SUMIFS(Precios!$K$5:$K$109,Precios!$I$5:$I$109,A184,Precios!$J$5:$J$109,C184))</f>
        <v>46290</v>
      </c>
      <c r="N184" s="18">
        <f>IF(F184="cetes",IF(COUNTIFS(CETES!$A$5:$A$95,A184,CETES!$B$5:$B$95,C184)=0,"",SUMIFS(CETES!$AF$5:$AF$95,CETES!$A$5:$A$95,A184,CETES!$B$5:$B$95,C184)),SUMIFS(Precios!$L$5:$L$109,Precios!$I$5:$I$109,A184,Precios!$J$5:$J$109,C184))</f>
        <v>96.15</v>
      </c>
      <c r="O184" s="17">
        <f t="shared" si="12"/>
        <v>14422.5</v>
      </c>
      <c r="P184" s="17">
        <f t="shared" si="13"/>
        <v>-1162.5699999999997</v>
      </c>
      <c r="Q184" s="17">
        <f>IF(F184="cetes",IF(A184=G184,SUMIFS(Transacciones!$N$5:$N$20,Transacciones!$T$5:$T$20,E184,Transacciones!$F$5:$F$20,"&lt;"&amp;A184)*H184,0),0)</f>
        <v>0</v>
      </c>
      <c r="R184" s="11" t="str">
        <f>IF(COUNTIF(Entradas!$A$14:$A$17,A184)&gt;0,"sí","")</f>
        <v/>
      </c>
      <c r="S184" s="11" t="str">
        <f t="shared" si="14"/>
        <v>46292|Secundario|DEMOACC|Casa A</v>
      </c>
    </row>
    <row r="185" spans="1:19" x14ac:dyDescent="0.3">
      <c r="A185" s="20">
        <v>46293</v>
      </c>
      <c r="B185" s="21" t="s">
        <v>94</v>
      </c>
      <c r="C185" s="21" t="s">
        <v>123</v>
      </c>
      <c r="D185" s="21" t="s">
        <v>112</v>
      </c>
      <c r="E185" s="11" t="str">
        <f t="shared" si="10"/>
        <v>Principal|DEMOACC|Casa A</v>
      </c>
      <c r="F185" s="11" t="str">
        <f>INDEX(Entradas!$C$40:$C$46,MATCH(C185,Entradas!$A$40:$A$46,0))</f>
        <v>accion</v>
      </c>
      <c r="G185" s="15" t="str">
        <f>IF(F185="cetes",INDEX(Entradas!$F$40:$F$46,MATCH(C185,Entradas!$A$40:$A$46,0)),"")</f>
        <v/>
      </c>
      <c r="H185" s="17" t="str">
        <f>IF(F185="cetes",INDEX(Entradas!$G$40:$G$46,MATCH(C185,Entradas!$A$40:$A$46,0)),"")</f>
        <v/>
      </c>
      <c r="I185" s="14">
        <f>IF(F185="cetes",IF(A185&gt;=G185,0,SUMIFS(Transacciones!$N$5:$N$20,Transacciones!$T$5:$T$20,E185,Transacciones!$F$5:$F$20,"&lt;="&amp;A185)),SUMIFS(Transacciones!$N$5:$N$20,Transacciones!$T$5:$T$20,E185,Transacciones!$F$5:$F$20,"&lt;="&amp;A185))</f>
        <v>200</v>
      </c>
      <c r="J185" s="14">
        <f>_xlfn.MAXIFS(Transacciones!$U$5:$U$20,Transacciones!$T$5:$T$20,E185,Transacciones!$F$5:$F$20,"&lt;="&amp;A185)</f>
        <v>46275001</v>
      </c>
      <c r="K185" s="18">
        <f>IF(I185=0,0,INDEX(Transacciones!$Z$5:$Z$20,MATCH(J185,Transacciones!$U$5:$U$20,0)))</f>
        <v>100.23985</v>
      </c>
      <c r="L185" s="17">
        <f t="shared" si="11"/>
        <v>20047.97</v>
      </c>
      <c r="M185" s="15">
        <f>IF(F185="cetes",IF(COUNTIFS(CETES!$A$5:$A$95,A185,CETES!$B$5:$B$95,C185)=0,"",A185),SUMIFS(Precios!$K$5:$K$109,Precios!$I$5:$I$109,A185,Precios!$J$5:$J$109,C185))</f>
        <v>46293</v>
      </c>
      <c r="N185" s="18">
        <f>IF(F185="cetes",IF(COUNTIFS(CETES!$A$5:$A$95,A185,CETES!$B$5:$B$95,C185)=0,"",SUMIFS(CETES!$AF$5:$AF$95,CETES!$A$5:$A$95,A185,CETES!$B$5:$B$95,C185)),SUMIFS(Precios!$L$5:$L$109,Precios!$I$5:$I$109,A185,Precios!$J$5:$J$109,C185))</f>
        <v>99.7</v>
      </c>
      <c r="O185" s="17">
        <f t="shared" si="12"/>
        <v>19940</v>
      </c>
      <c r="P185" s="17">
        <f t="shared" si="13"/>
        <v>-107.97000000000116</v>
      </c>
      <c r="Q185" s="17">
        <f>IF(F185="cetes",IF(A185=G185,SUMIFS(Transacciones!$N$5:$N$20,Transacciones!$T$5:$T$20,E185,Transacciones!$F$5:$F$20,"&lt;"&amp;A185)*H185,0),0)</f>
        <v>0</v>
      </c>
      <c r="R185" s="11" t="str">
        <f>IF(COUNTIF(Entradas!$A$14:$A$17,A185)&gt;0,"sí","")</f>
        <v/>
      </c>
      <c r="S185" s="11" t="str">
        <f t="shared" si="14"/>
        <v>46293|Principal|DEMOACC|Casa A</v>
      </c>
    </row>
    <row r="186" spans="1:19" x14ac:dyDescent="0.3">
      <c r="A186" s="20">
        <v>46293</v>
      </c>
      <c r="B186" s="21" t="s">
        <v>94</v>
      </c>
      <c r="C186" s="21" t="s">
        <v>123</v>
      </c>
      <c r="D186" s="21" t="s">
        <v>113</v>
      </c>
      <c r="E186" s="11" t="str">
        <f t="shared" si="10"/>
        <v>Principal|DEMOACC|Casa B</v>
      </c>
      <c r="F186" s="11" t="str">
        <f>INDEX(Entradas!$C$40:$C$46,MATCH(C186,Entradas!$A$40:$A$46,0))</f>
        <v>accion</v>
      </c>
      <c r="G186" s="15" t="str">
        <f>IF(F186="cetes",INDEX(Entradas!$F$40:$F$46,MATCH(C186,Entradas!$A$40:$A$46,0)),"")</f>
        <v/>
      </c>
      <c r="H186" s="17" t="str">
        <f>IF(F186="cetes",INDEX(Entradas!$G$40:$G$46,MATCH(C186,Entradas!$A$40:$A$46,0)),"")</f>
        <v/>
      </c>
      <c r="I186" s="14">
        <f>IF(F186="cetes",IF(A186&gt;=G186,0,SUMIFS(Transacciones!$N$5:$N$20,Transacciones!$T$5:$T$20,E186,Transacciones!$F$5:$F$20,"&lt;="&amp;A186)),SUMIFS(Transacciones!$N$5:$N$20,Transacciones!$T$5:$T$20,E186,Transacciones!$F$5:$F$20,"&lt;="&amp;A186))</f>
        <v>100</v>
      </c>
      <c r="J186" s="14">
        <f>_xlfn.MAXIFS(Transacciones!$U$5:$U$20,Transacciones!$T$5:$T$20,E186,Transacciones!$F$5:$F$20,"&lt;="&amp;A186)</f>
        <v>46279006</v>
      </c>
      <c r="K186" s="18">
        <f>IF(I186=0,0,INDEX(Transacciones!$Z$5:$Z$20,MATCH(J186,Transacciones!$U$5:$U$20,0)))</f>
        <v>103.399</v>
      </c>
      <c r="L186" s="17">
        <f t="shared" si="11"/>
        <v>10339.9</v>
      </c>
      <c r="M186" s="15">
        <f>IF(F186="cetes",IF(COUNTIFS(CETES!$A$5:$A$95,A186,CETES!$B$5:$B$95,C186)=0,"",A186),SUMIFS(Precios!$K$5:$K$109,Precios!$I$5:$I$109,A186,Precios!$J$5:$J$109,C186))</f>
        <v>46293</v>
      </c>
      <c r="N186" s="18">
        <f>IF(F186="cetes",IF(COUNTIFS(CETES!$A$5:$A$95,A186,CETES!$B$5:$B$95,C186)=0,"",SUMIFS(CETES!$AF$5:$AF$95,CETES!$A$5:$A$95,A186,CETES!$B$5:$B$95,C186)),SUMIFS(Precios!$L$5:$L$109,Precios!$I$5:$I$109,A186,Precios!$J$5:$J$109,C186))</f>
        <v>99.7</v>
      </c>
      <c r="O186" s="17">
        <f t="shared" si="12"/>
        <v>9970</v>
      </c>
      <c r="P186" s="17">
        <f t="shared" si="13"/>
        <v>-369.89999999999964</v>
      </c>
      <c r="Q186" s="17">
        <f>IF(F186="cetes",IF(A186=G186,SUMIFS(Transacciones!$N$5:$N$20,Transacciones!$T$5:$T$20,E186,Transacciones!$F$5:$F$20,"&lt;"&amp;A186)*H186,0),0)</f>
        <v>0</v>
      </c>
      <c r="R186" s="11" t="str">
        <f>IF(COUNTIF(Entradas!$A$14:$A$17,A186)&gt;0,"sí","")</f>
        <v/>
      </c>
      <c r="S186" s="11" t="str">
        <f t="shared" si="14"/>
        <v>46293|Principal|DEMOACC|Casa B</v>
      </c>
    </row>
    <row r="187" spans="1:19" x14ac:dyDescent="0.3">
      <c r="A187" s="20">
        <v>46293</v>
      </c>
      <c r="B187" s="21" t="s">
        <v>94</v>
      </c>
      <c r="C187" s="21" t="s">
        <v>126</v>
      </c>
      <c r="D187" s="21" t="s">
        <v>113</v>
      </c>
      <c r="E187" s="11" t="str">
        <f t="shared" si="10"/>
        <v>Principal|DEMOETF|Casa B</v>
      </c>
      <c r="F187" s="11" t="str">
        <f>INDEX(Entradas!$C$40:$C$46,MATCH(C187,Entradas!$A$40:$A$46,0))</f>
        <v>etf</v>
      </c>
      <c r="G187" s="15" t="str">
        <f>IF(F187="cetes",INDEX(Entradas!$F$40:$F$46,MATCH(C187,Entradas!$A$40:$A$46,0)),"")</f>
        <v/>
      </c>
      <c r="H187" s="17" t="str">
        <f>IF(F187="cetes",INDEX(Entradas!$G$40:$G$46,MATCH(C187,Entradas!$A$40:$A$46,0)),"")</f>
        <v/>
      </c>
      <c r="I187" s="14">
        <f>IF(F187="cetes",IF(A187&gt;=G187,0,SUMIFS(Transacciones!$N$5:$N$20,Transacciones!$T$5:$T$20,E187,Transacciones!$F$5:$F$20,"&lt;="&amp;A187)),SUMIFS(Transacciones!$N$5:$N$20,Transacciones!$T$5:$T$20,E187,Transacciones!$F$5:$F$20,"&lt;="&amp;A187))</f>
        <v>40</v>
      </c>
      <c r="J187" s="14">
        <f>_xlfn.MAXIFS(Transacciones!$U$5:$U$20,Transacciones!$T$5:$T$20,E187,Transacciones!$F$5:$F$20,"&lt;="&amp;A187)</f>
        <v>46290512</v>
      </c>
      <c r="K187" s="18">
        <f>IF(I187=0,0,INDEX(Transacciones!$Z$5:$Z$20,MATCH(J187,Transacciones!$U$5:$U$20,0)))</f>
        <v>49.386499999999998</v>
      </c>
      <c r="L187" s="17">
        <f t="shared" si="11"/>
        <v>1975.46</v>
      </c>
      <c r="M187" s="15">
        <f>IF(F187="cetes",IF(COUNTIFS(CETES!$A$5:$A$95,A187,CETES!$B$5:$B$95,C187)=0,"",A187),SUMIFS(Precios!$K$5:$K$109,Precios!$I$5:$I$109,A187,Precios!$J$5:$J$109,C187))</f>
        <v>46293</v>
      </c>
      <c r="N187" s="18">
        <f>IF(F187="cetes",IF(COUNTIFS(CETES!$A$5:$A$95,A187,CETES!$B$5:$B$95,C187)=0,"",SUMIFS(CETES!$AF$5:$AF$95,CETES!$A$5:$A$95,A187,CETES!$B$5:$B$95,C187)),SUMIFS(Precios!$L$5:$L$109,Precios!$I$5:$I$109,A187,Precios!$J$5:$J$109,C187))</f>
        <v>49.21</v>
      </c>
      <c r="O187" s="17">
        <f t="shared" si="12"/>
        <v>1968.4</v>
      </c>
      <c r="P187" s="17">
        <f t="shared" si="13"/>
        <v>-7.0599999999999454</v>
      </c>
      <c r="Q187" s="17">
        <f>IF(F187="cetes",IF(A187=G187,SUMIFS(Transacciones!$N$5:$N$20,Transacciones!$T$5:$T$20,E187,Transacciones!$F$5:$F$20,"&lt;"&amp;A187)*H187,0),0)</f>
        <v>0</v>
      </c>
      <c r="R187" s="11" t="str">
        <f>IF(COUNTIF(Entradas!$A$14:$A$17,A187)&gt;0,"sí","")</f>
        <v/>
      </c>
      <c r="S187" s="11" t="str">
        <f t="shared" si="14"/>
        <v>46293|Principal|DEMOETF|Casa B</v>
      </c>
    </row>
    <row r="188" spans="1:19" x14ac:dyDescent="0.3">
      <c r="A188" s="20">
        <v>46293</v>
      </c>
      <c r="B188" s="21" t="s">
        <v>94</v>
      </c>
      <c r="C188" s="21" t="s">
        <v>129</v>
      </c>
      <c r="D188" s="21" t="s">
        <v>112</v>
      </c>
      <c r="E188" s="11" t="str">
        <f t="shared" si="10"/>
        <v>Principal|DEMOFIB|Casa A</v>
      </c>
      <c r="F188" s="11" t="str">
        <f>INDEX(Entradas!$C$40:$C$46,MATCH(C188,Entradas!$A$40:$A$46,0))</f>
        <v>fibra</v>
      </c>
      <c r="G188" s="15" t="str">
        <f>IF(F188="cetes",INDEX(Entradas!$F$40:$F$46,MATCH(C188,Entradas!$A$40:$A$46,0)),"")</f>
        <v/>
      </c>
      <c r="H188" s="17" t="str">
        <f>IF(F188="cetes",INDEX(Entradas!$G$40:$G$46,MATCH(C188,Entradas!$A$40:$A$46,0)),"")</f>
        <v/>
      </c>
      <c r="I188" s="14">
        <f>IF(F188="cetes",IF(A188&gt;=G188,0,SUMIFS(Transacciones!$N$5:$N$20,Transacciones!$T$5:$T$20,E188,Transacciones!$F$5:$F$20,"&lt;="&amp;A188)),SUMIFS(Transacciones!$N$5:$N$20,Transacciones!$T$5:$T$20,E188,Transacciones!$F$5:$F$20,"&lt;="&amp;A188))</f>
        <v>0</v>
      </c>
      <c r="J188" s="14">
        <f>_xlfn.MAXIFS(Transacciones!$U$5:$U$20,Transacciones!$T$5:$T$20,E188,Transacciones!$F$5:$F$20,"&lt;="&amp;A188)</f>
        <v>46287510</v>
      </c>
      <c r="K188" s="18">
        <f>IF(I188=0,0,INDEX(Transacciones!$Z$5:$Z$20,MATCH(J188,Transacciones!$U$5:$U$20,0)))</f>
        <v>0</v>
      </c>
      <c r="L188" s="17">
        <f t="shared" si="11"/>
        <v>0</v>
      </c>
      <c r="M188" s="15">
        <f>IF(F188="cetes",IF(COUNTIFS(CETES!$A$5:$A$95,A188,CETES!$B$5:$B$95,C188)=0,"",A188),SUMIFS(Precios!$K$5:$K$109,Precios!$I$5:$I$109,A188,Precios!$J$5:$J$109,C188))</f>
        <v>46293</v>
      </c>
      <c r="N188" s="18">
        <f>IF(F188="cetes",IF(COUNTIFS(CETES!$A$5:$A$95,A188,CETES!$B$5:$B$95,C188)=0,"",SUMIFS(CETES!$AF$5:$AF$95,CETES!$A$5:$A$95,A188,CETES!$B$5:$B$95,C188)),SUMIFS(Precios!$L$5:$L$109,Precios!$I$5:$I$109,A188,Precios!$J$5:$J$109,C188))</f>
        <v>24.11</v>
      </c>
      <c r="O188" s="17">
        <f t="shared" si="12"/>
        <v>0</v>
      </c>
      <c r="P188" s="17">
        <f t="shared" si="13"/>
        <v>0</v>
      </c>
      <c r="Q188" s="17">
        <f>IF(F188="cetes",IF(A188=G188,SUMIFS(Transacciones!$N$5:$N$20,Transacciones!$T$5:$T$20,E188,Transacciones!$F$5:$F$20,"&lt;"&amp;A188)*H188,0),0)</f>
        <v>0</v>
      </c>
      <c r="R188" s="11" t="str">
        <f>IF(COUNTIF(Entradas!$A$14:$A$17,A188)&gt;0,"sí","")</f>
        <v/>
      </c>
      <c r="S188" s="11" t="str">
        <f t="shared" si="14"/>
        <v>46293|Principal|DEMOFIB|Casa A</v>
      </c>
    </row>
    <row r="189" spans="1:19" x14ac:dyDescent="0.3">
      <c r="A189" s="20">
        <v>46293</v>
      </c>
      <c r="B189" s="21" t="s">
        <v>94</v>
      </c>
      <c r="C189" s="21" t="s">
        <v>132</v>
      </c>
      <c r="D189" s="21" t="s">
        <v>112</v>
      </c>
      <c r="E189" s="11" t="str">
        <f t="shared" si="10"/>
        <v>Principal|BI261008|Casa A</v>
      </c>
      <c r="F189" s="11" t="str">
        <f>INDEX(Entradas!$C$40:$C$46,MATCH(C189,Entradas!$A$40:$A$46,0))</f>
        <v>cetes</v>
      </c>
      <c r="G189" s="15">
        <f>IF(F189="cetes",INDEX(Entradas!$F$40:$F$46,MATCH(C189,Entradas!$A$40:$A$46,0)),"")</f>
        <v>46303</v>
      </c>
      <c r="H189" s="17">
        <f>IF(F189="cetes",INDEX(Entradas!$G$40:$G$46,MATCH(C189,Entradas!$A$40:$A$46,0)),"")</f>
        <v>10</v>
      </c>
      <c r="I189" s="14">
        <f>IF(F189="cetes",IF(A189&gt;=G189,0,SUMIFS(Transacciones!$N$5:$N$20,Transacciones!$T$5:$T$20,E189,Transacciones!$F$5:$F$20,"&lt;="&amp;A189)),SUMIFS(Transacciones!$N$5:$N$20,Transacciones!$T$5:$T$20,E189,Transacciones!$F$5:$F$20,"&lt;="&amp;A189))</f>
        <v>1500</v>
      </c>
      <c r="J189" s="14">
        <f>_xlfn.MAXIFS(Transacciones!$U$5:$U$20,Transacciones!$T$5:$T$20,E189,Transacciones!$F$5:$F$20,"&lt;="&amp;A189)</f>
        <v>46275003</v>
      </c>
      <c r="K189" s="18">
        <f>IF(I189=0,0,INDEX(Transacciones!$Z$5:$Z$20,MATCH(J189,Transacciones!$U$5:$U$20,0)))</f>
        <v>9.9516240000000007</v>
      </c>
      <c r="L189" s="17">
        <f t="shared" si="11"/>
        <v>14927.436000000002</v>
      </c>
      <c r="M189" s="15">
        <f>IF(F189="cetes",IF(COUNTIFS(CETES!$A$5:$A$95,A189,CETES!$B$5:$B$95,C189)=0,"",A189),SUMIFS(Precios!$K$5:$K$109,Precios!$I$5:$I$109,A189,Precios!$J$5:$J$109,C189))</f>
        <v>46293</v>
      </c>
      <c r="N189" s="18">
        <f>IF(F189="cetes",IF(COUNTIFS(CETES!$A$5:$A$95,A189,CETES!$B$5:$B$95,C189)=0,"",SUMIFS(CETES!$AF$5:$AF$95,CETES!$A$5:$A$95,A189,CETES!$B$5:$B$95,C189)),SUMIFS(Precios!$L$5:$L$109,Precios!$I$5:$I$109,A189,Precios!$J$5:$J$109,C189))</f>
        <v>9.9829457999999995</v>
      </c>
      <c r="O189" s="17">
        <f t="shared" si="12"/>
        <v>14974.4187</v>
      </c>
      <c r="P189" s="17">
        <f t="shared" si="13"/>
        <v>46.982699999998658</v>
      </c>
      <c r="Q189" s="17">
        <f>IF(F189="cetes",IF(A189=G189,SUMIFS(Transacciones!$N$5:$N$20,Transacciones!$T$5:$T$20,E189,Transacciones!$F$5:$F$20,"&lt;"&amp;A189)*H189,0),0)</f>
        <v>0</v>
      </c>
      <c r="R189" s="11" t="str">
        <f>IF(COUNTIF(Entradas!$A$14:$A$17,A189)&gt;0,"sí","")</f>
        <v/>
      </c>
      <c r="S189" s="11" t="str">
        <f t="shared" si="14"/>
        <v>46293|Principal|BI261008|Casa A</v>
      </c>
    </row>
    <row r="190" spans="1:19" x14ac:dyDescent="0.3">
      <c r="A190" s="20">
        <v>46293</v>
      </c>
      <c r="B190" s="21" t="s">
        <v>94</v>
      </c>
      <c r="C190" s="21" t="s">
        <v>132</v>
      </c>
      <c r="D190" s="21" t="s">
        <v>113</v>
      </c>
      <c r="E190" s="11" t="str">
        <f t="shared" si="10"/>
        <v>Principal|BI261008|Casa B</v>
      </c>
      <c r="F190" s="11" t="str">
        <f>INDEX(Entradas!$C$40:$C$46,MATCH(C190,Entradas!$A$40:$A$46,0))</f>
        <v>cetes</v>
      </c>
      <c r="G190" s="15">
        <f>IF(F190="cetes",INDEX(Entradas!$F$40:$F$46,MATCH(C190,Entradas!$A$40:$A$46,0)),"")</f>
        <v>46303</v>
      </c>
      <c r="H190" s="17">
        <f>IF(F190="cetes",INDEX(Entradas!$G$40:$G$46,MATCH(C190,Entradas!$A$40:$A$46,0)),"")</f>
        <v>10</v>
      </c>
      <c r="I190" s="14">
        <f>IF(F190="cetes",IF(A190&gt;=G190,0,SUMIFS(Transacciones!$N$5:$N$20,Transacciones!$T$5:$T$20,E190,Transacciones!$F$5:$F$20,"&lt;="&amp;A190)),SUMIFS(Transacciones!$N$5:$N$20,Transacciones!$T$5:$T$20,E190,Transacciones!$F$5:$F$20,"&lt;="&amp;A190))</f>
        <v>1000</v>
      </c>
      <c r="J190" s="14">
        <f>_xlfn.MAXIFS(Transacciones!$U$5:$U$20,Transacciones!$T$5:$T$20,E190,Transacciones!$F$5:$F$20,"&lt;="&amp;A190)</f>
        <v>46275004</v>
      </c>
      <c r="K190" s="18">
        <f>IF(I190=0,0,INDEX(Transacciones!$Z$5:$Z$20,MATCH(J190,Transacciones!$U$5:$U$20,0)))</f>
        <v>9.9516239999999989</v>
      </c>
      <c r="L190" s="17">
        <f t="shared" si="11"/>
        <v>9951.6239999999998</v>
      </c>
      <c r="M190" s="15">
        <f>IF(F190="cetes",IF(COUNTIFS(CETES!$A$5:$A$95,A190,CETES!$B$5:$B$95,C190)=0,"",A190),SUMIFS(Precios!$K$5:$K$109,Precios!$I$5:$I$109,A190,Precios!$J$5:$J$109,C190))</f>
        <v>46293</v>
      </c>
      <c r="N190" s="18">
        <f>IF(F190="cetes",IF(COUNTIFS(CETES!$A$5:$A$95,A190,CETES!$B$5:$B$95,C190)=0,"",SUMIFS(CETES!$AF$5:$AF$95,CETES!$A$5:$A$95,A190,CETES!$B$5:$B$95,C190)),SUMIFS(Precios!$L$5:$L$109,Precios!$I$5:$I$109,A190,Precios!$J$5:$J$109,C190))</f>
        <v>9.9829457999999995</v>
      </c>
      <c r="O190" s="17">
        <f t="shared" si="12"/>
        <v>9982.9457999999995</v>
      </c>
      <c r="P190" s="17">
        <f t="shared" si="13"/>
        <v>31.321799999999712</v>
      </c>
      <c r="Q190" s="17">
        <f>IF(F190="cetes",IF(A190=G190,SUMIFS(Transacciones!$N$5:$N$20,Transacciones!$T$5:$T$20,E190,Transacciones!$F$5:$F$20,"&lt;"&amp;A190)*H190,0),0)</f>
        <v>0</v>
      </c>
      <c r="R190" s="11" t="str">
        <f>IF(COUNTIF(Entradas!$A$14:$A$17,A190)&gt;0,"sí","")</f>
        <v/>
      </c>
      <c r="S190" s="11" t="str">
        <f t="shared" si="14"/>
        <v>46293|Principal|BI261008|Casa B</v>
      </c>
    </row>
    <row r="191" spans="1:19" x14ac:dyDescent="0.3">
      <c r="A191" s="20">
        <v>46293</v>
      </c>
      <c r="B191" s="21" t="s">
        <v>94</v>
      </c>
      <c r="C191" s="21" t="s">
        <v>135</v>
      </c>
      <c r="D191" s="21" t="s">
        <v>113</v>
      </c>
      <c r="E191" s="11" t="str">
        <f t="shared" si="10"/>
        <v>Principal|BI261105|Casa B</v>
      </c>
      <c r="F191" s="11" t="str">
        <f>INDEX(Entradas!$C$40:$C$46,MATCH(C191,Entradas!$A$40:$A$46,0))</f>
        <v>cetes</v>
      </c>
      <c r="G191" s="15">
        <f>IF(F191="cetes",INDEX(Entradas!$F$40:$F$46,MATCH(C191,Entradas!$A$40:$A$46,0)),"")</f>
        <v>46331</v>
      </c>
      <c r="H191" s="17">
        <f>IF(F191="cetes",INDEX(Entradas!$G$40:$G$46,MATCH(C191,Entradas!$A$40:$A$46,0)),"")</f>
        <v>10</v>
      </c>
      <c r="I191" s="14">
        <f>IF(F191="cetes",IF(A191&gt;=G191,0,SUMIFS(Transacciones!$N$5:$N$20,Transacciones!$T$5:$T$20,E191,Transacciones!$F$5:$F$20,"&lt;="&amp;A191)),SUMIFS(Transacciones!$N$5:$N$20,Transacciones!$T$5:$T$20,E191,Transacciones!$F$5:$F$20,"&lt;="&amp;A191))</f>
        <v>0</v>
      </c>
      <c r="J191" s="14">
        <f>_xlfn.MAXIFS(Transacciones!$U$5:$U$20,Transacciones!$T$5:$T$20,E191,Transacciones!$F$5:$F$20,"&lt;="&amp;A191)</f>
        <v>0</v>
      </c>
      <c r="K191" s="18">
        <f>IF(I191=0,0,INDEX(Transacciones!$Z$5:$Z$20,MATCH(J191,Transacciones!$U$5:$U$20,0)))</f>
        <v>0</v>
      </c>
      <c r="L191" s="17">
        <f t="shared" si="11"/>
        <v>0</v>
      </c>
      <c r="M191" s="15" t="str">
        <f>IF(F191="cetes",IF(COUNTIFS(CETES!$A$5:$A$95,A191,CETES!$B$5:$B$95,C191)=0,"",A191),SUMIFS(Precios!$K$5:$K$109,Precios!$I$5:$I$109,A191,Precios!$J$5:$J$109,C191))</f>
        <v/>
      </c>
      <c r="N191" s="18" t="str">
        <f>IF(F191="cetes",IF(COUNTIFS(CETES!$A$5:$A$95,A191,CETES!$B$5:$B$95,C191)=0,"",SUMIFS(CETES!$AF$5:$AF$95,CETES!$A$5:$A$95,A191,CETES!$B$5:$B$95,C191)),SUMIFS(Precios!$L$5:$L$109,Precios!$I$5:$I$109,A191,Precios!$J$5:$J$109,C191))</f>
        <v/>
      </c>
      <c r="O191" s="17">
        <f t="shared" si="12"/>
        <v>0</v>
      </c>
      <c r="P191" s="17">
        <f t="shared" si="13"/>
        <v>0</v>
      </c>
      <c r="Q191" s="17">
        <f>IF(F191="cetes",IF(A191=G191,SUMIFS(Transacciones!$N$5:$N$20,Transacciones!$T$5:$T$20,E191,Transacciones!$F$5:$F$20,"&lt;"&amp;A191)*H191,0),0)</f>
        <v>0</v>
      </c>
      <c r="R191" s="11" t="str">
        <f>IF(COUNTIF(Entradas!$A$14:$A$17,A191)&gt;0,"sí","")</f>
        <v/>
      </c>
      <c r="S191" s="11" t="str">
        <f t="shared" si="14"/>
        <v>46293|Principal|BI261105|Casa B</v>
      </c>
    </row>
    <row r="192" spans="1:19" x14ac:dyDescent="0.3">
      <c r="A192" s="20">
        <v>46293</v>
      </c>
      <c r="B192" s="21" t="s">
        <v>94</v>
      </c>
      <c r="C192" s="21" t="s">
        <v>137</v>
      </c>
      <c r="D192" s="21" t="s">
        <v>112</v>
      </c>
      <c r="E192" s="11" t="str">
        <f t="shared" si="10"/>
        <v>Principal|BI261217|Casa A</v>
      </c>
      <c r="F192" s="11" t="str">
        <f>INDEX(Entradas!$C$40:$C$46,MATCH(C192,Entradas!$A$40:$A$46,0))</f>
        <v>cetes</v>
      </c>
      <c r="G192" s="15">
        <f>IF(F192="cetes",INDEX(Entradas!$F$40:$F$46,MATCH(C192,Entradas!$A$40:$A$46,0)),"")</f>
        <v>46373</v>
      </c>
      <c r="H192" s="17">
        <f>IF(F192="cetes",INDEX(Entradas!$G$40:$G$46,MATCH(C192,Entradas!$A$40:$A$46,0)),"")</f>
        <v>10</v>
      </c>
      <c r="I192" s="14">
        <f>IF(F192="cetes",IF(A192&gt;=G192,0,SUMIFS(Transacciones!$N$5:$N$20,Transacciones!$T$5:$T$20,E192,Transacciones!$F$5:$F$20,"&lt;="&amp;A192)),SUMIFS(Transacciones!$N$5:$N$20,Transacciones!$T$5:$T$20,E192,Transacciones!$F$5:$F$20,"&lt;="&amp;A192))</f>
        <v>1000</v>
      </c>
      <c r="J192" s="14">
        <f>_xlfn.MAXIFS(Transacciones!$U$5:$U$20,Transacciones!$T$5:$T$20,E192,Transacciones!$F$5:$F$20,"&lt;="&amp;A192)</f>
        <v>46282008</v>
      </c>
      <c r="K192" s="18">
        <f>IF(I192=0,0,INDEX(Transacciones!$Z$5:$Z$20,MATCH(J192,Transacciones!$U$5:$U$20,0)))</f>
        <v>9.8344372</v>
      </c>
      <c r="L192" s="17">
        <f t="shared" si="11"/>
        <v>9834.4372000000003</v>
      </c>
      <c r="M192" s="15">
        <f>IF(F192="cetes",IF(COUNTIFS(CETES!$A$5:$A$95,A192,CETES!$B$5:$B$95,C192)=0,"",A192),SUMIFS(Precios!$K$5:$K$109,Precios!$I$5:$I$109,A192,Precios!$J$5:$J$109,C192))</f>
        <v>46293</v>
      </c>
      <c r="N192" s="18">
        <f>IF(F192="cetes",IF(COUNTIFS(CETES!$A$5:$A$95,A192,CETES!$B$5:$B$95,C192)=0,"",SUMIFS(CETES!$AF$5:$AF$95,CETES!$A$5:$A$95,A192,CETES!$B$5:$B$95,C192)),SUMIFS(Precios!$L$5:$L$109,Precios!$I$5:$I$109,A192,Precios!$J$5:$J$109,C192))</f>
        <v>9.8573278000000002</v>
      </c>
      <c r="O192" s="17">
        <f t="shared" si="12"/>
        <v>9857.3278000000009</v>
      </c>
      <c r="P192" s="17">
        <f t="shared" si="13"/>
        <v>22.890600000000632</v>
      </c>
      <c r="Q192" s="17">
        <f>IF(F192="cetes",IF(A192=G192,SUMIFS(Transacciones!$N$5:$N$20,Transacciones!$T$5:$T$20,E192,Transacciones!$F$5:$F$20,"&lt;"&amp;A192)*H192,0),0)</f>
        <v>0</v>
      </c>
      <c r="R192" s="11" t="str">
        <f>IF(COUNTIF(Entradas!$A$14:$A$17,A192)&gt;0,"sí","")</f>
        <v/>
      </c>
      <c r="S192" s="11" t="str">
        <f t="shared" si="14"/>
        <v>46293|Principal|BI261217|Casa A</v>
      </c>
    </row>
    <row r="193" spans="1:19" x14ac:dyDescent="0.3">
      <c r="A193" s="20">
        <v>46293</v>
      </c>
      <c r="B193" s="21" t="s">
        <v>94</v>
      </c>
      <c r="C193" s="21" t="s">
        <v>139</v>
      </c>
      <c r="D193" s="21" t="s">
        <v>113</v>
      </c>
      <c r="E193" s="11" t="str">
        <f t="shared" si="10"/>
        <v>Principal|BI270318|Casa B</v>
      </c>
      <c r="F193" s="11" t="str">
        <f>INDEX(Entradas!$C$40:$C$46,MATCH(C193,Entradas!$A$40:$A$46,0))</f>
        <v>cetes</v>
      </c>
      <c r="G193" s="15">
        <f>IF(F193="cetes",INDEX(Entradas!$F$40:$F$46,MATCH(C193,Entradas!$A$40:$A$46,0)),"")</f>
        <v>46464</v>
      </c>
      <c r="H193" s="17">
        <f>IF(F193="cetes",INDEX(Entradas!$G$40:$G$46,MATCH(C193,Entradas!$A$40:$A$46,0)),"")</f>
        <v>10</v>
      </c>
      <c r="I193" s="14">
        <f>IF(F193="cetes",IF(A193&gt;=G193,0,SUMIFS(Transacciones!$N$5:$N$20,Transacciones!$T$5:$T$20,E193,Transacciones!$F$5:$F$20,"&lt;="&amp;A193)),SUMIFS(Transacciones!$N$5:$N$20,Transacciones!$T$5:$T$20,E193,Transacciones!$F$5:$F$20,"&lt;="&amp;A193))</f>
        <v>500</v>
      </c>
      <c r="J193" s="14">
        <f>_xlfn.MAXIFS(Transacciones!$U$5:$U$20,Transacciones!$T$5:$T$20,E193,Transacciones!$F$5:$F$20,"&lt;="&amp;A193)</f>
        <v>46282009</v>
      </c>
      <c r="K193" s="18">
        <f>IF(I193=0,0,INDEX(Transacciones!$Z$5:$Z$20,MATCH(J193,Transacciones!$U$5:$U$20,0)))</f>
        <v>9.6629249999999995</v>
      </c>
      <c r="L193" s="17">
        <f t="shared" si="11"/>
        <v>4831.4624999999996</v>
      </c>
      <c r="M193" s="15">
        <f>IF(F193="cetes",IF(COUNTIFS(CETES!$A$5:$A$95,A193,CETES!$B$5:$B$95,C193)=0,"",A193),SUMIFS(Precios!$K$5:$K$109,Precios!$I$5:$I$109,A193,Precios!$J$5:$J$109,C193))</f>
        <v>46293</v>
      </c>
      <c r="N193" s="18">
        <f>IF(F193="cetes",IF(COUNTIFS(CETES!$A$5:$A$95,A193,CETES!$B$5:$B$95,C193)=0,"",SUMIFS(CETES!$AF$5:$AF$95,CETES!$A$5:$A$95,A193,CETES!$B$5:$B$95,C193)),SUMIFS(Precios!$L$5:$L$109,Precios!$I$5:$I$109,A193,Precios!$J$5:$J$109,C193))</f>
        <v>9.6828844000000007</v>
      </c>
      <c r="O193" s="17">
        <f t="shared" si="12"/>
        <v>4841.4422000000004</v>
      </c>
      <c r="P193" s="17">
        <f t="shared" si="13"/>
        <v>9.9797000000007756</v>
      </c>
      <c r="Q193" s="17">
        <f>IF(F193="cetes",IF(A193=G193,SUMIFS(Transacciones!$N$5:$N$20,Transacciones!$T$5:$T$20,E193,Transacciones!$F$5:$F$20,"&lt;"&amp;A193)*H193,0),0)</f>
        <v>0</v>
      </c>
      <c r="R193" s="11" t="str">
        <f>IF(COUNTIF(Entradas!$A$14:$A$17,A193)&gt;0,"sí","")</f>
        <v/>
      </c>
      <c r="S193" s="11" t="str">
        <f t="shared" si="14"/>
        <v>46293|Principal|BI270318|Casa B</v>
      </c>
    </row>
    <row r="194" spans="1:19" x14ac:dyDescent="0.3">
      <c r="A194" s="20">
        <v>46293</v>
      </c>
      <c r="B194" s="21" t="s">
        <v>103</v>
      </c>
      <c r="C194" s="21" t="s">
        <v>123</v>
      </c>
      <c r="D194" s="21" t="s">
        <v>112</v>
      </c>
      <c r="E194" s="11" t="str">
        <f t="shared" si="10"/>
        <v>Secundario|DEMOACC|Casa A</v>
      </c>
      <c r="F194" s="11" t="str">
        <f>INDEX(Entradas!$C$40:$C$46,MATCH(C194,Entradas!$A$40:$A$46,0))</f>
        <v>accion</v>
      </c>
      <c r="G194" s="15" t="str">
        <f>IF(F194="cetes",INDEX(Entradas!$F$40:$F$46,MATCH(C194,Entradas!$A$40:$A$46,0)),"")</f>
        <v/>
      </c>
      <c r="H194" s="17" t="str">
        <f>IF(F194="cetes",INDEX(Entradas!$G$40:$G$46,MATCH(C194,Entradas!$A$40:$A$46,0)),"")</f>
        <v/>
      </c>
      <c r="I194" s="14">
        <f>IF(F194="cetes",IF(A194&gt;=G194,0,SUMIFS(Transacciones!$N$5:$N$20,Transacciones!$T$5:$T$20,E194,Transacciones!$F$5:$F$20,"&lt;="&amp;A194)),SUMIFS(Transacciones!$N$5:$N$20,Transacciones!$T$5:$T$20,E194,Transacciones!$F$5:$F$20,"&lt;="&amp;A194))</f>
        <v>150</v>
      </c>
      <c r="J194" s="14">
        <f>_xlfn.MAXIFS(Transacciones!$U$5:$U$20,Transacciones!$T$5:$T$20,E194,Transacciones!$F$5:$F$20,"&lt;="&amp;A194)</f>
        <v>46279007</v>
      </c>
      <c r="K194" s="18">
        <f>IF(I194=0,0,INDEX(Transacciones!$Z$5:$Z$20,MATCH(J194,Transacciones!$U$5:$U$20,0)))</f>
        <v>103.90046666666666</v>
      </c>
      <c r="L194" s="17">
        <f t="shared" si="11"/>
        <v>15585.07</v>
      </c>
      <c r="M194" s="15">
        <f>IF(F194="cetes",IF(COUNTIFS(CETES!$A$5:$A$95,A194,CETES!$B$5:$B$95,C194)=0,"",A194),SUMIFS(Precios!$K$5:$K$109,Precios!$I$5:$I$109,A194,Precios!$J$5:$J$109,C194))</f>
        <v>46293</v>
      </c>
      <c r="N194" s="18">
        <f>IF(F194="cetes",IF(COUNTIFS(CETES!$A$5:$A$95,A194,CETES!$B$5:$B$95,C194)=0,"",SUMIFS(CETES!$AF$5:$AF$95,CETES!$A$5:$A$95,A194,CETES!$B$5:$B$95,C194)),SUMIFS(Precios!$L$5:$L$109,Precios!$I$5:$I$109,A194,Precios!$J$5:$J$109,C194))</f>
        <v>99.7</v>
      </c>
      <c r="O194" s="17">
        <f t="shared" si="12"/>
        <v>14955</v>
      </c>
      <c r="P194" s="17">
        <f t="shared" si="13"/>
        <v>-630.06999999999971</v>
      </c>
      <c r="Q194" s="17">
        <f>IF(F194="cetes",IF(A194=G194,SUMIFS(Transacciones!$N$5:$N$20,Transacciones!$T$5:$T$20,E194,Transacciones!$F$5:$F$20,"&lt;"&amp;A194)*H194,0),0)</f>
        <v>0</v>
      </c>
      <c r="R194" s="11" t="str">
        <f>IF(COUNTIF(Entradas!$A$14:$A$17,A194)&gt;0,"sí","")</f>
        <v/>
      </c>
      <c r="S194" s="11" t="str">
        <f t="shared" si="14"/>
        <v>46293|Secundario|DEMOACC|Casa A</v>
      </c>
    </row>
    <row r="195" spans="1:19" x14ac:dyDescent="0.3">
      <c r="A195" s="20">
        <v>46294</v>
      </c>
      <c r="B195" s="21" t="s">
        <v>94</v>
      </c>
      <c r="C195" s="21" t="s">
        <v>123</v>
      </c>
      <c r="D195" s="21" t="s">
        <v>112</v>
      </c>
      <c r="E195" s="11" t="str">
        <f t="shared" si="10"/>
        <v>Principal|DEMOACC|Casa A</v>
      </c>
      <c r="F195" s="11" t="str">
        <f>INDEX(Entradas!$C$40:$C$46,MATCH(C195,Entradas!$A$40:$A$46,0))</f>
        <v>accion</v>
      </c>
      <c r="G195" s="15" t="str">
        <f>IF(F195="cetes",INDEX(Entradas!$F$40:$F$46,MATCH(C195,Entradas!$A$40:$A$46,0)),"")</f>
        <v/>
      </c>
      <c r="H195" s="17" t="str">
        <f>IF(F195="cetes",INDEX(Entradas!$G$40:$G$46,MATCH(C195,Entradas!$A$40:$A$46,0)),"")</f>
        <v/>
      </c>
      <c r="I195" s="14">
        <f>IF(F195="cetes",IF(A195&gt;=G195,0,SUMIFS(Transacciones!$N$5:$N$20,Transacciones!$T$5:$T$20,E195,Transacciones!$F$5:$F$20,"&lt;="&amp;A195)),SUMIFS(Transacciones!$N$5:$N$20,Transacciones!$T$5:$T$20,E195,Transacciones!$F$5:$F$20,"&lt;="&amp;A195))</f>
        <v>200</v>
      </c>
      <c r="J195" s="14">
        <f>_xlfn.MAXIFS(Transacciones!$U$5:$U$20,Transacciones!$T$5:$T$20,E195,Transacciones!$F$5:$F$20,"&lt;="&amp;A195)</f>
        <v>46275001</v>
      </c>
      <c r="K195" s="18">
        <f>IF(I195=0,0,INDEX(Transacciones!$Z$5:$Z$20,MATCH(J195,Transacciones!$U$5:$U$20,0)))</f>
        <v>100.23985</v>
      </c>
      <c r="L195" s="17">
        <f t="shared" si="11"/>
        <v>20047.97</v>
      </c>
      <c r="M195" s="15">
        <f>IF(F195="cetes",IF(COUNTIFS(CETES!$A$5:$A$95,A195,CETES!$B$5:$B$95,C195)=0,"",A195),SUMIFS(Precios!$K$5:$K$109,Precios!$I$5:$I$109,A195,Precios!$J$5:$J$109,C195))</f>
        <v>46294</v>
      </c>
      <c r="N195" s="18">
        <f>IF(F195="cetes",IF(COUNTIFS(CETES!$A$5:$A$95,A195,CETES!$B$5:$B$95,C195)=0,"",SUMIFS(CETES!$AF$5:$AF$95,CETES!$A$5:$A$95,A195,CETES!$B$5:$B$95,C195)),SUMIFS(Precios!$L$5:$L$109,Precios!$I$5:$I$109,A195,Precios!$J$5:$J$109,C195))</f>
        <v>103.25</v>
      </c>
      <c r="O195" s="17">
        <f t="shared" si="12"/>
        <v>20650</v>
      </c>
      <c r="P195" s="17">
        <f t="shared" si="13"/>
        <v>602.02999999999884</v>
      </c>
      <c r="Q195" s="17">
        <f>IF(F195="cetes",IF(A195=G195,SUMIFS(Transacciones!$N$5:$N$20,Transacciones!$T$5:$T$20,E195,Transacciones!$F$5:$F$20,"&lt;"&amp;A195)*H195,0),0)</f>
        <v>0</v>
      </c>
      <c r="R195" s="11" t="str">
        <f>IF(COUNTIF(Entradas!$A$14:$A$17,A195)&gt;0,"sí","")</f>
        <v/>
      </c>
      <c r="S195" s="11" t="str">
        <f t="shared" si="14"/>
        <v>46294|Principal|DEMOACC|Casa A</v>
      </c>
    </row>
    <row r="196" spans="1:19" x14ac:dyDescent="0.3">
      <c r="A196" s="20">
        <v>46294</v>
      </c>
      <c r="B196" s="21" t="s">
        <v>94</v>
      </c>
      <c r="C196" s="21" t="s">
        <v>123</v>
      </c>
      <c r="D196" s="21" t="s">
        <v>113</v>
      </c>
      <c r="E196" s="11" t="str">
        <f t="shared" si="10"/>
        <v>Principal|DEMOACC|Casa B</v>
      </c>
      <c r="F196" s="11" t="str">
        <f>INDEX(Entradas!$C$40:$C$46,MATCH(C196,Entradas!$A$40:$A$46,0))</f>
        <v>accion</v>
      </c>
      <c r="G196" s="15" t="str">
        <f>IF(F196="cetes",INDEX(Entradas!$F$40:$F$46,MATCH(C196,Entradas!$A$40:$A$46,0)),"")</f>
        <v/>
      </c>
      <c r="H196" s="17" t="str">
        <f>IF(F196="cetes",INDEX(Entradas!$G$40:$G$46,MATCH(C196,Entradas!$A$40:$A$46,0)),"")</f>
        <v/>
      </c>
      <c r="I196" s="14">
        <f>IF(F196="cetes",IF(A196&gt;=G196,0,SUMIFS(Transacciones!$N$5:$N$20,Transacciones!$T$5:$T$20,E196,Transacciones!$F$5:$F$20,"&lt;="&amp;A196)),SUMIFS(Transacciones!$N$5:$N$20,Transacciones!$T$5:$T$20,E196,Transacciones!$F$5:$F$20,"&lt;="&amp;A196))</f>
        <v>100</v>
      </c>
      <c r="J196" s="14">
        <f>_xlfn.MAXIFS(Transacciones!$U$5:$U$20,Transacciones!$T$5:$T$20,E196,Transacciones!$F$5:$F$20,"&lt;="&amp;A196)</f>
        <v>46279006</v>
      </c>
      <c r="K196" s="18">
        <f>IF(I196=0,0,INDEX(Transacciones!$Z$5:$Z$20,MATCH(J196,Transacciones!$U$5:$U$20,0)))</f>
        <v>103.399</v>
      </c>
      <c r="L196" s="17">
        <f t="shared" si="11"/>
        <v>10339.9</v>
      </c>
      <c r="M196" s="15">
        <f>IF(F196="cetes",IF(COUNTIFS(CETES!$A$5:$A$95,A196,CETES!$B$5:$B$95,C196)=0,"",A196),SUMIFS(Precios!$K$5:$K$109,Precios!$I$5:$I$109,A196,Precios!$J$5:$J$109,C196))</f>
        <v>46294</v>
      </c>
      <c r="N196" s="18">
        <f>IF(F196="cetes",IF(COUNTIFS(CETES!$A$5:$A$95,A196,CETES!$B$5:$B$95,C196)=0,"",SUMIFS(CETES!$AF$5:$AF$95,CETES!$A$5:$A$95,A196,CETES!$B$5:$B$95,C196)),SUMIFS(Precios!$L$5:$L$109,Precios!$I$5:$I$109,A196,Precios!$J$5:$J$109,C196))</f>
        <v>103.25</v>
      </c>
      <c r="O196" s="17">
        <f t="shared" si="12"/>
        <v>10325</v>
      </c>
      <c r="P196" s="17">
        <f t="shared" si="13"/>
        <v>-14.899999999999636</v>
      </c>
      <c r="Q196" s="17">
        <f>IF(F196="cetes",IF(A196=G196,SUMIFS(Transacciones!$N$5:$N$20,Transacciones!$T$5:$T$20,E196,Transacciones!$F$5:$F$20,"&lt;"&amp;A196)*H196,0),0)</f>
        <v>0</v>
      </c>
      <c r="R196" s="11" t="str">
        <f>IF(COUNTIF(Entradas!$A$14:$A$17,A196)&gt;0,"sí","")</f>
        <v/>
      </c>
      <c r="S196" s="11" t="str">
        <f t="shared" si="14"/>
        <v>46294|Principal|DEMOACC|Casa B</v>
      </c>
    </row>
    <row r="197" spans="1:19" x14ac:dyDescent="0.3">
      <c r="A197" s="20">
        <v>46294</v>
      </c>
      <c r="B197" s="21" t="s">
        <v>94</v>
      </c>
      <c r="C197" s="21" t="s">
        <v>126</v>
      </c>
      <c r="D197" s="21" t="s">
        <v>113</v>
      </c>
      <c r="E197" s="11" t="str">
        <f t="shared" ref="E197:E260" si="15">B197&amp;"|"&amp;C197&amp;"|"&amp;D197</f>
        <v>Principal|DEMOETF|Casa B</v>
      </c>
      <c r="F197" s="11" t="str">
        <f>INDEX(Entradas!$C$40:$C$46,MATCH(C197,Entradas!$A$40:$A$46,0))</f>
        <v>etf</v>
      </c>
      <c r="G197" s="15" t="str">
        <f>IF(F197="cetes",INDEX(Entradas!$F$40:$F$46,MATCH(C197,Entradas!$A$40:$A$46,0)),"")</f>
        <v/>
      </c>
      <c r="H197" s="17" t="str">
        <f>IF(F197="cetes",INDEX(Entradas!$G$40:$G$46,MATCH(C197,Entradas!$A$40:$A$46,0)),"")</f>
        <v/>
      </c>
      <c r="I197" s="14">
        <f>IF(F197="cetes",IF(A197&gt;=G197,0,SUMIFS(Transacciones!$N$5:$N$20,Transacciones!$T$5:$T$20,E197,Transacciones!$F$5:$F$20,"&lt;="&amp;A197)),SUMIFS(Transacciones!$N$5:$N$20,Transacciones!$T$5:$T$20,E197,Transacciones!$F$5:$F$20,"&lt;="&amp;A197))</f>
        <v>40</v>
      </c>
      <c r="J197" s="14">
        <f>_xlfn.MAXIFS(Transacciones!$U$5:$U$20,Transacciones!$T$5:$T$20,E197,Transacciones!$F$5:$F$20,"&lt;="&amp;A197)</f>
        <v>46290512</v>
      </c>
      <c r="K197" s="18">
        <f>IF(I197=0,0,INDEX(Transacciones!$Z$5:$Z$20,MATCH(J197,Transacciones!$U$5:$U$20,0)))</f>
        <v>49.386499999999998</v>
      </c>
      <c r="L197" s="17">
        <f t="shared" ref="L197:L260" si="16">I197*K197</f>
        <v>1975.46</v>
      </c>
      <c r="M197" s="15">
        <f>IF(F197="cetes",IF(COUNTIFS(CETES!$A$5:$A$95,A197,CETES!$B$5:$B$95,C197)=0,"",A197),SUMIFS(Precios!$K$5:$K$109,Precios!$I$5:$I$109,A197,Precios!$J$5:$J$109,C197))</f>
        <v>46294</v>
      </c>
      <c r="N197" s="18">
        <f>IF(F197="cetes",IF(COUNTIFS(CETES!$A$5:$A$95,A197,CETES!$B$5:$B$95,C197)=0,"",SUMIFS(CETES!$AF$5:$AF$95,CETES!$A$5:$A$95,A197,CETES!$B$5:$B$95,C197)),SUMIFS(Precios!$L$5:$L$109,Precios!$I$5:$I$109,A197,Precios!$J$5:$J$109,C197))</f>
        <v>50.37</v>
      </c>
      <c r="O197" s="17">
        <f t="shared" ref="O197:O260" si="17">IF(I197=0,0,I197*N197)</f>
        <v>2014.8</v>
      </c>
      <c r="P197" s="17">
        <f t="shared" ref="P197:P260" si="18">O197-L197</f>
        <v>39.339999999999918</v>
      </c>
      <c r="Q197" s="17">
        <f>IF(F197="cetes",IF(A197=G197,SUMIFS(Transacciones!$N$5:$N$20,Transacciones!$T$5:$T$20,E197,Transacciones!$F$5:$F$20,"&lt;"&amp;A197)*H197,0),0)</f>
        <v>0</v>
      </c>
      <c r="R197" s="11" t="str">
        <f>IF(COUNTIF(Entradas!$A$14:$A$17,A197)&gt;0,"sí","")</f>
        <v/>
      </c>
      <c r="S197" s="11" t="str">
        <f t="shared" ref="S197:S260" si="19">A197&amp;"|"&amp;E197</f>
        <v>46294|Principal|DEMOETF|Casa B</v>
      </c>
    </row>
    <row r="198" spans="1:19" x14ac:dyDescent="0.3">
      <c r="A198" s="20">
        <v>46294</v>
      </c>
      <c r="B198" s="21" t="s">
        <v>94</v>
      </c>
      <c r="C198" s="21" t="s">
        <v>129</v>
      </c>
      <c r="D198" s="21" t="s">
        <v>112</v>
      </c>
      <c r="E198" s="11" t="str">
        <f t="shared" si="15"/>
        <v>Principal|DEMOFIB|Casa A</v>
      </c>
      <c r="F198" s="11" t="str">
        <f>INDEX(Entradas!$C$40:$C$46,MATCH(C198,Entradas!$A$40:$A$46,0))</f>
        <v>fibra</v>
      </c>
      <c r="G198" s="15" t="str">
        <f>IF(F198="cetes",INDEX(Entradas!$F$40:$F$46,MATCH(C198,Entradas!$A$40:$A$46,0)),"")</f>
        <v/>
      </c>
      <c r="H198" s="17" t="str">
        <f>IF(F198="cetes",INDEX(Entradas!$G$40:$G$46,MATCH(C198,Entradas!$A$40:$A$46,0)),"")</f>
        <v/>
      </c>
      <c r="I198" s="14">
        <f>IF(F198="cetes",IF(A198&gt;=G198,0,SUMIFS(Transacciones!$N$5:$N$20,Transacciones!$T$5:$T$20,E198,Transacciones!$F$5:$F$20,"&lt;="&amp;A198)),SUMIFS(Transacciones!$N$5:$N$20,Transacciones!$T$5:$T$20,E198,Transacciones!$F$5:$F$20,"&lt;="&amp;A198))</f>
        <v>0</v>
      </c>
      <c r="J198" s="14">
        <f>_xlfn.MAXIFS(Transacciones!$U$5:$U$20,Transacciones!$T$5:$T$20,E198,Transacciones!$F$5:$F$20,"&lt;="&amp;A198)</f>
        <v>46287510</v>
      </c>
      <c r="K198" s="18">
        <f>IF(I198=0,0,INDEX(Transacciones!$Z$5:$Z$20,MATCH(J198,Transacciones!$U$5:$U$20,0)))</f>
        <v>0</v>
      </c>
      <c r="L198" s="17">
        <f t="shared" si="16"/>
        <v>0</v>
      </c>
      <c r="M198" s="15">
        <f>IF(F198="cetes",IF(COUNTIFS(CETES!$A$5:$A$95,A198,CETES!$B$5:$B$95,C198)=0,"",A198),SUMIFS(Precios!$K$5:$K$109,Precios!$I$5:$I$109,A198,Precios!$J$5:$J$109,C198))</f>
        <v>46294</v>
      </c>
      <c r="N198" s="18">
        <f>IF(F198="cetes",IF(COUNTIFS(CETES!$A$5:$A$95,A198,CETES!$B$5:$B$95,C198)=0,"",SUMIFS(CETES!$AF$5:$AF$95,CETES!$A$5:$A$95,A198,CETES!$B$5:$B$95,C198)),SUMIFS(Precios!$L$5:$L$109,Precios!$I$5:$I$109,A198,Precios!$J$5:$J$109,C198))</f>
        <v>24.552499999999998</v>
      </c>
      <c r="O198" s="17">
        <f t="shared" si="17"/>
        <v>0</v>
      </c>
      <c r="P198" s="17">
        <f t="shared" si="18"/>
        <v>0</v>
      </c>
      <c r="Q198" s="17">
        <f>IF(F198="cetes",IF(A198=G198,SUMIFS(Transacciones!$N$5:$N$20,Transacciones!$T$5:$T$20,E198,Transacciones!$F$5:$F$20,"&lt;"&amp;A198)*H198,0),0)</f>
        <v>0</v>
      </c>
      <c r="R198" s="11" t="str">
        <f>IF(COUNTIF(Entradas!$A$14:$A$17,A198)&gt;0,"sí","")</f>
        <v/>
      </c>
      <c r="S198" s="11" t="str">
        <f t="shared" si="19"/>
        <v>46294|Principal|DEMOFIB|Casa A</v>
      </c>
    </row>
    <row r="199" spans="1:19" x14ac:dyDescent="0.3">
      <c r="A199" s="20">
        <v>46294</v>
      </c>
      <c r="B199" s="21" t="s">
        <v>94</v>
      </c>
      <c r="C199" s="21" t="s">
        <v>132</v>
      </c>
      <c r="D199" s="21" t="s">
        <v>112</v>
      </c>
      <c r="E199" s="11" t="str">
        <f t="shared" si="15"/>
        <v>Principal|BI261008|Casa A</v>
      </c>
      <c r="F199" s="11" t="str">
        <f>INDEX(Entradas!$C$40:$C$46,MATCH(C199,Entradas!$A$40:$A$46,0))</f>
        <v>cetes</v>
      </c>
      <c r="G199" s="15">
        <f>IF(F199="cetes",INDEX(Entradas!$F$40:$F$46,MATCH(C199,Entradas!$A$40:$A$46,0)),"")</f>
        <v>46303</v>
      </c>
      <c r="H199" s="17">
        <f>IF(F199="cetes",INDEX(Entradas!$G$40:$G$46,MATCH(C199,Entradas!$A$40:$A$46,0)),"")</f>
        <v>10</v>
      </c>
      <c r="I199" s="14">
        <f>IF(F199="cetes",IF(A199&gt;=G199,0,SUMIFS(Transacciones!$N$5:$N$20,Transacciones!$T$5:$T$20,E199,Transacciones!$F$5:$F$20,"&lt;="&amp;A199)),SUMIFS(Transacciones!$N$5:$N$20,Transacciones!$T$5:$T$20,E199,Transacciones!$F$5:$F$20,"&lt;="&amp;A199))</f>
        <v>1500</v>
      </c>
      <c r="J199" s="14">
        <f>_xlfn.MAXIFS(Transacciones!$U$5:$U$20,Transacciones!$T$5:$T$20,E199,Transacciones!$F$5:$F$20,"&lt;="&amp;A199)</f>
        <v>46275003</v>
      </c>
      <c r="K199" s="18">
        <f>IF(I199=0,0,INDEX(Transacciones!$Z$5:$Z$20,MATCH(J199,Transacciones!$U$5:$U$20,0)))</f>
        <v>9.9516240000000007</v>
      </c>
      <c r="L199" s="17">
        <f t="shared" si="16"/>
        <v>14927.436000000002</v>
      </c>
      <c r="M199" s="15">
        <f>IF(F199="cetes",IF(COUNTIFS(CETES!$A$5:$A$95,A199,CETES!$B$5:$B$95,C199)=0,"",A199),SUMIFS(Precios!$K$5:$K$109,Precios!$I$5:$I$109,A199,Precios!$J$5:$J$109,C199))</f>
        <v>46294</v>
      </c>
      <c r="N199" s="18">
        <f>IF(F199="cetes",IF(COUNTIFS(CETES!$A$5:$A$95,A199,CETES!$B$5:$B$95,C199)=0,"",SUMIFS(CETES!$AF$5:$AF$95,CETES!$A$5:$A$95,A199,CETES!$B$5:$B$95,C199)),SUMIFS(Precios!$L$5:$L$109,Precios!$I$5:$I$109,A199,Precios!$J$5:$J$109,C199))</f>
        <v>9.9846485999999999</v>
      </c>
      <c r="O199" s="17">
        <f t="shared" si="17"/>
        <v>14976.972900000001</v>
      </c>
      <c r="P199" s="17">
        <f t="shared" si="18"/>
        <v>49.53689999999915</v>
      </c>
      <c r="Q199" s="17">
        <f>IF(F199="cetes",IF(A199=G199,SUMIFS(Transacciones!$N$5:$N$20,Transacciones!$T$5:$T$20,E199,Transacciones!$F$5:$F$20,"&lt;"&amp;A199)*H199,0),0)</f>
        <v>0</v>
      </c>
      <c r="R199" s="11" t="str">
        <f>IF(COUNTIF(Entradas!$A$14:$A$17,A199)&gt;0,"sí","")</f>
        <v/>
      </c>
      <c r="S199" s="11" t="str">
        <f t="shared" si="19"/>
        <v>46294|Principal|BI261008|Casa A</v>
      </c>
    </row>
    <row r="200" spans="1:19" x14ac:dyDescent="0.3">
      <c r="A200" s="20">
        <v>46294</v>
      </c>
      <c r="B200" s="21" t="s">
        <v>94</v>
      </c>
      <c r="C200" s="21" t="s">
        <v>132</v>
      </c>
      <c r="D200" s="21" t="s">
        <v>113</v>
      </c>
      <c r="E200" s="11" t="str">
        <f t="shared" si="15"/>
        <v>Principal|BI261008|Casa B</v>
      </c>
      <c r="F200" s="11" t="str">
        <f>INDEX(Entradas!$C$40:$C$46,MATCH(C200,Entradas!$A$40:$A$46,0))</f>
        <v>cetes</v>
      </c>
      <c r="G200" s="15">
        <f>IF(F200="cetes",INDEX(Entradas!$F$40:$F$46,MATCH(C200,Entradas!$A$40:$A$46,0)),"")</f>
        <v>46303</v>
      </c>
      <c r="H200" s="17">
        <f>IF(F200="cetes",INDEX(Entradas!$G$40:$G$46,MATCH(C200,Entradas!$A$40:$A$46,0)),"")</f>
        <v>10</v>
      </c>
      <c r="I200" s="14">
        <f>IF(F200="cetes",IF(A200&gt;=G200,0,SUMIFS(Transacciones!$N$5:$N$20,Transacciones!$T$5:$T$20,E200,Transacciones!$F$5:$F$20,"&lt;="&amp;A200)),SUMIFS(Transacciones!$N$5:$N$20,Transacciones!$T$5:$T$20,E200,Transacciones!$F$5:$F$20,"&lt;="&amp;A200))</f>
        <v>1000</v>
      </c>
      <c r="J200" s="14">
        <f>_xlfn.MAXIFS(Transacciones!$U$5:$U$20,Transacciones!$T$5:$T$20,E200,Transacciones!$F$5:$F$20,"&lt;="&amp;A200)</f>
        <v>46275004</v>
      </c>
      <c r="K200" s="18">
        <f>IF(I200=0,0,INDEX(Transacciones!$Z$5:$Z$20,MATCH(J200,Transacciones!$U$5:$U$20,0)))</f>
        <v>9.9516239999999989</v>
      </c>
      <c r="L200" s="17">
        <f t="shared" si="16"/>
        <v>9951.6239999999998</v>
      </c>
      <c r="M200" s="15">
        <f>IF(F200="cetes",IF(COUNTIFS(CETES!$A$5:$A$95,A200,CETES!$B$5:$B$95,C200)=0,"",A200),SUMIFS(Precios!$K$5:$K$109,Precios!$I$5:$I$109,A200,Precios!$J$5:$J$109,C200))</f>
        <v>46294</v>
      </c>
      <c r="N200" s="18">
        <f>IF(F200="cetes",IF(COUNTIFS(CETES!$A$5:$A$95,A200,CETES!$B$5:$B$95,C200)=0,"",SUMIFS(CETES!$AF$5:$AF$95,CETES!$A$5:$A$95,A200,CETES!$B$5:$B$95,C200)),SUMIFS(Precios!$L$5:$L$109,Precios!$I$5:$I$109,A200,Precios!$J$5:$J$109,C200))</f>
        <v>9.9846485999999999</v>
      </c>
      <c r="O200" s="17">
        <f t="shared" si="17"/>
        <v>9984.6486000000004</v>
      </c>
      <c r="P200" s="17">
        <f t="shared" si="18"/>
        <v>33.024600000000646</v>
      </c>
      <c r="Q200" s="17">
        <f>IF(F200="cetes",IF(A200=G200,SUMIFS(Transacciones!$N$5:$N$20,Transacciones!$T$5:$T$20,E200,Transacciones!$F$5:$F$20,"&lt;"&amp;A200)*H200,0),0)</f>
        <v>0</v>
      </c>
      <c r="R200" s="11" t="str">
        <f>IF(COUNTIF(Entradas!$A$14:$A$17,A200)&gt;0,"sí","")</f>
        <v/>
      </c>
      <c r="S200" s="11" t="str">
        <f t="shared" si="19"/>
        <v>46294|Principal|BI261008|Casa B</v>
      </c>
    </row>
    <row r="201" spans="1:19" x14ac:dyDescent="0.3">
      <c r="A201" s="20">
        <v>46294</v>
      </c>
      <c r="B201" s="21" t="s">
        <v>94</v>
      </c>
      <c r="C201" s="21" t="s">
        <v>135</v>
      </c>
      <c r="D201" s="21" t="s">
        <v>113</v>
      </c>
      <c r="E201" s="11" t="str">
        <f t="shared" si="15"/>
        <v>Principal|BI261105|Casa B</v>
      </c>
      <c r="F201" s="11" t="str">
        <f>INDEX(Entradas!$C$40:$C$46,MATCH(C201,Entradas!$A$40:$A$46,0))</f>
        <v>cetes</v>
      </c>
      <c r="G201" s="15">
        <f>IF(F201="cetes",INDEX(Entradas!$F$40:$F$46,MATCH(C201,Entradas!$A$40:$A$46,0)),"")</f>
        <v>46331</v>
      </c>
      <c r="H201" s="17">
        <f>IF(F201="cetes",INDEX(Entradas!$G$40:$G$46,MATCH(C201,Entradas!$A$40:$A$46,0)),"")</f>
        <v>10</v>
      </c>
      <c r="I201" s="14">
        <f>IF(F201="cetes",IF(A201&gt;=G201,0,SUMIFS(Transacciones!$N$5:$N$20,Transacciones!$T$5:$T$20,E201,Transacciones!$F$5:$F$20,"&lt;="&amp;A201)),SUMIFS(Transacciones!$N$5:$N$20,Transacciones!$T$5:$T$20,E201,Transacciones!$F$5:$F$20,"&lt;="&amp;A201))</f>
        <v>0</v>
      </c>
      <c r="J201" s="14">
        <f>_xlfn.MAXIFS(Transacciones!$U$5:$U$20,Transacciones!$T$5:$T$20,E201,Transacciones!$F$5:$F$20,"&lt;="&amp;A201)</f>
        <v>0</v>
      </c>
      <c r="K201" s="18">
        <f>IF(I201=0,0,INDEX(Transacciones!$Z$5:$Z$20,MATCH(J201,Transacciones!$U$5:$U$20,0)))</f>
        <v>0</v>
      </c>
      <c r="L201" s="17">
        <f t="shared" si="16"/>
        <v>0</v>
      </c>
      <c r="M201" s="15" t="str">
        <f>IF(F201="cetes",IF(COUNTIFS(CETES!$A$5:$A$95,A201,CETES!$B$5:$B$95,C201)=0,"",A201),SUMIFS(Precios!$K$5:$K$109,Precios!$I$5:$I$109,A201,Precios!$J$5:$J$109,C201))</f>
        <v/>
      </c>
      <c r="N201" s="18" t="str">
        <f>IF(F201="cetes",IF(COUNTIFS(CETES!$A$5:$A$95,A201,CETES!$B$5:$B$95,C201)=0,"",SUMIFS(CETES!$AF$5:$AF$95,CETES!$A$5:$A$95,A201,CETES!$B$5:$B$95,C201)),SUMIFS(Precios!$L$5:$L$109,Precios!$I$5:$I$109,A201,Precios!$J$5:$J$109,C201))</f>
        <v/>
      </c>
      <c r="O201" s="17">
        <f t="shared" si="17"/>
        <v>0</v>
      </c>
      <c r="P201" s="17">
        <f t="shared" si="18"/>
        <v>0</v>
      </c>
      <c r="Q201" s="17">
        <f>IF(F201="cetes",IF(A201=G201,SUMIFS(Transacciones!$N$5:$N$20,Transacciones!$T$5:$T$20,E201,Transacciones!$F$5:$F$20,"&lt;"&amp;A201)*H201,0),0)</f>
        <v>0</v>
      </c>
      <c r="R201" s="11" t="str">
        <f>IF(COUNTIF(Entradas!$A$14:$A$17,A201)&gt;0,"sí","")</f>
        <v/>
      </c>
      <c r="S201" s="11" t="str">
        <f t="shared" si="19"/>
        <v>46294|Principal|BI261105|Casa B</v>
      </c>
    </row>
    <row r="202" spans="1:19" x14ac:dyDescent="0.3">
      <c r="A202" s="20">
        <v>46294</v>
      </c>
      <c r="B202" s="21" t="s">
        <v>94</v>
      </c>
      <c r="C202" s="21" t="s">
        <v>137</v>
      </c>
      <c r="D202" s="21" t="s">
        <v>112</v>
      </c>
      <c r="E202" s="11" t="str">
        <f t="shared" si="15"/>
        <v>Principal|BI261217|Casa A</v>
      </c>
      <c r="F202" s="11" t="str">
        <f>INDEX(Entradas!$C$40:$C$46,MATCH(C202,Entradas!$A$40:$A$46,0))</f>
        <v>cetes</v>
      </c>
      <c r="G202" s="15">
        <f>IF(F202="cetes",INDEX(Entradas!$F$40:$F$46,MATCH(C202,Entradas!$A$40:$A$46,0)),"")</f>
        <v>46373</v>
      </c>
      <c r="H202" s="17">
        <f>IF(F202="cetes",INDEX(Entradas!$G$40:$G$46,MATCH(C202,Entradas!$A$40:$A$46,0)),"")</f>
        <v>10</v>
      </c>
      <c r="I202" s="14">
        <f>IF(F202="cetes",IF(A202&gt;=G202,0,SUMIFS(Transacciones!$N$5:$N$20,Transacciones!$T$5:$T$20,E202,Transacciones!$F$5:$F$20,"&lt;="&amp;A202)),SUMIFS(Transacciones!$N$5:$N$20,Transacciones!$T$5:$T$20,E202,Transacciones!$F$5:$F$20,"&lt;="&amp;A202))</f>
        <v>1000</v>
      </c>
      <c r="J202" s="14">
        <f>_xlfn.MAXIFS(Transacciones!$U$5:$U$20,Transacciones!$T$5:$T$20,E202,Transacciones!$F$5:$F$20,"&lt;="&amp;A202)</f>
        <v>46282008</v>
      </c>
      <c r="K202" s="18">
        <f>IF(I202=0,0,INDEX(Transacciones!$Z$5:$Z$20,MATCH(J202,Transacciones!$U$5:$U$20,0)))</f>
        <v>9.8344372</v>
      </c>
      <c r="L202" s="17">
        <f t="shared" si="16"/>
        <v>9834.4372000000003</v>
      </c>
      <c r="M202" s="15">
        <f>IF(F202="cetes",IF(COUNTIFS(CETES!$A$5:$A$95,A202,CETES!$B$5:$B$95,C202)=0,"",A202),SUMIFS(Precios!$K$5:$K$109,Precios!$I$5:$I$109,A202,Precios!$J$5:$J$109,C202))</f>
        <v>46294</v>
      </c>
      <c r="N202" s="18">
        <f>IF(F202="cetes",IF(COUNTIFS(CETES!$A$5:$A$95,A202,CETES!$B$5:$B$95,C202)=0,"",SUMIFS(CETES!$AF$5:$AF$95,CETES!$A$5:$A$95,A202,CETES!$B$5:$B$95,C202)),SUMIFS(Precios!$L$5:$L$109,Precios!$I$5:$I$109,A202,Precios!$J$5:$J$109,C202))</f>
        <v>9.859235</v>
      </c>
      <c r="O202" s="17">
        <f t="shared" si="17"/>
        <v>9859.2350000000006</v>
      </c>
      <c r="P202" s="17">
        <f t="shared" si="18"/>
        <v>24.797800000000279</v>
      </c>
      <c r="Q202" s="17">
        <f>IF(F202="cetes",IF(A202=G202,SUMIFS(Transacciones!$N$5:$N$20,Transacciones!$T$5:$T$20,E202,Transacciones!$F$5:$F$20,"&lt;"&amp;A202)*H202,0),0)</f>
        <v>0</v>
      </c>
      <c r="R202" s="11" t="str">
        <f>IF(COUNTIF(Entradas!$A$14:$A$17,A202)&gt;0,"sí","")</f>
        <v/>
      </c>
      <c r="S202" s="11" t="str">
        <f t="shared" si="19"/>
        <v>46294|Principal|BI261217|Casa A</v>
      </c>
    </row>
    <row r="203" spans="1:19" x14ac:dyDescent="0.3">
      <c r="A203" s="20">
        <v>46294</v>
      </c>
      <c r="B203" s="21" t="s">
        <v>94</v>
      </c>
      <c r="C203" s="21" t="s">
        <v>139</v>
      </c>
      <c r="D203" s="21" t="s">
        <v>113</v>
      </c>
      <c r="E203" s="11" t="str">
        <f t="shared" si="15"/>
        <v>Principal|BI270318|Casa B</v>
      </c>
      <c r="F203" s="11" t="str">
        <f>INDEX(Entradas!$C$40:$C$46,MATCH(C203,Entradas!$A$40:$A$46,0))</f>
        <v>cetes</v>
      </c>
      <c r="G203" s="15">
        <f>IF(F203="cetes",INDEX(Entradas!$F$40:$F$46,MATCH(C203,Entradas!$A$40:$A$46,0)),"")</f>
        <v>46464</v>
      </c>
      <c r="H203" s="17">
        <f>IF(F203="cetes",INDEX(Entradas!$G$40:$G$46,MATCH(C203,Entradas!$A$40:$A$46,0)),"")</f>
        <v>10</v>
      </c>
      <c r="I203" s="14">
        <f>IF(F203="cetes",IF(A203&gt;=G203,0,SUMIFS(Transacciones!$N$5:$N$20,Transacciones!$T$5:$T$20,E203,Transacciones!$F$5:$F$20,"&lt;="&amp;A203)),SUMIFS(Transacciones!$N$5:$N$20,Transacciones!$T$5:$T$20,E203,Transacciones!$F$5:$F$20,"&lt;="&amp;A203))</f>
        <v>500</v>
      </c>
      <c r="J203" s="14">
        <f>_xlfn.MAXIFS(Transacciones!$U$5:$U$20,Transacciones!$T$5:$T$20,E203,Transacciones!$F$5:$F$20,"&lt;="&amp;A203)</f>
        <v>46282009</v>
      </c>
      <c r="K203" s="18">
        <f>IF(I203=0,0,INDEX(Transacciones!$Z$5:$Z$20,MATCH(J203,Transacciones!$U$5:$U$20,0)))</f>
        <v>9.6629249999999995</v>
      </c>
      <c r="L203" s="17">
        <f t="shared" si="16"/>
        <v>4831.4624999999996</v>
      </c>
      <c r="M203" s="15">
        <f>IF(F203="cetes",IF(COUNTIFS(CETES!$A$5:$A$95,A203,CETES!$B$5:$B$95,C203)=0,"",A203),SUMIFS(Precios!$K$5:$K$109,Precios!$I$5:$I$109,A203,Precios!$J$5:$J$109,C203))</f>
        <v>46294</v>
      </c>
      <c r="N203" s="18">
        <f>IF(F203="cetes",IF(COUNTIFS(CETES!$A$5:$A$95,A203,CETES!$B$5:$B$95,C203)=0,"",SUMIFS(CETES!$AF$5:$AF$95,CETES!$A$5:$A$95,A203,CETES!$B$5:$B$95,C203)),SUMIFS(Precios!$L$5:$L$109,Precios!$I$5:$I$109,A203,Precios!$J$5:$J$109,C203))</f>
        <v>9.6848490999999992</v>
      </c>
      <c r="O203" s="17">
        <f t="shared" si="17"/>
        <v>4842.4245499999997</v>
      </c>
      <c r="P203" s="17">
        <f t="shared" si="18"/>
        <v>10.96205000000009</v>
      </c>
      <c r="Q203" s="17">
        <f>IF(F203="cetes",IF(A203=G203,SUMIFS(Transacciones!$N$5:$N$20,Transacciones!$T$5:$T$20,E203,Transacciones!$F$5:$F$20,"&lt;"&amp;A203)*H203,0),0)</f>
        <v>0</v>
      </c>
      <c r="R203" s="11" t="str">
        <f>IF(COUNTIF(Entradas!$A$14:$A$17,A203)&gt;0,"sí","")</f>
        <v/>
      </c>
      <c r="S203" s="11" t="str">
        <f t="shared" si="19"/>
        <v>46294|Principal|BI270318|Casa B</v>
      </c>
    </row>
    <row r="204" spans="1:19" x14ac:dyDescent="0.3">
      <c r="A204" s="20">
        <v>46294</v>
      </c>
      <c r="B204" s="21" t="s">
        <v>103</v>
      </c>
      <c r="C204" s="21" t="s">
        <v>123</v>
      </c>
      <c r="D204" s="21" t="s">
        <v>112</v>
      </c>
      <c r="E204" s="11" t="str">
        <f t="shared" si="15"/>
        <v>Secundario|DEMOACC|Casa A</v>
      </c>
      <c r="F204" s="11" t="str">
        <f>INDEX(Entradas!$C$40:$C$46,MATCH(C204,Entradas!$A$40:$A$46,0))</f>
        <v>accion</v>
      </c>
      <c r="G204" s="15" t="str">
        <f>IF(F204="cetes",INDEX(Entradas!$F$40:$F$46,MATCH(C204,Entradas!$A$40:$A$46,0)),"")</f>
        <v/>
      </c>
      <c r="H204" s="17" t="str">
        <f>IF(F204="cetes",INDEX(Entradas!$G$40:$G$46,MATCH(C204,Entradas!$A$40:$A$46,0)),"")</f>
        <v/>
      </c>
      <c r="I204" s="14">
        <f>IF(F204="cetes",IF(A204&gt;=G204,0,SUMIFS(Transacciones!$N$5:$N$20,Transacciones!$T$5:$T$20,E204,Transacciones!$F$5:$F$20,"&lt;="&amp;A204)),SUMIFS(Transacciones!$N$5:$N$20,Transacciones!$T$5:$T$20,E204,Transacciones!$F$5:$F$20,"&lt;="&amp;A204))</f>
        <v>150</v>
      </c>
      <c r="J204" s="14">
        <f>_xlfn.MAXIFS(Transacciones!$U$5:$U$20,Transacciones!$T$5:$T$20,E204,Transacciones!$F$5:$F$20,"&lt;="&amp;A204)</f>
        <v>46279007</v>
      </c>
      <c r="K204" s="18">
        <f>IF(I204=0,0,INDEX(Transacciones!$Z$5:$Z$20,MATCH(J204,Transacciones!$U$5:$U$20,0)))</f>
        <v>103.90046666666666</v>
      </c>
      <c r="L204" s="17">
        <f t="shared" si="16"/>
        <v>15585.07</v>
      </c>
      <c r="M204" s="15">
        <f>IF(F204="cetes",IF(COUNTIFS(CETES!$A$5:$A$95,A204,CETES!$B$5:$B$95,C204)=0,"",A204),SUMIFS(Precios!$K$5:$K$109,Precios!$I$5:$I$109,A204,Precios!$J$5:$J$109,C204))</f>
        <v>46294</v>
      </c>
      <c r="N204" s="18">
        <f>IF(F204="cetes",IF(COUNTIFS(CETES!$A$5:$A$95,A204,CETES!$B$5:$B$95,C204)=0,"",SUMIFS(CETES!$AF$5:$AF$95,CETES!$A$5:$A$95,A204,CETES!$B$5:$B$95,C204)),SUMIFS(Precios!$L$5:$L$109,Precios!$I$5:$I$109,A204,Precios!$J$5:$J$109,C204))</f>
        <v>103.25</v>
      </c>
      <c r="O204" s="17">
        <f t="shared" si="17"/>
        <v>15487.5</v>
      </c>
      <c r="P204" s="17">
        <f t="shared" si="18"/>
        <v>-97.569999999999709</v>
      </c>
      <c r="Q204" s="17">
        <f>IF(F204="cetes",IF(A204=G204,SUMIFS(Transacciones!$N$5:$N$20,Transacciones!$T$5:$T$20,E204,Transacciones!$F$5:$F$20,"&lt;"&amp;A204)*H204,0),0)</f>
        <v>0</v>
      </c>
      <c r="R204" s="11" t="str">
        <f>IF(COUNTIF(Entradas!$A$14:$A$17,A204)&gt;0,"sí","")</f>
        <v/>
      </c>
      <c r="S204" s="11" t="str">
        <f t="shared" si="19"/>
        <v>46294|Secundario|DEMOACC|Casa A</v>
      </c>
    </row>
    <row r="205" spans="1:19" x14ac:dyDescent="0.3">
      <c r="A205" s="20">
        <v>46295</v>
      </c>
      <c r="B205" s="21" t="s">
        <v>94</v>
      </c>
      <c r="C205" s="21" t="s">
        <v>123</v>
      </c>
      <c r="D205" s="21" t="s">
        <v>112</v>
      </c>
      <c r="E205" s="11" t="str">
        <f t="shared" si="15"/>
        <v>Principal|DEMOACC|Casa A</v>
      </c>
      <c r="F205" s="11" t="str">
        <f>INDEX(Entradas!$C$40:$C$46,MATCH(C205,Entradas!$A$40:$A$46,0))</f>
        <v>accion</v>
      </c>
      <c r="G205" s="15" t="str">
        <f>IF(F205="cetes",INDEX(Entradas!$F$40:$F$46,MATCH(C205,Entradas!$A$40:$A$46,0)),"")</f>
        <v/>
      </c>
      <c r="H205" s="17" t="str">
        <f>IF(F205="cetes",INDEX(Entradas!$G$40:$G$46,MATCH(C205,Entradas!$A$40:$A$46,0)),"")</f>
        <v/>
      </c>
      <c r="I205" s="14">
        <f>IF(F205="cetes",IF(A205&gt;=G205,0,SUMIFS(Transacciones!$N$5:$N$20,Transacciones!$T$5:$T$20,E205,Transacciones!$F$5:$F$20,"&lt;="&amp;A205)),SUMIFS(Transacciones!$N$5:$N$20,Transacciones!$T$5:$T$20,E205,Transacciones!$F$5:$F$20,"&lt;="&amp;A205))</f>
        <v>200</v>
      </c>
      <c r="J205" s="14">
        <f>_xlfn.MAXIFS(Transacciones!$U$5:$U$20,Transacciones!$T$5:$T$20,E205,Transacciones!$F$5:$F$20,"&lt;="&amp;A205)</f>
        <v>46275001</v>
      </c>
      <c r="K205" s="18">
        <f>IF(I205=0,0,INDEX(Transacciones!$Z$5:$Z$20,MATCH(J205,Transacciones!$U$5:$U$20,0)))</f>
        <v>100.23985</v>
      </c>
      <c r="L205" s="17">
        <f t="shared" si="16"/>
        <v>20047.97</v>
      </c>
      <c r="M205" s="15">
        <f>IF(F205="cetes",IF(COUNTIFS(CETES!$A$5:$A$95,A205,CETES!$B$5:$B$95,C205)=0,"",A205),SUMIFS(Precios!$K$5:$K$109,Precios!$I$5:$I$109,A205,Precios!$J$5:$J$109,C205))</f>
        <v>46295</v>
      </c>
      <c r="N205" s="18">
        <f>IF(F205="cetes",IF(COUNTIFS(CETES!$A$5:$A$95,A205,CETES!$B$5:$B$95,C205)=0,"",SUMIFS(CETES!$AF$5:$AF$95,CETES!$A$5:$A$95,A205,CETES!$B$5:$B$95,C205)),SUMIFS(Precios!$L$5:$L$109,Precios!$I$5:$I$109,A205,Precios!$J$5:$J$109,C205))</f>
        <v>107.1</v>
      </c>
      <c r="O205" s="17">
        <f t="shared" si="17"/>
        <v>21420</v>
      </c>
      <c r="P205" s="17">
        <f t="shared" si="18"/>
        <v>1372.0299999999988</v>
      </c>
      <c r="Q205" s="17">
        <f>IF(F205="cetes",IF(A205=G205,SUMIFS(Transacciones!$N$5:$N$20,Transacciones!$T$5:$T$20,E205,Transacciones!$F$5:$F$20,"&lt;"&amp;A205)*H205,0),0)</f>
        <v>0</v>
      </c>
      <c r="R205" s="11" t="str">
        <f>IF(COUNTIF(Entradas!$A$14:$A$17,A205)&gt;0,"sí","")</f>
        <v/>
      </c>
      <c r="S205" s="11" t="str">
        <f t="shared" si="19"/>
        <v>46295|Principal|DEMOACC|Casa A</v>
      </c>
    </row>
    <row r="206" spans="1:19" x14ac:dyDescent="0.3">
      <c r="A206" s="20">
        <v>46295</v>
      </c>
      <c r="B206" s="21" t="s">
        <v>94</v>
      </c>
      <c r="C206" s="21" t="s">
        <v>123</v>
      </c>
      <c r="D206" s="21" t="s">
        <v>113</v>
      </c>
      <c r="E206" s="11" t="str">
        <f t="shared" si="15"/>
        <v>Principal|DEMOACC|Casa B</v>
      </c>
      <c r="F206" s="11" t="str">
        <f>INDEX(Entradas!$C$40:$C$46,MATCH(C206,Entradas!$A$40:$A$46,0))</f>
        <v>accion</v>
      </c>
      <c r="G206" s="15" t="str">
        <f>IF(F206="cetes",INDEX(Entradas!$F$40:$F$46,MATCH(C206,Entradas!$A$40:$A$46,0)),"")</f>
        <v/>
      </c>
      <c r="H206" s="17" t="str">
        <f>IF(F206="cetes",INDEX(Entradas!$G$40:$G$46,MATCH(C206,Entradas!$A$40:$A$46,0)),"")</f>
        <v/>
      </c>
      <c r="I206" s="14">
        <f>IF(F206="cetes",IF(A206&gt;=G206,0,SUMIFS(Transacciones!$N$5:$N$20,Transacciones!$T$5:$T$20,E206,Transacciones!$F$5:$F$20,"&lt;="&amp;A206)),SUMIFS(Transacciones!$N$5:$N$20,Transacciones!$T$5:$T$20,E206,Transacciones!$F$5:$F$20,"&lt;="&amp;A206))</f>
        <v>100</v>
      </c>
      <c r="J206" s="14">
        <f>_xlfn.MAXIFS(Transacciones!$U$5:$U$20,Transacciones!$T$5:$T$20,E206,Transacciones!$F$5:$F$20,"&lt;="&amp;A206)</f>
        <v>46279006</v>
      </c>
      <c r="K206" s="18">
        <f>IF(I206=0,0,INDEX(Transacciones!$Z$5:$Z$20,MATCH(J206,Transacciones!$U$5:$U$20,0)))</f>
        <v>103.399</v>
      </c>
      <c r="L206" s="17">
        <f t="shared" si="16"/>
        <v>10339.9</v>
      </c>
      <c r="M206" s="15">
        <f>IF(F206="cetes",IF(COUNTIFS(CETES!$A$5:$A$95,A206,CETES!$B$5:$B$95,C206)=0,"",A206),SUMIFS(Precios!$K$5:$K$109,Precios!$I$5:$I$109,A206,Precios!$J$5:$J$109,C206))</f>
        <v>46295</v>
      </c>
      <c r="N206" s="18">
        <f>IF(F206="cetes",IF(COUNTIFS(CETES!$A$5:$A$95,A206,CETES!$B$5:$B$95,C206)=0,"",SUMIFS(CETES!$AF$5:$AF$95,CETES!$A$5:$A$95,A206,CETES!$B$5:$B$95,C206)),SUMIFS(Precios!$L$5:$L$109,Precios!$I$5:$I$109,A206,Precios!$J$5:$J$109,C206))</f>
        <v>107.1</v>
      </c>
      <c r="O206" s="17">
        <f t="shared" si="17"/>
        <v>10710</v>
      </c>
      <c r="P206" s="17">
        <f t="shared" si="18"/>
        <v>370.10000000000036</v>
      </c>
      <c r="Q206" s="17">
        <f>IF(F206="cetes",IF(A206=G206,SUMIFS(Transacciones!$N$5:$N$20,Transacciones!$T$5:$T$20,E206,Transacciones!$F$5:$F$20,"&lt;"&amp;A206)*H206,0),0)</f>
        <v>0</v>
      </c>
      <c r="R206" s="11" t="str">
        <f>IF(COUNTIF(Entradas!$A$14:$A$17,A206)&gt;0,"sí","")</f>
        <v/>
      </c>
      <c r="S206" s="11" t="str">
        <f t="shared" si="19"/>
        <v>46295|Principal|DEMOACC|Casa B</v>
      </c>
    </row>
    <row r="207" spans="1:19" x14ac:dyDescent="0.3">
      <c r="A207" s="20">
        <v>46295</v>
      </c>
      <c r="B207" s="21" t="s">
        <v>94</v>
      </c>
      <c r="C207" s="21" t="s">
        <v>126</v>
      </c>
      <c r="D207" s="21" t="s">
        <v>113</v>
      </c>
      <c r="E207" s="11" t="str">
        <f t="shared" si="15"/>
        <v>Principal|DEMOETF|Casa B</v>
      </c>
      <c r="F207" s="11" t="str">
        <f>INDEX(Entradas!$C$40:$C$46,MATCH(C207,Entradas!$A$40:$A$46,0))</f>
        <v>etf</v>
      </c>
      <c r="G207" s="15" t="str">
        <f>IF(F207="cetes",INDEX(Entradas!$F$40:$F$46,MATCH(C207,Entradas!$A$40:$A$46,0)),"")</f>
        <v/>
      </c>
      <c r="H207" s="17" t="str">
        <f>IF(F207="cetes",INDEX(Entradas!$G$40:$G$46,MATCH(C207,Entradas!$A$40:$A$46,0)),"")</f>
        <v/>
      </c>
      <c r="I207" s="14">
        <f>IF(F207="cetes",IF(A207&gt;=G207,0,SUMIFS(Transacciones!$N$5:$N$20,Transacciones!$T$5:$T$20,E207,Transacciones!$F$5:$F$20,"&lt;="&amp;A207)),SUMIFS(Transacciones!$N$5:$N$20,Transacciones!$T$5:$T$20,E207,Transacciones!$F$5:$F$20,"&lt;="&amp;A207))</f>
        <v>40</v>
      </c>
      <c r="J207" s="14">
        <f>_xlfn.MAXIFS(Transacciones!$U$5:$U$20,Transacciones!$T$5:$T$20,E207,Transacciones!$F$5:$F$20,"&lt;="&amp;A207)</f>
        <v>46290512</v>
      </c>
      <c r="K207" s="18">
        <f>IF(I207=0,0,INDEX(Transacciones!$Z$5:$Z$20,MATCH(J207,Transacciones!$U$5:$U$20,0)))</f>
        <v>49.386499999999998</v>
      </c>
      <c r="L207" s="17">
        <f t="shared" si="16"/>
        <v>1975.46</v>
      </c>
      <c r="M207" s="15">
        <f>IF(F207="cetes",IF(COUNTIFS(CETES!$A$5:$A$95,A207,CETES!$B$5:$B$95,C207)=0,"",A207),SUMIFS(Precios!$K$5:$K$109,Precios!$I$5:$I$109,A207,Precios!$J$5:$J$109,C207))</f>
        <v>46295</v>
      </c>
      <c r="N207" s="18">
        <f>IF(F207="cetes",IF(COUNTIFS(CETES!$A$5:$A$95,A207,CETES!$B$5:$B$95,C207)=0,"",SUMIFS(CETES!$AF$5:$AF$95,CETES!$A$5:$A$95,A207,CETES!$B$5:$B$95,C207)),SUMIFS(Precios!$L$5:$L$109,Precios!$I$5:$I$109,A207,Precios!$J$5:$J$109,C207))</f>
        <v>51.64</v>
      </c>
      <c r="O207" s="17">
        <f t="shared" si="17"/>
        <v>2065.6</v>
      </c>
      <c r="P207" s="17">
        <f t="shared" si="18"/>
        <v>90.139999999999873</v>
      </c>
      <c r="Q207" s="17">
        <f>IF(F207="cetes",IF(A207=G207,SUMIFS(Transacciones!$N$5:$N$20,Transacciones!$T$5:$T$20,E207,Transacciones!$F$5:$F$20,"&lt;"&amp;A207)*H207,0),0)</f>
        <v>0</v>
      </c>
      <c r="R207" s="11" t="str">
        <f>IF(COUNTIF(Entradas!$A$14:$A$17,A207)&gt;0,"sí","")</f>
        <v/>
      </c>
      <c r="S207" s="11" t="str">
        <f t="shared" si="19"/>
        <v>46295|Principal|DEMOETF|Casa B</v>
      </c>
    </row>
    <row r="208" spans="1:19" x14ac:dyDescent="0.3">
      <c r="A208" s="20">
        <v>46295</v>
      </c>
      <c r="B208" s="21" t="s">
        <v>94</v>
      </c>
      <c r="C208" s="21" t="s">
        <v>129</v>
      </c>
      <c r="D208" s="21" t="s">
        <v>112</v>
      </c>
      <c r="E208" s="11" t="str">
        <f t="shared" si="15"/>
        <v>Principal|DEMOFIB|Casa A</v>
      </c>
      <c r="F208" s="11" t="str">
        <f>INDEX(Entradas!$C$40:$C$46,MATCH(C208,Entradas!$A$40:$A$46,0))</f>
        <v>fibra</v>
      </c>
      <c r="G208" s="15" t="str">
        <f>IF(F208="cetes",INDEX(Entradas!$F$40:$F$46,MATCH(C208,Entradas!$A$40:$A$46,0)),"")</f>
        <v/>
      </c>
      <c r="H208" s="17" t="str">
        <f>IF(F208="cetes",INDEX(Entradas!$G$40:$G$46,MATCH(C208,Entradas!$A$40:$A$46,0)),"")</f>
        <v/>
      </c>
      <c r="I208" s="14">
        <f>IF(F208="cetes",IF(A208&gt;=G208,0,SUMIFS(Transacciones!$N$5:$N$20,Transacciones!$T$5:$T$20,E208,Transacciones!$F$5:$F$20,"&lt;="&amp;A208)),SUMIFS(Transacciones!$N$5:$N$20,Transacciones!$T$5:$T$20,E208,Transacciones!$F$5:$F$20,"&lt;="&amp;A208))</f>
        <v>0</v>
      </c>
      <c r="J208" s="14">
        <f>_xlfn.MAXIFS(Transacciones!$U$5:$U$20,Transacciones!$T$5:$T$20,E208,Transacciones!$F$5:$F$20,"&lt;="&amp;A208)</f>
        <v>46287510</v>
      </c>
      <c r="K208" s="18">
        <f>IF(I208=0,0,INDEX(Transacciones!$Z$5:$Z$20,MATCH(J208,Transacciones!$U$5:$U$20,0)))</f>
        <v>0</v>
      </c>
      <c r="L208" s="17">
        <f t="shared" si="16"/>
        <v>0</v>
      </c>
      <c r="M208" s="15">
        <f>IF(F208="cetes",IF(COUNTIFS(CETES!$A$5:$A$95,A208,CETES!$B$5:$B$95,C208)=0,"",A208),SUMIFS(Precios!$K$5:$K$109,Precios!$I$5:$I$109,A208,Precios!$J$5:$J$109,C208))</f>
        <v>46295</v>
      </c>
      <c r="N208" s="18">
        <f>IF(F208="cetes",IF(COUNTIFS(CETES!$A$5:$A$95,A208,CETES!$B$5:$B$95,C208)=0,"",SUMIFS(CETES!$AF$5:$AF$95,CETES!$A$5:$A$95,A208,CETES!$B$5:$B$95,C208)),SUMIFS(Precios!$L$5:$L$109,Precios!$I$5:$I$109,A208,Precios!$J$5:$J$109,C208))</f>
        <v>25.03</v>
      </c>
      <c r="O208" s="17">
        <f t="shared" si="17"/>
        <v>0</v>
      </c>
      <c r="P208" s="17">
        <f t="shared" si="18"/>
        <v>0</v>
      </c>
      <c r="Q208" s="17">
        <f>IF(F208="cetes",IF(A208=G208,SUMIFS(Transacciones!$N$5:$N$20,Transacciones!$T$5:$T$20,E208,Transacciones!$F$5:$F$20,"&lt;"&amp;A208)*H208,0),0)</f>
        <v>0</v>
      </c>
      <c r="R208" s="11" t="str">
        <f>IF(COUNTIF(Entradas!$A$14:$A$17,A208)&gt;0,"sí","")</f>
        <v/>
      </c>
      <c r="S208" s="11" t="str">
        <f t="shared" si="19"/>
        <v>46295|Principal|DEMOFIB|Casa A</v>
      </c>
    </row>
    <row r="209" spans="1:19" x14ac:dyDescent="0.3">
      <c r="A209" s="20">
        <v>46295</v>
      </c>
      <c r="B209" s="21" t="s">
        <v>94</v>
      </c>
      <c r="C209" s="21" t="s">
        <v>132</v>
      </c>
      <c r="D209" s="21" t="s">
        <v>112</v>
      </c>
      <c r="E209" s="11" t="str">
        <f t="shared" si="15"/>
        <v>Principal|BI261008|Casa A</v>
      </c>
      <c r="F209" s="11" t="str">
        <f>INDEX(Entradas!$C$40:$C$46,MATCH(C209,Entradas!$A$40:$A$46,0))</f>
        <v>cetes</v>
      </c>
      <c r="G209" s="15">
        <f>IF(F209="cetes",INDEX(Entradas!$F$40:$F$46,MATCH(C209,Entradas!$A$40:$A$46,0)),"")</f>
        <v>46303</v>
      </c>
      <c r="H209" s="17">
        <f>IF(F209="cetes",INDEX(Entradas!$G$40:$G$46,MATCH(C209,Entradas!$A$40:$A$46,0)),"")</f>
        <v>10</v>
      </c>
      <c r="I209" s="14">
        <f>IF(F209="cetes",IF(A209&gt;=G209,0,SUMIFS(Transacciones!$N$5:$N$20,Transacciones!$T$5:$T$20,E209,Transacciones!$F$5:$F$20,"&lt;="&amp;A209)),SUMIFS(Transacciones!$N$5:$N$20,Transacciones!$T$5:$T$20,E209,Transacciones!$F$5:$F$20,"&lt;="&amp;A209))</f>
        <v>1500</v>
      </c>
      <c r="J209" s="14">
        <f>_xlfn.MAXIFS(Transacciones!$U$5:$U$20,Transacciones!$T$5:$T$20,E209,Transacciones!$F$5:$F$20,"&lt;="&amp;A209)</f>
        <v>46275003</v>
      </c>
      <c r="K209" s="18">
        <f>IF(I209=0,0,INDEX(Transacciones!$Z$5:$Z$20,MATCH(J209,Transacciones!$U$5:$U$20,0)))</f>
        <v>9.9516240000000007</v>
      </c>
      <c r="L209" s="17">
        <f t="shared" si="16"/>
        <v>14927.436000000002</v>
      </c>
      <c r="M209" s="15">
        <f>IF(F209="cetes",IF(COUNTIFS(CETES!$A$5:$A$95,A209,CETES!$B$5:$B$95,C209)=0,"",A209),SUMIFS(Precios!$K$5:$K$109,Precios!$I$5:$I$109,A209,Precios!$J$5:$J$109,C209))</f>
        <v>46295</v>
      </c>
      <c r="N209" s="18">
        <f>IF(F209="cetes",IF(COUNTIFS(CETES!$A$5:$A$95,A209,CETES!$B$5:$B$95,C209)=0,"",SUMIFS(CETES!$AF$5:$AF$95,CETES!$A$5:$A$95,A209,CETES!$B$5:$B$95,C209)),SUMIFS(Precios!$L$5:$L$109,Precios!$I$5:$I$109,A209,Precios!$J$5:$J$109,C209))</f>
        <v>9.9863520000000001</v>
      </c>
      <c r="O209" s="17">
        <f t="shared" si="17"/>
        <v>14979.528</v>
      </c>
      <c r="P209" s="17">
        <f t="shared" si="18"/>
        <v>52.091999999998734</v>
      </c>
      <c r="Q209" s="17">
        <f>IF(F209="cetes",IF(A209=G209,SUMIFS(Transacciones!$N$5:$N$20,Transacciones!$T$5:$T$20,E209,Transacciones!$F$5:$F$20,"&lt;"&amp;A209)*H209,0),0)</f>
        <v>0</v>
      </c>
      <c r="R209" s="11" t="str">
        <f>IF(COUNTIF(Entradas!$A$14:$A$17,A209)&gt;0,"sí","")</f>
        <v/>
      </c>
      <c r="S209" s="11" t="str">
        <f t="shared" si="19"/>
        <v>46295|Principal|BI261008|Casa A</v>
      </c>
    </row>
    <row r="210" spans="1:19" x14ac:dyDescent="0.3">
      <c r="A210" s="20">
        <v>46295</v>
      </c>
      <c r="B210" s="21" t="s">
        <v>94</v>
      </c>
      <c r="C210" s="21" t="s">
        <v>132</v>
      </c>
      <c r="D210" s="21" t="s">
        <v>113</v>
      </c>
      <c r="E210" s="11" t="str">
        <f t="shared" si="15"/>
        <v>Principal|BI261008|Casa B</v>
      </c>
      <c r="F210" s="11" t="str">
        <f>INDEX(Entradas!$C$40:$C$46,MATCH(C210,Entradas!$A$40:$A$46,0))</f>
        <v>cetes</v>
      </c>
      <c r="G210" s="15">
        <f>IF(F210="cetes",INDEX(Entradas!$F$40:$F$46,MATCH(C210,Entradas!$A$40:$A$46,0)),"")</f>
        <v>46303</v>
      </c>
      <c r="H210" s="17">
        <f>IF(F210="cetes",INDEX(Entradas!$G$40:$G$46,MATCH(C210,Entradas!$A$40:$A$46,0)),"")</f>
        <v>10</v>
      </c>
      <c r="I210" s="14">
        <f>IF(F210="cetes",IF(A210&gt;=G210,0,SUMIFS(Transacciones!$N$5:$N$20,Transacciones!$T$5:$T$20,E210,Transacciones!$F$5:$F$20,"&lt;="&amp;A210)),SUMIFS(Transacciones!$N$5:$N$20,Transacciones!$T$5:$T$20,E210,Transacciones!$F$5:$F$20,"&lt;="&amp;A210))</f>
        <v>1000</v>
      </c>
      <c r="J210" s="14">
        <f>_xlfn.MAXIFS(Transacciones!$U$5:$U$20,Transacciones!$T$5:$T$20,E210,Transacciones!$F$5:$F$20,"&lt;="&amp;A210)</f>
        <v>46275004</v>
      </c>
      <c r="K210" s="18">
        <f>IF(I210=0,0,INDEX(Transacciones!$Z$5:$Z$20,MATCH(J210,Transacciones!$U$5:$U$20,0)))</f>
        <v>9.9516239999999989</v>
      </c>
      <c r="L210" s="17">
        <f t="shared" si="16"/>
        <v>9951.6239999999998</v>
      </c>
      <c r="M210" s="15">
        <f>IF(F210="cetes",IF(COUNTIFS(CETES!$A$5:$A$95,A210,CETES!$B$5:$B$95,C210)=0,"",A210),SUMIFS(Precios!$K$5:$K$109,Precios!$I$5:$I$109,A210,Precios!$J$5:$J$109,C210))</f>
        <v>46295</v>
      </c>
      <c r="N210" s="18">
        <f>IF(F210="cetes",IF(COUNTIFS(CETES!$A$5:$A$95,A210,CETES!$B$5:$B$95,C210)=0,"",SUMIFS(CETES!$AF$5:$AF$95,CETES!$A$5:$A$95,A210,CETES!$B$5:$B$95,C210)),SUMIFS(Precios!$L$5:$L$109,Precios!$I$5:$I$109,A210,Precios!$J$5:$J$109,C210))</f>
        <v>9.9863520000000001</v>
      </c>
      <c r="O210" s="17">
        <f t="shared" si="17"/>
        <v>9986.3520000000008</v>
      </c>
      <c r="P210" s="17">
        <f t="shared" si="18"/>
        <v>34.728000000000975</v>
      </c>
      <c r="Q210" s="17">
        <f>IF(F210="cetes",IF(A210=G210,SUMIFS(Transacciones!$N$5:$N$20,Transacciones!$T$5:$T$20,E210,Transacciones!$F$5:$F$20,"&lt;"&amp;A210)*H210,0),0)</f>
        <v>0</v>
      </c>
      <c r="R210" s="11" t="str">
        <f>IF(COUNTIF(Entradas!$A$14:$A$17,A210)&gt;0,"sí","")</f>
        <v/>
      </c>
      <c r="S210" s="11" t="str">
        <f t="shared" si="19"/>
        <v>46295|Principal|BI261008|Casa B</v>
      </c>
    </row>
    <row r="211" spans="1:19" x14ac:dyDescent="0.3">
      <c r="A211" s="20">
        <v>46295</v>
      </c>
      <c r="B211" s="21" t="s">
        <v>94</v>
      </c>
      <c r="C211" s="21" t="s">
        <v>135</v>
      </c>
      <c r="D211" s="21" t="s">
        <v>113</v>
      </c>
      <c r="E211" s="11" t="str">
        <f t="shared" si="15"/>
        <v>Principal|BI261105|Casa B</v>
      </c>
      <c r="F211" s="11" t="str">
        <f>INDEX(Entradas!$C$40:$C$46,MATCH(C211,Entradas!$A$40:$A$46,0))</f>
        <v>cetes</v>
      </c>
      <c r="G211" s="15">
        <f>IF(F211="cetes",INDEX(Entradas!$F$40:$F$46,MATCH(C211,Entradas!$A$40:$A$46,0)),"")</f>
        <v>46331</v>
      </c>
      <c r="H211" s="17">
        <f>IF(F211="cetes",INDEX(Entradas!$G$40:$G$46,MATCH(C211,Entradas!$A$40:$A$46,0)),"")</f>
        <v>10</v>
      </c>
      <c r="I211" s="14">
        <f>IF(F211="cetes",IF(A211&gt;=G211,0,SUMIFS(Transacciones!$N$5:$N$20,Transacciones!$T$5:$T$20,E211,Transacciones!$F$5:$F$20,"&lt;="&amp;A211)),SUMIFS(Transacciones!$N$5:$N$20,Transacciones!$T$5:$T$20,E211,Transacciones!$F$5:$F$20,"&lt;="&amp;A211))</f>
        <v>0</v>
      </c>
      <c r="J211" s="14">
        <f>_xlfn.MAXIFS(Transacciones!$U$5:$U$20,Transacciones!$T$5:$T$20,E211,Transacciones!$F$5:$F$20,"&lt;="&amp;A211)</f>
        <v>0</v>
      </c>
      <c r="K211" s="18">
        <f>IF(I211=0,0,INDEX(Transacciones!$Z$5:$Z$20,MATCH(J211,Transacciones!$U$5:$U$20,0)))</f>
        <v>0</v>
      </c>
      <c r="L211" s="17">
        <f t="shared" si="16"/>
        <v>0</v>
      </c>
      <c r="M211" s="15" t="str">
        <f>IF(F211="cetes",IF(COUNTIFS(CETES!$A$5:$A$95,A211,CETES!$B$5:$B$95,C211)=0,"",A211),SUMIFS(Precios!$K$5:$K$109,Precios!$I$5:$I$109,A211,Precios!$J$5:$J$109,C211))</f>
        <v/>
      </c>
      <c r="N211" s="18" t="str">
        <f>IF(F211="cetes",IF(COUNTIFS(CETES!$A$5:$A$95,A211,CETES!$B$5:$B$95,C211)=0,"",SUMIFS(CETES!$AF$5:$AF$95,CETES!$A$5:$A$95,A211,CETES!$B$5:$B$95,C211)),SUMIFS(Precios!$L$5:$L$109,Precios!$I$5:$I$109,A211,Precios!$J$5:$J$109,C211))</f>
        <v/>
      </c>
      <c r="O211" s="17">
        <f t="shared" si="17"/>
        <v>0</v>
      </c>
      <c r="P211" s="17">
        <f t="shared" si="18"/>
        <v>0</v>
      </c>
      <c r="Q211" s="17">
        <f>IF(F211="cetes",IF(A211=G211,SUMIFS(Transacciones!$N$5:$N$20,Transacciones!$T$5:$T$20,E211,Transacciones!$F$5:$F$20,"&lt;"&amp;A211)*H211,0),0)</f>
        <v>0</v>
      </c>
      <c r="R211" s="11" t="str">
        <f>IF(COUNTIF(Entradas!$A$14:$A$17,A211)&gt;0,"sí","")</f>
        <v/>
      </c>
      <c r="S211" s="11" t="str">
        <f t="shared" si="19"/>
        <v>46295|Principal|BI261105|Casa B</v>
      </c>
    </row>
    <row r="212" spans="1:19" x14ac:dyDescent="0.3">
      <c r="A212" s="20">
        <v>46295</v>
      </c>
      <c r="B212" s="21" t="s">
        <v>94</v>
      </c>
      <c r="C212" s="21" t="s">
        <v>137</v>
      </c>
      <c r="D212" s="21" t="s">
        <v>112</v>
      </c>
      <c r="E212" s="11" t="str">
        <f t="shared" si="15"/>
        <v>Principal|BI261217|Casa A</v>
      </c>
      <c r="F212" s="11" t="str">
        <f>INDEX(Entradas!$C$40:$C$46,MATCH(C212,Entradas!$A$40:$A$46,0))</f>
        <v>cetes</v>
      </c>
      <c r="G212" s="15">
        <f>IF(F212="cetes",INDEX(Entradas!$F$40:$F$46,MATCH(C212,Entradas!$A$40:$A$46,0)),"")</f>
        <v>46373</v>
      </c>
      <c r="H212" s="17">
        <f>IF(F212="cetes",INDEX(Entradas!$G$40:$G$46,MATCH(C212,Entradas!$A$40:$A$46,0)),"")</f>
        <v>10</v>
      </c>
      <c r="I212" s="14">
        <f>IF(F212="cetes",IF(A212&gt;=G212,0,SUMIFS(Transacciones!$N$5:$N$20,Transacciones!$T$5:$T$20,E212,Transacciones!$F$5:$F$20,"&lt;="&amp;A212)),SUMIFS(Transacciones!$N$5:$N$20,Transacciones!$T$5:$T$20,E212,Transacciones!$F$5:$F$20,"&lt;="&amp;A212))</f>
        <v>1000</v>
      </c>
      <c r="J212" s="14">
        <f>_xlfn.MAXIFS(Transacciones!$U$5:$U$20,Transacciones!$T$5:$T$20,E212,Transacciones!$F$5:$F$20,"&lt;="&amp;A212)</f>
        <v>46282008</v>
      </c>
      <c r="K212" s="18">
        <f>IF(I212=0,0,INDEX(Transacciones!$Z$5:$Z$20,MATCH(J212,Transacciones!$U$5:$U$20,0)))</f>
        <v>9.8344372</v>
      </c>
      <c r="L212" s="17">
        <f t="shared" si="16"/>
        <v>9834.4372000000003</v>
      </c>
      <c r="M212" s="15">
        <f>IF(F212="cetes",IF(COUNTIFS(CETES!$A$5:$A$95,A212,CETES!$B$5:$B$95,C212)=0,"",A212),SUMIFS(Precios!$K$5:$K$109,Precios!$I$5:$I$109,A212,Precios!$J$5:$J$109,C212))</f>
        <v>46295</v>
      </c>
      <c r="N212" s="18">
        <f>IF(F212="cetes",IF(COUNTIFS(CETES!$A$5:$A$95,A212,CETES!$B$5:$B$95,C212)=0,"",SUMIFS(CETES!$AF$5:$AF$95,CETES!$A$5:$A$95,A212,CETES!$B$5:$B$95,C212)),SUMIFS(Precios!$L$5:$L$109,Precios!$I$5:$I$109,A212,Precios!$J$5:$J$109,C212))</f>
        <v>9.8611392000000002</v>
      </c>
      <c r="O212" s="17">
        <f t="shared" si="17"/>
        <v>9861.1391999999996</v>
      </c>
      <c r="P212" s="17">
        <f t="shared" si="18"/>
        <v>26.701999999999316</v>
      </c>
      <c r="Q212" s="17">
        <f>IF(F212="cetes",IF(A212=G212,SUMIFS(Transacciones!$N$5:$N$20,Transacciones!$T$5:$T$20,E212,Transacciones!$F$5:$F$20,"&lt;"&amp;A212)*H212,0),0)</f>
        <v>0</v>
      </c>
      <c r="R212" s="11" t="str">
        <f>IF(COUNTIF(Entradas!$A$14:$A$17,A212)&gt;0,"sí","")</f>
        <v/>
      </c>
      <c r="S212" s="11" t="str">
        <f t="shared" si="19"/>
        <v>46295|Principal|BI261217|Casa A</v>
      </c>
    </row>
    <row r="213" spans="1:19" x14ac:dyDescent="0.3">
      <c r="A213" s="20">
        <v>46295</v>
      </c>
      <c r="B213" s="21" t="s">
        <v>94</v>
      </c>
      <c r="C213" s="21" t="s">
        <v>139</v>
      </c>
      <c r="D213" s="21" t="s">
        <v>113</v>
      </c>
      <c r="E213" s="11" t="str">
        <f t="shared" si="15"/>
        <v>Principal|BI270318|Casa B</v>
      </c>
      <c r="F213" s="11" t="str">
        <f>INDEX(Entradas!$C$40:$C$46,MATCH(C213,Entradas!$A$40:$A$46,0))</f>
        <v>cetes</v>
      </c>
      <c r="G213" s="15">
        <f>IF(F213="cetes",INDEX(Entradas!$F$40:$F$46,MATCH(C213,Entradas!$A$40:$A$46,0)),"")</f>
        <v>46464</v>
      </c>
      <c r="H213" s="17">
        <f>IF(F213="cetes",INDEX(Entradas!$G$40:$G$46,MATCH(C213,Entradas!$A$40:$A$46,0)),"")</f>
        <v>10</v>
      </c>
      <c r="I213" s="14">
        <f>IF(F213="cetes",IF(A213&gt;=G213,0,SUMIFS(Transacciones!$N$5:$N$20,Transacciones!$T$5:$T$20,E213,Transacciones!$F$5:$F$20,"&lt;="&amp;A213)),SUMIFS(Transacciones!$N$5:$N$20,Transacciones!$T$5:$T$20,E213,Transacciones!$F$5:$F$20,"&lt;="&amp;A213))</f>
        <v>500</v>
      </c>
      <c r="J213" s="14">
        <f>_xlfn.MAXIFS(Transacciones!$U$5:$U$20,Transacciones!$T$5:$T$20,E213,Transacciones!$F$5:$F$20,"&lt;="&amp;A213)</f>
        <v>46282009</v>
      </c>
      <c r="K213" s="18">
        <f>IF(I213=0,0,INDEX(Transacciones!$Z$5:$Z$20,MATCH(J213,Transacciones!$U$5:$U$20,0)))</f>
        <v>9.6629249999999995</v>
      </c>
      <c r="L213" s="17">
        <f t="shared" si="16"/>
        <v>4831.4624999999996</v>
      </c>
      <c r="M213" s="15">
        <f>IF(F213="cetes",IF(COUNTIFS(CETES!$A$5:$A$95,A213,CETES!$B$5:$B$95,C213)=0,"",A213),SUMIFS(Precios!$K$5:$K$109,Precios!$I$5:$I$109,A213,Precios!$J$5:$J$109,C213))</f>
        <v>46295</v>
      </c>
      <c r="N213" s="18">
        <f>IF(F213="cetes",IF(COUNTIFS(CETES!$A$5:$A$95,A213,CETES!$B$5:$B$95,C213)=0,"",SUMIFS(CETES!$AF$5:$AF$95,CETES!$A$5:$A$95,A213,CETES!$B$5:$B$95,C213)),SUMIFS(Precios!$L$5:$L$109,Precios!$I$5:$I$109,A213,Precios!$J$5:$J$109,C213))</f>
        <v>9.6868127000000008</v>
      </c>
      <c r="O213" s="17">
        <f t="shared" si="17"/>
        <v>4843.4063500000002</v>
      </c>
      <c r="P213" s="17">
        <f t="shared" si="18"/>
        <v>11.943850000000566</v>
      </c>
      <c r="Q213" s="17">
        <f>IF(F213="cetes",IF(A213=G213,SUMIFS(Transacciones!$N$5:$N$20,Transacciones!$T$5:$T$20,E213,Transacciones!$F$5:$F$20,"&lt;"&amp;A213)*H213,0),0)</f>
        <v>0</v>
      </c>
      <c r="R213" s="11" t="str">
        <f>IF(COUNTIF(Entradas!$A$14:$A$17,A213)&gt;0,"sí","")</f>
        <v/>
      </c>
      <c r="S213" s="11" t="str">
        <f t="shared" si="19"/>
        <v>46295|Principal|BI270318|Casa B</v>
      </c>
    </row>
    <row r="214" spans="1:19" x14ac:dyDescent="0.3">
      <c r="A214" s="20">
        <v>46295</v>
      </c>
      <c r="B214" s="21" t="s">
        <v>103</v>
      </c>
      <c r="C214" s="21" t="s">
        <v>123</v>
      </c>
      <c r="D214" s="21" t="s">
        <v>112</v>
      </c>
      <c r="E214" s="11" t="str">
        <f t="shared" si="15"/>
        <v>Secundario|DEMOACC|Casa A</v>
      </c>
      <c r="F214" s="11" t="str">
        <f>INDEX(Entradas!$C$40:$C$46,MATCH(C214,Entradas!$A$40:$A$46,0))</f>
        <v>accion</v>
      </c>
      <c r="G214" s="15" t="str">
        <f>IF(F214="cetes",INDEX(Entradas!$F$40:$F$46,MATCH(C214,Entradas!$A$40:$A$46,0)),"")</f>
        <v/>
      </c>
      <c r="H214" s="17" t="str">
        <f>IF(F214="cetes",INDEX(Entradas!$G$40:$G$46,MATCH(C214,Entradas!$A$40:$A$46,0)),"")</f>
        <v/>
      </c>
      <c r="I214" s="14">
        <f>IF(F214="cetes",IF(A214&gt;=G214,0,SUMIFS(Transacciones!$N$5:$N$20,Transacciones!$T$5:$T$20,E214,Transacciones!$F$5:$F$20,"&lt;="&amp;A214)),SUMIFS(Transacciones!$N$5:$N$20,Transacciones!$T$5:$T$20,E214,Transacciones!$F$5:$F$20,"&lt;="&amp;A214))</f>
        <v>150</v>
      </c>
      <c r="J214" s="14">
        <f>_xlfn.MAXIFS(Transacciones!$U$5:$U$20,Transacciones!$T$5:$T$20,E214,Transacciones!$F$5:$F$20,"&lt;="&amp;A214)</f>
        <v>46279007</v>
      </c>
      <c r="K214" s="18">
        <f>IF(I214=0,0,INDEX(Transacciones!$Z$5:$Z$20,MATCH(J214,Transacciones!$U$5:$U$20,0)))</f>
        <v>103.90046666666666</v>
      </c>
      <c r="L214" s="17">
        <f t="shared" si="16"/>
        <v>15585.07</v>
      </c>
      <c r="M214" s="15">
        <f>IF(F214="cetes",IF(COUNTIFS(CETES!$A$5:$A$95,A214,CETES!$B$5:$B$95,C214)=0,"",A214),SUMIFS(Precios!$K$5:$K$109,Precios!$I$5:$I$109,A214,Precios!$J$5:$J$109,C214))</f>
        <v>46295</v>
      </c>
      <c r="N214" s="18">
        <f>IF(F214="cetes",IF(COUNTIFS(CETES!$A$5:$A$95,A214,CETES!$B$5:$B$95,C214)=0,"",SUMIFS(CETES!$AF$5:$AF$95,CETES!$A$5:$A$95,A214,CETES!$B$5:$B$95,C214)),SUMIFS(Precios!$L$5:$L$109,Precios!$I$5:$I$109,A214,Precios!$J$5:$J$109,C214))</f>
        <v>107.1</v>
      </c>
      <c r="O214" s="17">
        <f t="shared" si="17"/>
        <v>16065</v>
      </c>
      <c r="P214" s="17">
        <f t="shared" si="18"/>
        <v>479.93000000000029</v>
      </c>
      <c r="Q214" s="17">
        <f>IF(F214="cetes",IF(A214=G214,SUMIFS(Transacciones!$N$5:$N$20,Transacciones!$T$5:$T$20,E214,Transacciones!$F$5:$F$20,"&lt;"&amp;A214)*H214,0),0)</f>
        <v>0</v>
      </c>
      <c r="R214" s="11" t="str">
        <f>IF(COUNTIF(Entradas!$A$14:$A$17,A214)&gt;0,"sí","")</f>
        <v/>
      </c>
      <c r="S214" s="11" t="str">
        <f t="shared" si="19"/>
        <v>46295|Secundario|DEMOACC|Casa A</v>
      </c>
    </row>
    <row r="215" spans="1:19" x14ac:dyDescent="0.3">
      <c r="A215" s="20">
        <v>46296</v>
      </c>
      <c r="B215" s="21" t="s">
        <v>94</v>
      </c>
      <c r="C215" s="21" t="s">
        <v>123</v>
      </c>
      <c r="D215" s="21" t="s">
        <v>112</v>
      </c>
      <c r="E215" s="11" t="str">
        <f t="shared" si="15"/>
        <v>Principal|DEMOACC|Casa A</v>
      </c>
      <c r="F215" s="11" t="str">
        <f>INDEX(Entradas!$C$40:$C$46,MATCH(C215,Entradas!$A$40:$A$46,0))</f>
        <v>accion</v>
      </c>
      <c r="G215" s="15" t="str">
        <f>IF(F215="cetes",INDEX(Entradas!$F$40:$F$46,MATCH(C215,Entradas!$A$40:$A$46,0)),"")</f>
        <v/>
      </c>
      <c r="H215" s="17" t="str">
        <f>IF(F215="cetes",INDEX(Entradas!$G$40:$G$46,MATCH(C215,Entradas!$A$40:$A$46,0)),"")</f>
        <v/>
      </c>
      <c r="I215" s="14">
        <f>IF(F215="cetes",IF(A215&gt;=G215,0,SUMIFS(Transacciones!$N$5:$N$20,Transacciones!$T$5:$T$20,E215,Transacciones!$F$5:$F$20,"&lt;="&amp;A215)),SUMIFS(Transacciones!$N$5:$N$20,Transacciones!$T$5:$T$20,E215,Transacciones!$F$5:$F$20,"&lt;="&amp;A215))</f>
        <v>200</v>
      </c>
      <c r="J215" s="14">
        <f>_xlfn.MAXIFS(Transacciones!$U$5:$U$20,Transacciones!$T$5:$T$20,E215,Transacciones!$F$5:$F$20,"&lt;="&amp;A215)</f>
        <v>46275001</v>
      </c>
      <c r="K215" s="18">
        <f>IF(I215=0,0,INDEX(Transacciones!$Z$5:$Z$20,MATCH(J215,Transacciones!$U$5:$U$20,0)))</f>
        <v>100.23985</v>
      </c>
      <c r="L215" s="17">
        <f t="shared" si="16"/>
        <v>20047.97</v>
      </c>
      <c r="M215" s="15">
        <f>IF(F215="cetes",IF(COUNTIFS(CETES!$A$5:$A$95,A215,CETES!$B$5:$B$95,C215)=0,"",A215),SUMIFS(Precios!$K$5:$K$109,Precios!$I$5:$I$109,A215,Precios!$J$5:$J$109,C215))</f>
        <v>46296</v>
      </c>
      <c r="N215" s="18">
        <f>IF(F215="cetes",IF(COUNTIFS(CETES!$A$5:$A$95,A215,CETES!$B$5:$B$95,C215)=0,"",SUMIFS(CETES!$AF$5:$AF$95,CETES!$A$5:$A$95,A215,CETES!$B$5:$B$95,C215)),SUMIFS(Precios!$L$5:$L$109,Precios!$I$5:$I$109,A215,Precios!$J$5:$J$109,C215))</f>
        <v>105.35</v>
      </c>
      <c r="O215" s="17">
        <f t="shared" si="17"/>
        <v>21070</v>
      </c>
      <c r="P215" s="17">
        <f t="shared" si="18"/>
        <v>1022.0299999999988</v>
      </c>
      <c r="Q215" s="17">
        <f>IF(F215="cetes",IF(A215=G215,SUMIFS(Transacciones!$N$5:$N$20,Transacciones!$T$5:$T$20,E215,Transacciones!$F$5:$F$20,"&lt;"&amp;A215)*H215,0),0)</f>
        <v>0</v>
      </c>
      <c r="R215" s="11" t="str">
        <f>IF(COUNTIF(Entradas!$A$14:$A$17,A215)&gt;0,"sí","")</f>
        <v/>
      </c>
      <c r="S215" s="11" t="str">
        <f t="shared" si="19"/>
        <v>46296|Principal|DEMOACC|Casa A</v>
      </c>
    </row>
    <row r="216" spans="1:19" x14ac:dyDescent="0.3">
      <c r="A216" s="20">
        <v>46296</v>
      </c>
      <c r="B216" s="21" t="s">
        <v>94</v>
      </c>
      <c r="C216" s="21" t="s">
        <v>123</v>
      </c>
      <c r="D216" s="21" t="s">
        <v>113</v>
      </c>
      <c r="E216" s="11" t="str">
        <f t="shared" si="15"/>
        <v>Principal|DEMOACC|Casa B</v>
      </c>
      <c r="F216" s="11" t="str">
        <f>INDEX(Entradas!$C$40:$C$46,MATCH(C216,Entradas!$A$40:$A$46,0))</f>
        <v>accion</v>
      </c>
      <c r="G216" s="15" t="str">
        <f>IF(F216="cetes",INDEX(Entradas!$F$40:$F$46,MATCH(C216,Entradas!$A$40:$A$46,0)),"")</f>
        <v/>
      </c>
      <c r="H216" s="17" t="str">
        <f>IF(F216="cetes",INDEX(Entradas!$G$40:$G$46,MATCH(C216,Entradas!$A$40:$A$46,0)),"")</f>
        <v/>
      </c>
      <c r="I216" s="14">
        <f>IF(F216="cetes",IF(A216&gt;=G216,0,SUMIFS(Transacciones!$N$5:$N$20,Transacciones!$T$5:$T$20,E216,Transacciones!$F$5:$F$20,"&lt;="&amp;A216)),SUMIFS(Transacciones!$N$5:$N$20,Transacciones!$T$5:$T$20,E216,Transacciones!$F$5:$F$20,"&lt;="&amp;A216))</f>
        <v>100</v>
      </c>
      <c r="J216" s="14">
        <f>_xlfn.MAXIFS(Transacciones!$U$5:$U$20,Transacciones!$T$5:$T$20,E216,Transacciones!$F$5:$F$20,"&lt;="&amp;A216)</f>
        <v>46279006</v>
      </c>
      <c r="K216" s="18">
        <f>IF(I216=0,0,INDEX(Transacciones!$Z$5:$Z$20,MATCH(J216,Transacciones!$U$5:$U$20,0)))</f>
        <v>103.399</v>
      </c>
      <c r="L216" s="17">
        <f t="shared" si="16"/>
        <v>10339.9</v>
      </c>
      <c r="M216" s="15">
        <f>IF(F216="cetes",IF(COUNTIFS(CETES!$A$5:$A$95,A216,CETES!$B$5:$B$95,C216)=0,"",A216),SUMIFS(Precios!$K$5:$K$109,Precios!$I$5:$I$109,A216,Precios!$J$5:$J$109,C216))</f>
        <v>46296</v>
      </c>
      <c r="N216" s="18">
        <f>IF(F216="cetes",IF(COUNTIFS(CETES!$A$5:$A$95,A216,CETES!$B$5:$B$95,C216)=0,"",SUMIFS(CETES!$AF$5:$AF$95,CETES!$A$5:$A$95,A216,CETES!$B$5:$B$95,C216)),SUMIFS(Precios!$L$5:$L$109,Precios!$I$5:$I$109,A216,Precios!$J$5:$J$109,C216))</f>
        <v>105.35</v>
      </c>
      <c r="O216" s="17">
        <f t="shared" si="17"/>
        <v>10535</v>
      </c>
      <c r="P216" s="17">
        <f t="shared" si="18"/>
        <v>195.10000000000036</v>
      </c>
      <c r="Q216" s="17">
        <f>IF(F216="cetes",IF(A216=G216,SUMIFS(Transacciones!$N$5:$N$20,Transacciones!$T$5:$T$20,E216,Transacciones!$F$5:$F$20,"&lt;"&amp;A216)*H216,0),0)</f>
        <v>0</v>
      </c>
      <c r="R216" s="11" t="str">
        <f>IF(COUNTIF(Entradas!$A$14:$A$17,A216)&gt;0,"sí","")</f>
        <v/>
      </c>
      <c r="S216" s="11" t="str">
        <f t="shared" si="19"/>
        <v>46296|Principal|DEMOACC|Casa B</v>
      </c>
    </row>
    <row r="217" spans="1:19" x14ac:dyDescent="0.3">
      <c r="A217" s="20">
        <v>46296</v>
      </c>
      <c r="B217" s="21" t="s">
        <v>94</v>
      </c>
      <c r="C217" s="21" t="s">
        <v>126</v>
      </c>
      <c r="D217" s="21" t="s">
        <v>113</v>
      </c>
      <c r="E217" s="11" t="str">
        <f t="shared" si="15"/>
        <v>Principal|DEMOETF|Casa B</v>
      </c>
      <c r="F217" s="11" t="str">
        <f>INDEX(Entradas!$C$40:$C$46,MATCH(C217,Entradas!$A$40:$A$46,0))</f>
        <v>etf</v>
      </c>
      <c r="G217" s="15" t="str">
        <f>IF(F217="cetes",INDEX(Entradas!$F$40:$F$46,MATCH(C217,Entradas!$A$40:$A$46,0)),"")</f>
        <v/>
      </c>
      <c r="H217" s="17" t="str">
        <f>IF(F217="cetes",INDEX(Entradas!$G$40:$G$46,MATCH(C217,Entradas!$A$40:$A$46,0)),"")</f>
        <v/>
      </c>
      <c r="I217" s="14">
        <f>IF(F217="cetes",IF(A217&gt;=G217,0,SUMIFS(Transacciones!$N$5:$N$20,Transacciones!$T$5:$T$20,E217,Transacciones!$F$5:$F$20,"&lt;="&amp;A217)),SUMIFS(Transacciones!$N$5:$N$20,Transacciones!$T$5:$T$20,E217,Transacciones!$F$5:$F$20,"&lt;="&amp;A217))</f>
        <v>40</v>
      </c>
      <c r="J217" s="14">
        <f>_xlfn.MAXIFS(Transacciones!$U$5:$U$20,Transacciones!$T$5:$T$20,E217,Transacciones!$F$5:$F$20,"&lt;="&amp;A217)</f>
        <v>46290512</v>
      </c>
      <c r="K217" s="18">
        <f>IF(I217=0,0,INDEX(Transacciones!$Z$5:$Z$20,MATCH(J217,Transacciones!$U$5:$U$20,0)))</f>
        <v>49.386499999999998</v>
      </c>
      <c r="L217" s="17">
        <f t="shared" si="16"/>
        <v>1975.46</v>
      </c>
      <c r="M217" s="15">
        <f>IF(F217="cetes",IF(COUNTIFS(CETES!$A$5:$A$95,A217,CETES!$B$5:$B$95,C217)=0,"",A217),SUMIFS(Precios!$K$5:$K$109,Precios!$I$5:$I$109,A217,Precios!$J$5:$J$109,C217))</f>
        <v>46296</v>
      </c>
      <c r="N217" s="18">
        <f>IF(F217="cetes",IF(COUNTIFS(CETES!$A$5:$A$95,A217,CETES!$B$5:$B$95,C217)=0,"",SUMIFS(CETES!$AF$5:$AF$95,CETES!$A$5:$A$95,A217,CETES!$B$5:$B$95,C217)),SUMIFS(Precios!$L$5:$L$109,Precios!$I$5:$I$109,A217,Precios!$J$5:$J$109,C217))</f>
        <v>51.12</v>
      </c>
      <c r="O217" s="17">
        <f t="shared" si="17"/>
        <v>2044.8</v>
      </c>
      <c r="P217" s="17">
        <f t="shared" si="18"/>
        <v>69.339999999999918</v>
      </c>
      <c r="Q217" s="17">
        <f>IF(F217="cetes",IF(A217=G217,SUMIFS(Transacciones!$N$5:$N$20,Transacciones!$T$5:$T$20,E217,Transacciones!$F$5:$F$20,"&lt;"&amp;A217)*H217,0),0)</f>
        <v>0</v>
      </c>
      <c r="R217" s="11" t="str">
        <f>IF(COUNTIF(Entradas!$A$14:$A$17,A217)&gt;0,"sí","")</f>
        <v/>
      </c>
      <c r="S217" s="11" t="str">
        <f t="shared" si="19"/>
        <v>46296|Principal|DEMOETF|Casa B</v>
      </c>
    </row>
    <row r="218" spans="1:19" x14ac:dyDescent="0.3">
      <c r="A218" s="20">
        <v>46296</v>
      </c>
      <c r="B218" s="21" t="s">
        <v>94</v>
      </c>
      <c r="C218" s="21" t="s">
        <v>129</v>
      </c>
      <c r="D218" s="21" t="s">
        <v>112</v>
      </c>
      <c r="E218" s="11" t="str">
        <f t="shared" si="15"/>
        <v>Principal|DEMOFIB|Casa A</v>
      </c>
      <c r="F218" s="11" t="str">
        <f>INDEX(Entradas!$C$40:$C$46,MATCH(C218,Entradas!$A$40:$A$46,0))</f>
        <v>fibra</v>
      </c>
      <c r="G218" s="15" t="str">
        <f>IF(F218="cetes",INDEX(Entradas!$F$40:$F$46,MATCH(C218,Entradas!$A$40:$A$46,0)),"")</f>
        <v/>
      </c>
      <c r="H218" s="17" t="str">
        <f>IF(F218="cetes",INDEX(Entradas!$G$40:$G$46,MATCH(C218,Entradas!$A$40:$A$46,0)),"")</f>
        <v/>
      </c>
      <c r="I218" s="14">
        <f>IF(F218="cetes",IF(A218&gt;=G218,0,SUMIFS(Transacciones!$N$5:$N$20,Transacciones!$T$5:$T$20,E218,Transacciones!$F$5:$F$20,"&lt;="&amp;A218)),SUMIFS(Transacciones!$N$5:$N$20,Transacciones!$T$5:$T$20,E218,Transacciones!$F$5:$F$20,"&lt;="&amp;A218))</f>
        <v>0</v>
      </c>
      <c r="J218" s="14">
        <f>_xlfn.MAXIFS(Transacciones!$U$5:$U$20,Transacciones!$T$5:$T$20,E218,Transacciones!$F$5:$F$20,"&lt;="&amp;A218)</f>
        <v>46287510</v>
      </c>
      <c r="K218" s="18">
        <f>IF(I218=0,0,INDEX(Transacciones!$Z$5:$Z$20,MATCH(J218,Transacciones!$U$5:$U$20,0)))</f>
        <v>0</v>
      </c>
      <c r="L218" s="17">
        <f t="shared" si="16"/>
        <v>0</v>
      </c>
      <c r="M218" s="15">
        <f>IF(F218="cetes",IF(COUNTIFS(CETES!$A$5:$A$95,A218,CETES!$B$5:$B$95,C218)=0,"",A218),SUMIFS(Precios!$K$5:$K$109,Precios!$I$5:$I$109,A218,Precios!$J$5:$J$109,C218))</f>
        <v>46296</v>
      </c>
      <c r="N218" s="18">
        <f>IF(F218="cetes",IF(COUNTIFS(CETES!$A$5:$A$95,A218,CETES!$B$5:$B$95,C218)=0,"",SUMIFS(CETES!$AF$5:$AF$95,CETES!$A$5:$A$95,A218,CETES!$B$5:$B$95,C218)),SUMIFS(Precios!$L$5:$L$109,Precios!$I$5:$I$109,A218,Precios!$J$5:$J$109,C218))</f>
        <v>24.844999999999999</v>
      </c>
      <c r="O218" s="17">
        <f t="shared" si="17"/>
        <v>0</v>
      </c>
      <c r="P218" s="17">
        <f t="shared" si="18"/>
        <v>0</v>
      </c>
      <c r="Q218" s="17">
        <f>IF(F218="cetes",IF(A218=G218,SUMIFS(Transacciones!$N$5:$N$20,Transacciones!$T$5:$T$20,E218,Transacciones!$F$5:$F$20,"&lt;"&amp;A218)*H218,0),0)</f>
        <v>0</v>
      </c>
      <c r="R218" s="11" t="str">
        <f>IF(COUNTIF(Entradas!$A$14:$A$17,A218)&gt;0,"sí","")</f>
        <v/>
      </c>
      <c r="S218" s="11" t="str">
        <f t="shared" si="19"/>
        <v>46296|Principal|DEMOFIB|Casa A</v>
      </c>
    </row>
    <row r="219" spans="1:19" x14ac:dyDescent="0.3">
      <c r="A219" s="20">
        <v>46296</v>
      </c>
      <c r="B219" s="21" t="s">
        <v>94</v>
      </c>
      <c r="C219" s="21" t="s">
        <v>132</v>
      </c>
      <c r="D219" s="21" t="s">
        <v>112</v>
      </c>
      <c r="E219" s="11" t="str">
        <f t="shared" si="15"/>
        <v>Principal|BI261008|Casa A</v>
      </c>
      <c r="F219" s="11" t="str">
        <f>INDEX(Entradas!$C$40:$C$46,MATCH(C219,Entradas!$A$40:$A$46,0))</f>
        <v>cetes</v>
      </c>
      <c r="G219" s="15">
        <f>IF(F219="cetes",INDEX(Entradas!$F$40:$F$46,MATCH(C219,Entradas!$A$40:$A$46,0)),"")</f>
        <v>46303</v>
      </c>
      <c r="H219" s="17">
        <f>IF(F219="cetes",INDEX(Entradas!$G$40:$G$46,MATCH(C219,Entradas!$A$40:$A$46,0)),"")</f>
        <v>10</v>
      </c>
      <c r="I219" s="14">
        <f>IF(F219="cetes",IF(A219&gt;=G219,0,SUMIFS(Transacciones!$N$5:$N$20,Transacciones!$T$5:$T$20,E219,Transacciones!$F$5:$F$20,"&lt;="&amp;A219)),SUMIFS(Transacciones!$N$5:$N$20,Transacciones!$T$5:$T$20,E219,Transacciones!$F$5:$F$20,"&lt;="&amp;A219))</f>
        <v>1000</v>
      </c>
      <c r="J219" s="14">
        <f>_xlfn.MAXIFS(Transacciones!$U$5:$U$20,Transacciones!$T$5:$T$20,E219,Transacciones!$F$5:$F$20,"&lt;="&amp;A219)</f>
        <v>46296513</v>
      </c>
      <c r="K219" s="18">
        <f>IF(I219=0,0,INDEX(Transacciones!$Z$5:$Z$20,MATCH(J219,Transacciones!$U$5:$U$20,0)))</f>
        <v>9.9516240000000007</v>
      </c>
      <c r="L219" s="17">
        <f t="shared" si="16"/>
        <v>9951.6239999999998</v>
      </c>
      <c r="M219" s="15">
        <f>IF(F219="cetes",IF(COUNTIFS(CETES!$A$5:$A$95,A219,CETES!$B$5:$B$95,C219)=0,"",A219),SUMIFS(Precios!$K$5:$K$109,Precios!$I$5:$I$109,A219,Precios!$J$5:$J$109,C219))</f>
        <v>46296</v>
      </c>
      <c r="N219" s="18">
        <f>IF(F219="cetes",IF(COUNTIFS(CETES!$A$5:$A$95,A219,CETES!$B$5:$B$95,C219)=0,"",SUMIFS(CETES!$AF$5:$AF$95,CETES!$A$5:$A$95,A219,CETES!$B$5:$B$95,C219)),SUMIFS(Precios!$L$5:$L$109,Precios!$I$5:$I$109,A219,Precios!$J$5:$J$109,C219))</f>
        <v>9.9883275000000005</v>
      </c>
      <c r="O219" s="17">
        <f t="shared" si="17"/>
        <v>9988.3275000000012</v>
      </c>
      <c r="P219" s="17">
        <f t="shared" si="18"/>
        <v>36.703500000001441</v>
      </c>
      <c r="Q219" s="17">
        <f>IF(F219="cetes",IF(A219=G219,SUMIFS(Transacciones!$N$5:$N$20,Transacciones!$T$5:$T$20,E219,Transacciones!$F$5:$F$20,"&lt;"&amp;A219)*H219,0),0)</f>
        <v>0</v>
      </c>
      <c r="R219" s="11" t="str">
        <f>IF(COUNTIF(Entradas!$A$14:$A$17,A219)&gt;0,"sí","")</f>
        <v/>
      </c>
      <c r="S219" s="11" t="str">
        <f t="shared" si="19"/>
        <v>46296|Principal|BI261008|Casa A</v>
      </c>
    </row>
    <row r="220" spans="1:19" x14ac:dyDescent="0.3">
      <c r="A220" s="20">
        <v>46296</v>
      </c>
      <c r="B220" s="21" t="s">
        <v>94</v>
      </c>
      <c r="C220" s="21" t="s">
        <v>132</v>
      </c>
      <c r="D220" s="21" t="s">
        <v>113</v>
      </c>
      <c r="E220" s="11" t="str">
        <f t="shared" si="15"/>
        <v>Principal|BI261008|Casa B</v>
      </c>
      <c r="F220" s="11" t="str">
        <f>INDEX(Entradas!$C$40:$C$46,MATCH(C220,Entradas!$A$40:$A$46,0))</f>
        <v>cetes</v>
      </c>
      <c r="G220" s="15">
        <f>IF(F220="cetes",INDEX(Entradas!$F$40:$F$46,MATCH(C220,Entradas!$A$40:$A$46,0)),"")</f>
        <v>46303</v>
      </c>
      <c r="H220" s="17">
        <f>IF(F220="cetes",INDEX(Entradas!$G$40:$G$46,MATCH(C220,Entradas!$A$40:$A$46,0)),"")</f>
        <v>10</v>
      </c>
      <c r="I220" s="14">
        <f>IF(F220="cetes",IF(A220&gt;=G220,0,SUMIFS(Transacciones!$N$5:$N$20,Transacciones!$T$5:$T$20,E220,Transacciones!$F$5:$F$20,"&lt;="&amp;A220)),SUMIFS(Transacciones!$N$5:$N$20,Transacciones!$T$5:$T$20,E220,Transacciones!$F$5:$F$20,"&lt;="&amp;A220))</f>
        <v>1000</v>
      </c>
      <c r="J220" s="14">
        <f>_xlfn.MAXIFS(Transacciones!$U$5:$U$20,Transacciones!$T$5:$T$20,E220,Transacciones!$F$5:$F$20,"&lt;="&amp;A220)</f>
        <v>46275004</v>
      </c>
      <c r="K220" s="18">
        <f>IF(I220=0,0,INDEX(Transacciones!$Z$5:$Z$20,MATCH(J220,Transacciones!$U$5:$U$20,0)))</f>
        <v>9.9516239999999989</v>
      </c>
      <c r="L220" s="17">
        <f t="shared" si="16"/>
        <v>9951.6239999999998</v>
      </c>
      <c r="M220" s="15">
        <f>IF(F220="cetes",IF(COUNTIFS(CETES!$A$5:$A$95,A220,CETES!$B$5:$B$95,C220)=0,"",A220),SUMIFS(Precios!$K$5:$K$109,Precios!$I$5:$I$109,A220,Precios!$J$5:$J$109,C220))</f>
        <v>46296</v>
      </c>
      <c r="N220" s="18">
        <f>IF(F220="cetes",IF(COUNTIFS(CETES!$A$5:$A$95,A220,CETES!$B$5:$B$95,C220)=0,"",SUMIFS(CETES!$AF$5:$AF$95,CETES!$A$5:$A$95,A220,CETES!$B$5:$B$95,C220)),SUMIFS(Precios!$L$5:$L$109,Precios!$I$5:$I$109,A220,Precios!$J$5:$J$109,C220))</f>
        <v>9.9883275000000005</v>
      </c>
      <c r="O220" s="17">
        <f t="shared" si="17"/>
        <v>9988.3275000000012</v>
      </c>
      <c r="P220" s="17">
        <f t="shared" si="18"/>
        <v>36.703500000001441</v>
      </c>
      <c r="Q220" s="17">
        <f>IF(F220="cetes",IF(A220=G220,SUMIFS(Transacciones!$N$5:$N$20,Transacciones!$T$5:$T$20,E220,Transacciones!$F$5:$F$20,"&lt;"&amp;A220)*H220,0),0)</f>
        <v>0</v>
      </c>
      <c r="R220" s="11" t="str">
        <f>IF(COUNTIF(Entradas!$A$14:$A$17,A220)&gt;0,"sí","")</f>
        <v/>
      </c>
      <c r="S220" s="11" t="str">
        <f t="shared" si="19"/>
        <v>46296|Principal|BI261008|Casa B</v>
      </c>
    </row>
    <row r="221" spans="1:19" x14ac:dyDescent="0.3">
      <c r="A221" s="20">
        <v>46296</v>
      </c>
      <c r="B221" s="21" t="s">
        <v>94</v>
      </c>
      <c r="C221" s="21" t="s">
        <v>135</v>
      </c>
      <c r="D221" s="21" t="s">
        <v>113</v>
      </c>
      <c r="E221" s="11" t="str">
        <f t="shared" si="15"/>
        <v>Principal|BI261105|Casa B</v>
      </c>
      <c r="F221" s="11" t="str">
        <f>INDEX(Entradas!$C$40:$C$46,MATCH(C221,Entradas!$A$40:$A$46,0))</f>
        <v>cetes</v>
      </c>
      <c r="G221" s="15">
        <f>IF(F221="cetes",INDEX(Entradas!$F$40:$F$46,MATCH(C221,Entradas!$A$40:$A$46,0)),"")</f>
        <v>46331</v>
      </c>
      <c r="H221" s="17">
        <f>IF(F221="cetes",INDEX(Entradas!$G$40:$G$46,MATCH(C221,Entradas!$A$40:$A$46,0)),"")</f>
        <v>10</v>
      </c>
      <c r="I221" s="14">
        <f>IF(F221="cetes",IF(A221&gt;=G221,0,SUMIFS(Transacciones!$N$5:$N$20,Transacciones!$T$5:$T$20,E221,Transacciones!$F$5:$F$20,"&lt;="&amp;A221)),SUMIFS(Transacciones!$N$5:$N$20,Transacciones!$T$5:$T$20,E221,Transacciones!$F$5:$F$20,"&lt;="&amp;A221))</f>
        <v>0</v>
      </c>
      <c r="J221" s="14">
        <f>_xlfn.MAXIFS(Transacciones!$U$5:$U$20,Transacciones!$T$5:$T$20,E221,Transacciones!$F$5:$F$20,"&lt;="&amp;A221)</f>
        <v>0</v>
      </c>
      <c r="K221" s="18">
        <f>IF(I221=0,0,INDEX(Transacciones!$Z$5:$Z$20,MATCH(J221,Transacciones!$U$5:$U$20,0)))</f>
        <v>0</v>
      </c>
      <c r="L221" s="17">
        <f t="shared" si="16"/>
        <v>0</v>
      </c>
      <c r="M221" s="15" t="str">
        <f>IF(F221="cetes",IF(COUNTIFS(CETES!$A$5:$A$95,A221,CETES!$B$5:$B$95,C221)=0,"",A221),SUMIFS(Precios!$K$5:$K$109,Precios!$I$5:$I$109,A221,Precios!$J$5:$J$109,C221))</f>
        <v/>
      </c>
      <c r="N221" s="18" t="str">
        <f>IF(F221="cetes",IF(COUNTIFS(CETES!$A$5:$A$95,A221,CETES!$B$5:$B$95,C221)=0,"",SUMIFS(CETES!$AF$5:$AF$95,CETES!$A$5:$A$95,A221,CETES!$B$5:$B$95,C221)),SUMIFS(Precios!$L$5:$L$109,Precios!$I$5:$I$109,A221,Precios!$J$5:$J$109,C221))</f>
        <v/>
      </c>
      <c r="O221" s="17">
        <f t="shared" si="17"/>
        <v>0</v>
      </c>
      <c r="P221" s="17">
        <f t="shared" si="18"/>
        <v>0</v>
      </c>
      <c r="Q221" s="17">
        <f>IF(F221="cetes",IF(A221=G221,SUMIFS(Transacciones!$N$5:$N$20,Transacciones!$T$5:$T$20,E221,Transacciones!$F$5:$F$20,"&lt;"&amp;A221)*H221,0),0)</f>
        <v>0</v>
      </c>
      <c r="R221" s="11" t="str">
        <f>IF(COUNTIF(Entradas!$A$14:$A$17,A221)&gt;0,"sí","")</f>
        <v/>
      </c>
      <c r="S221" s="11" t="str">
        <f t="shared" si="19"/>
        <v>46296|Principal|BI261105|Casa B</v>
      </c>
    </row>
    <row r="222" spans="1:19" x14ac:dyDescent="0.3">
      <c r="A222" s="20">
        <v>46296</v>
      </c>
      <c r="B222" s="21" t="s">
        <v>94</v>
      </c>
      <c r="C222" s="21" t="s">
        <v>137</v>
      </c>
      <c r="D222" s="21" t="s">
        <v>112</v>
      </c>
      <c r="E222" s="11" t="str">
        <f t="shared" si="15"/>
        <v>Principal|BI261217|Casa A</v>
      </c>
      <c r="F222" s="11" t="str">
        <f>INDEX(Entradas!$C$40:$C$46,MATCH(C222,Entradas!$A$40:$A$46,0))</f>
        <v>cetes</v>
      </c>
      <c r="G222" s="15">
        <f>IF(F222="cetes",INDEX(Entradas!$F$40:$F$46,MATCH(C222,Entradas!$A$40:$A$46,0)),"")</f>
        <v>46373</v>
      </c>
      <c r="H222" s="17">
        <f>IF(F222="cetes",INDEX(Entradas!$G$40:$G$46,MATCH(C222,Entradas!$A$40:$A$46,0)),"")</f>
        <v>10</v>
      </c>
      <c r="I222" s="14">
        <f>IF(F222="cetes",IF(A222&gt;=G222,0,SUMIFS(Transacciones!$N$5:$N$20,Transacciones!$T$5:$T$20,E222,Transacciones!$F$5:$F$20,"&lt;="&amp;A222)),SUMIFS(Transacciones!$N$5:$N$20,Transacciones!$T$5:$T$20,E222,Transacciones!$F$5:$F$20,"&lt;="&amp;A222))</f>
        <v>1000</v>
      </c>
      <c r="J222" s="14">
        <f>_xlfn.MAXIFS(Transacciones!$U$5:$U$20,Transacciones!$T$5:$T$20,E222,Transacciones!$F$5:$F$20,"&lt;="&amp;A222)</f>
        <v>46282008</v>
      </c>
      <c r="K222" s="18">
        <f>IF(I222=0,0,INDEX(Transacciones!$Z$5:$Z$20,MATCH(J222,Transacciones!$U$5:$U$20,0)))</f>
        <v>9.8344372</v>
      </c>
      <c r="L222" s="17">
        <f t="shared" si="16"/>
        <v>9834.4372000000003</v>
      </c>
      <c r="M222" s="15">
        <f>IF(F222="cetes",IF(COUNTIFS(CETES!$A$5:$A$95,A222,CETES!$B$5:$B$95,C222)=0,"",A222),SUMIFS(Precios!$K$5:$K$109,Precios!$I$5:$I$109,A222,Precios!$J$5:$J$109,C222))</f>
        <v>46296</v>
      </c>
      <c r="N222" s="18">
        <f>IF(F222="cetes",IF(COUNTIFS(CETES!$A$5:$A$95,A222,CETES!$B$5:$B$95,C222)=0,"",SUMIFS(CETES!$AF$5:$AF$95,CETES!$A$5:$A$95,A222,CETES!$B$5:$B$95,C222)),SUMIFS(Precios!$L$5:$L$109,Precios!$I$5:$I$109,A222,Precios!$J$5:$J$109,C222))</f>
        <v>9.8614224000000004</v>
      </c>
      <c r="O222" s="17">
        <f t="shared" si="17"/>
        <v>9861.4223999999995</v>
      </c>
      <c r="P222" s="17">
        <f t="shared" si="18"/>
        <v>26.985199999999168</v>
      </c>
      <c r="Q222" s="17">
        <f>IF(F222="cetes",IF(A222=G222,SUMIFS(Transacciones!$N$5:$N$20,Transacciones!$T$5:$T$20,E222,Transacciones!$F$5:$F$20,"&lt;"&amp;A222)*H222,0),0)</f>
        <v>0</v>
      </c>
      <c r="R222" s="11" t="str">
        <f>IF(COUNTIF(Entradas!$A$14:$A$17,A222)&gt;0,"sí","")</f>
        <v/>
      </c>
      <c r="S222" s="11" t="str">
        <f t="shared" si="19"/>
        <v>46296|Principal|BI261217|Casa A</v>
      </c>
    </row>
    <row r="223" spans="1:19" x14ac:dyDescent="0.3">
      <c r="A223" s="20">
        <v>46296</v>
      </c>
      <c r="B223" s="21" t="s">
        <v>94</v>
      </c>
      <c r="C223" s="21" t="s">
        <v>139</v>
      </c>
      <c r="D223" s="21" t="s">
        <v>113</v>
      </c>
      <c r="E223" s="11" t="str">
        <f t="shared" si="15"/>
        <v>Principal|BI270318|Casa B</v>
      </c>
      <c r="F223" s="11" t="str">
        <f>INDEX(Entradas!$C$40:$C$46,MATCH(C223,Entradas!$A$40:$A$46,0))</f>
        <v>cetes</v>
      </c>
      <c r="G223" s="15">
        <f>IF(F223="cetes",INDEX(Entradas!$F$40:$F$46,MATCH(C223,Entradas!$A$40:$A$46,0)),"")</f>
        <v>46464</v>
      </c>
      <c r="H223" s="17">
        <f>IF(F223="cetes",INDEX(Entradas!$G$40:$G$46,MATCH(C223,Entradas!$A$40:$A$46,0)),"")</f>
        <v>10</v>
      </c>
      <c r="I223" s="14">
        <f>IF(F223="cetes",IF(A223&gt;=G223,0,SUMIFS(Transacciones!$N$5:$N$20,Transacciones!$T$5:$T$20,E223,Transacciones!$F$5:$F$20,"&lt;="&amp;A223)),SUMIFS(Transacciones!$N$5:$N$20,Transacciones!$T$5:$T$20,E223,Transacciones!$F$5:$F$20,"&lt;="&amp;A223))</f>
        <v>500</v>
      </c>
      <c r="J223" s="14">
        <f>_xlfn.MAXIFS(Transacciones!$U$5:$U$20,Transacciones!$T$5:$T$20,E223,Transacciones!$F$5:$F$20,"&lt;="&amp;A223)</f>
        <v>46282009</v>
      </c>
      <c r="K223" s="18">
        <f>IF(I223=0,0,INDEX(Transacciones!$Z$5:$Z$20,MATCH(J223,Transacciones!$U$5:$U$20,0)))</f>
        <v>9.6629249999999995</v>
      </c>
      <c r="L223" s="17">
        <f t="shared" si="16"/>
        <v>4831.4624999999996</v>
      </c>
      <c r="M223" s="15">
        <f>IF(F223="cetes",IF(COUNTIFS(CETES!$A$5:$A$95,A223,CETES!$B$5:$B$95,C223)=0,"",A223),SUMIFS(Precios!$K$5:$K$109,Precios!$I$5:$I$109,A223,Precios!$J$5:$J$109,C223))</f>
        <v>46296</v>
      </c>
      <c r="N223" s="18">
        <f>IF(F223="cetes",IF(COUNTIFS(CETES!$A$5:$A$95,A223,CETES!$B$5:$B$95,C223)=0,"",SUMIFS(CETES!$AF$5:$AF$95,CETES!$A$5:$A$95,A223,CETES!$B$5:$B$95,C223)),SUMIFS(Precios!$L$5:$L$109,Precios!$I$5:$I$109,A223,Precios!$J$5:$J$109,C223))</f>
        <v>9.6851146000000004</v>
      </c>
      <c r="O223" s="17">
        <f t="shared" si="17"/>
        <v>4842.5573000000004</v>
      </c>
      <c r="P223" s="17">
        <f t="shared" si="18"/>
        <v>11.09480000000076</v>
      </c>
      <c r="Q223" s="17">
        <f>IF(F223="cetes",IF(A223=G223,SUMIFS(Transacciones!$N$5:$N$20,Transacciones!$T$5:$T$20,E223,Transacciones!$F$5:$F$20,"&lt;"&amp;A223)*H223,0),0)</f>
        <v>0</v>
      </c>
      <c r="R223" s="11" t="str">
        <f>IF(COUNTIF(Entradas!$A$14:$A$17,A223)&gt;0,"sí","")</f>
        <v/>
      </c>
      <c r="S223" s="11" t="str">
        <f t="shared" si="19"/>
        <v>46296|Principal|BI270318|Casa B</v>
      </c>
    </row>
    <row r="224" spans="1:19" x14ac:dyDescent="0.3">
      <c r="A224" s="20">
        <v>46296</v>
      </c>
      <c r="B224" s="21" t="s">
        <v>103</v>
      </c>
      <c r="C224" s="21" t="s">
        <v>123</v>
      </c>
      <c r="D224" s="21" t="s">
        <v>112</v>
      </c>
      <c r="E224" s="11" t="str">
        <f t="shared" si="15"/>
        <v>Secundario|DEMOACC|Casa A</v>
      </c>
      <c r="F224" s="11" t="str">
        <f>INDEX(Entradas!$C$40:$C$46,MATCH(C224,Entradas!$A$40:$A$46,0))</f>
        <v>accion</v>
      </c>
      <c r="G224" s="15" t="str">
        <f>IF(F224="cetes",INDEX(Entradas!$F$40:$F$46,MATCH(C224,Entradas!$A$40:$A$46,0)),"")</f>
        <v/>
      </c>
      <c r="H224" s="17" t="str">
        <f>IF(F224="cetes",INDEX(Entradas!$G$40:$G$46,MATCH(C224,Entradas!$A$40:$A$46,0)),"")</f>
        <v/>
      </c>
      <c r="I224" s="14">
        <f>IF(F224="cetes",IF(A224&gt;=G224,0,SUMIFS(Transacciones!$N$5:$N$20,Transacciones!$T$5:$T$20,E224,Transacciones!$F$5:$F$20,"&lt;="&amp;A224)),SUMIFS(Transacciones!$N$5:$N$20,Transacciones!$T$5:$T$20,E224,Transacciones!$F$5:$F$20,"&lt;="&amp;A224))</f>
        <v>150</v>
      </c>
      <c r="J224" s="14">
        <f>_xlfn.MAXIFS(Transacciones!$U$5:$U$20,Transacciones!$T$5:$T$20,E224,Transacciones!$F$5:$F$20,"&lt;="&amp;A224)</f>
        <v>46279007</v>
      </c>
      <c r="K224" s="18">
        <f>IF(I224=0,0,INDEX(Transacciones!$Z$5:$Z$20,MATCH(J224,Transacciones!$U$5:$U$20,0)))</f>
        <v>103.90046666666666</v>
      </c>
      <c r="L224" s="17">
        <f t="shared" si="16"/>
        <v>15585.07</v>
      </c>
      <c r="M224" s="15">
        <f>IF(F224="cetes",IF(COUNTIFS(CETES!$A$5:$A$95,A224,CETES!$B$5:$B$95,C224)=0,"",A224),SUMIFS(Precios!$K$5:$K$109,Precios!$I$5:$I$109,A224,Precios!$J$5:$J$109,C224))</f>
        <v>46296</v>
      </c>
      <c r="N224" s="18">
        <f>IF(F224="cetes",IF(COUNTIFS(CETES!$A$5:$A$95,A224,CETES!$B$5:$B$95,C224)=0,"",SUMIFS(CETES!$AF$5:$AF$95,CETES!$A$5:$A$95,A224,CETES!$B$5:$B$95,C224)),SUMIFS(Precios!$L$5:$L$109,Precios!$I$5:$I$109,A224,Precios!$J$5:$J$109,C224))</f>
        <v>105.35</v>
      </c>
      <c r="O224" s="17">
        <f t="shared" si="17"/>
        <v>15802.5</v>
      </c>
      <c r="P224" s="17">
        <f t="shared" si="18"/>
        <v>217.43000000000029</v>
      </c>
      <c r="Q224" s="17">
        <f>IF(F224="cetes",IF(A224=G224,SUMIFS(Transacciones!$N$5:$N$20,Transacciones!$T$5:$T$20,E224,Transacciones!$F$5:$F$20,"&lt;"&amp;A224)*H224,0),0)</f>
        <v>0</v>
      </c>
      <c r="R224" s="11" t="str">
        <f>IF(COUNTIF(Entradas!$A$14:$A$17,A224)&gt;0,"sí","")</f>
        <v/>
      </c>
      <c r="S224" s="11" t="str">
        <f t="shared" si="19"/>
        <v>46296|Secundario|DEMOACC|Casa A</v>
      </c>
    </row>
    <row r="225" spans="1:19" x14ac:dyDescent="0.3">
      <c r="A225" s="20">
        <v>46297</v>
      </c>
      <c r="B225" s="21" t="s">
        <v>94</v>
      </c>
      <c r="C225" s="21" t="s">
        <v>123</v>
      </c>
      <c r="D225" s="21" t="s">
        <v>112</v>
      </c>
      <c r="E225" s="11" t="str">
        <f t="shared" si="15"/>
        <v>Principal|DEMOACC|Casa A</v>
      </c>
      <c r="F225" s="11" t="str">
        <f>INDEX(Entradas!$C$40:$C$46,MATCH(C225,Entradas!$A$40:$A$46,0))</f>
        <v>accion</v>
      </c>
      <c r="G225" s="15" t="str">
        <f>IF(F225="cetes",INDEX(Entradas!$F$40:$F$46,MATCH(C225,Entradas!$A$40:$A$46,0)),"")</f>
        <v/>
      </c>
      <c r="H225" s="17" t="str">
        <f>IF(F225="cetes",INDEX(Entradas!$G$40:$G$46,MATCH(C225,Entradas!$A$40:$A$46,0)),"")</f>
        <v/>
      </c>
      <c r="I225" s="14">
        <f>IF(F225="cetes",IF(A225&gt;=G225,0,SUMIFS(Transacciones!$N$5:$N$20,Transacciones!$T$5:$T$20,E225,Transacciones!$F$5:$F$20,"&lt;="&amp;A225)),SUMIFS(Transacciones!$N$5:$N$20,Transacciones!$T$5:$T$20,E225,Transacciones!$F$5:$F$20,"&lt;="&amp;A225))</f>
        <v>120</v>
      </c>
      <c r="J225" s="14">
        <f>_xlfn.MAXIFS(Transacciones!$U$5:$U$20,Transacciones!$T$5:$T$20,E225,Transacciones!$F$5:$F$20,"&lt;="&amp;A225)</f>
        <v>46297514</v>
      </c>
      <c r="K225" s="18">
        <f>IF(I225=0,0,INDEX(Transacciones!$Z$5:$Z$20,MATCH(J225,Transacciones!$U$5:$U$20,0)))</f>
        <v>100.23985</v>
      </c>
      <c r="L225" s="17">
        <f t="shared" si="16"/>
        <v>12028.782000000001</v>
      </c>
      <c r="M225" s="15">
        <f>IF(F225="cetes",IF(COUNTIFS(CETES!$A$5:$A$95,A225,CETES!$B$5:$B$95,C225)=0,"",A225),SUMIFS(Precios!$K$5:$K$109,Precios!$I$5:$I$109,A225,Precios!$J$5:$J$109,C225))</f>
        <v>46297</v>
      </c>
      <c r="N225" s="18">
        <f>IF(F225="cetes",IF(COUNTIFS(CETES!$A$5:$A$95,A225,CETES!$B$5:$B$95,C225)=0,"",SUMIFS(CETES!$AF$5:$AF$95,CETES!$A$5:$A$95,A225,CETES!$B$5:$B$95,C225)),SUMIFS(Precios!$L$5:$L$109,Precios!$I$5:$I$109,A225,Precios!$J$5:$J$109,C225))</f>
        <v>103.9</v>
      </c>
      <c r="O225" s="17">
        <f t="shared" si="17"/>
        <v>12468</v>
      </c>
      <c r="P225" s="17">
        <f t="shared" si="18"/>
        <v>439.21799999999894</v>
      </c>
      <c r="Q225" s="17">
        <f>IF(F225="cetes",IF(A225=G225,SUMIFS(Transacciones!$N$5:$N$20,Transacciones!$T$5:$T$20,E225,Transacciones!$F$5:$F$20,"&lt;"&amp;A225)*H225,0),0)</f>
        <v>0</v>
      </c>
      <c r="R225" s="11" t="str">
        <f>IF(COUNTIF(Entradas!$A$14:$A$17,A225)&gt;0,"sí","")</f>
        <v/>
      </c>
      <c r="S225" s="11" t="str">
        <f t="shared" si="19"/>
        <v>46297|Principal|DEMOACC|Casa A</v>
      </c>
    </row>
    <row r="226" spans="1:19" x14ac:dyDescent="0.3">
      <c r="A226" s="20">
        <v>46297</v>
      </c>
      <c r="B226" s="21" t="s">
        <v>94</v>
      </c>
      <c r="C226" s="21" t="s">
        <v>123</v>
      </c>
      <c r="D226" s="21" t="s">
        <v>113</v>
      </c>
      <c r="E226" s="11" t="str">
        <f t="shared" si="15"/>
        <v>Principal|DEMOACC|Casa B</v>
      </c>
      <c r="F226" s="11" t="str">
        <f>INDEX(Entradas!$C$40:$C$46,MATCH(C226,Entradas!$A$40:$A$46,0))</f>
        <v>accion</v>
      </c>
      <c r="G226" s="15" t="str">
        <f>IF(F226="cetes",INDEX(Entradas!$F$40:$F$46,MATCH(C226,Entradas!$A$40:$A$46,0)),"")</f>
        <v/>
      </c>
      <c r="H226" s="17" t="str">
        <f>IF(F226="cetes",INDEX(Entradas!$G$40:$G$46,MATCH(C226,Entradas!$A$40:$A$46,0)),"")</f>
        <v/>
      </c>
      <c r="I226" s="14">
        <f>IF(F226="cetes",IF(A226&gt;=G226,0,SUMIFS(Transacciones!$N$5:$N$20,Transacciones!$T$5:$T$20,E226,Transacciones!$F$5:$F$20,"&lt;="&amp;A226)),SUMIFS(Transacciones!$N$5:$N$20,Transacciones!$T$5:$T$20,E226,Transacciones!$F$5:$F$20,"&lt;="&amp;A226))</f>
        <v>100</v>
      </c>
      <c r="J226" s="14">
        <f>_xlfn.MAXIFS(Transacciones!$U$5:$U$20,Transacciones!$T$5:$T$20,E226,Transacciones!$F$5:$F$20,"&lt;="&amp;A226)</f>
        <v>46279006</v>
      </c>
      <c r="K226" s="18">
        <f>IF(I226=0,0,INDEX(Transacciones!$Z$5:$Z$20,MATCH(J226,Transacciones!$U$5:$U$20,0)))</f>
        <v>103.399</v>
      </c>
      <c r="L226" s="17">
        <f t="shared" si="16"/>
        <v>10339.9</v>
      </c>
      <c r="M226" s="15">
        <f>IF(F226="cetes",IF(COUNTIFS(CETES!$A$5:$A$95,A226,CETES!$B$5:$B$95,C226)=0,"",A226),SUMIFS(Precios!$K$5:$K$109,Precios!$I$5:$I$109,A226,Precios!$J$5:$J$109,C226))</f>
        <v>46297</v>
      </c>
      <c r="N226" s="18">
        <f>IF(F226="cetes",IF(COUNTIFS(CETES!$A$5:$A$95,A226,CETES!$B$5:$B$95,C226)=0,"",SUMIFS(CETES!$AF$5:$AF$95,CETES!$A$5:$A$95,A226,CETES!$B$5:$B$95,C226)),SUMIFS(Precios!$L$5:$L$109,Precios!$I$5:$I$109,A226,Precios!$J$5:$J$109,C226))</f>
        <v>103.9</v>
      </c>
      <c r="O226" s="17">
        <f t="shared" si="17"/>
        <v>10390</v>
      </c>
      <c r="P226" s="17">
        <f t="shared" si="18"/>
        <v>50.100000000000364</v>
      </c>
      <c r="Q226" s="17">
        <f>IF(F226="cetes",IF(A226=G226,SUMIFS(Transacciones!$N$5:$N$20,Transacciones!$T$5:$T$20,E226,Transacciones!$F$5:$F$20,"&lt;"&amp;A226)*H226,0),0)</f>
        <v>0</v>
      </c>
      <c r="R226" s="11" t="str">
        <f>IF(COUNTIF(Entradas!$A$14:$A$17,A226)&gt;0,"sí","")</f>
        <v/>
      </c>
      <c r="S226" s="11" t="str">
        <f t="shared" si="19"/>
        <v>46297|Principal|DEMOACC|Casa B</v>
      </c>
    </row>
    <row r="227" spans="1:19" x14ac:dyDescent="0.3">
      <c r="A227" s="20">
        <v>46297</v>
      </c>
      <c r="B227" s="21" t="s">
        <v>94</v>
      </c>
      <c r="C227" s="21" t="s">
        <v>126</v>
      </c>
      <c r="D227" s="21" t="s">
        <v>113</v>
      </c>
      <c r="E227" s="11" t="str">
        <f t="shared" si="15"/>
        <v>Principal|DEMOETF|Casa B</v>
      </c>
      <c r="F227" s="11" t="str">
        <f>INDEX(Entradas!$C$40:$C$46,MATCH(C227,Entradas!$A$40:$A$46,0))</f>
        <v>etf</v>
      </c>
      <c r="G227" s="15" t="str">
        <f>IF(F227="cetes",INDEX(Entradas!$F$40:$F$46,MATCH(C227,Entradas!$A$40:$A$46,0)),"")</f>
        <v/>
      </c>
      <c r="H227" s="17" t="str">
        <f>IF(F227="cetes",INDEX(Entradas!$G$40:$G$46,MATCH(C227,Entradas!$A$40:$A$46,0)),"")</f>
        <v/>
      </c>
      <c r="I227" s="14">
        <f>IF(F227="cetes",IF(A227&gt;=G227,0,SUMIFS(Transacciones!$N$5:$N$20,Transacciones!$T$5:$T$20,E227,Transacciones!$F$5:$F$20,"&lt;="&amp;A227)),SUMIFS(Transacciones!$N$5:$N$20,Transacciones!$T$5:$T$20,E227,Transacciones!$F$5:$F$20,"&lt;="&amp;A227))</f>
        <v>40</v>
      </c>
      <c r="J227" s="14">
        <f>_xlfn.MAXIFS(Transacciones!$U$5:$U$20,Transacciones!$T$5:$T$20,E227,Transacciones!$F$5:$F$20,"&lt;="&amp;A227)</f>
        <v>46290512</v>
      </c>
      <c r="K227" s="18">
        <f>IF(I227=0,0,INDEX(Transacciones!$Z$5:$Z$20,MATCH(J227,Transacciones!$U$5:$U$20,0)))</f>
        <v>49.386499999999998</v>
      </c>
      <c r="L227" s="17">
        <f t="shared" si="16"/>
        <v>1975.46</v>
      </c>
      <c r="M227" s="15">
        <f>IF(F227="cetes",IF(COUNTIFS(CETES!$A$5:$A$95,A227,CETES!$B$5:$B$95,C227)=0,"",A227),SUMIFS(Precios!$K$5:$K$109,Precios!$I$5:$I$109,A227,Precios!$J$5:$J$109,C227))</f>
        <v>46297</v>
      </c>
      <c r="N227" s="18">
        <f>IF(F227="cetes",IF(COUNTIFS(CETES!$A$5:$A$95,A227,CETES!$B$5:$B$95,C227)=0,"",SUMIFS(CETES!$AF$5:$AF$95,CETES!$A$5:$A$95,A227,CETES!$B$5:$B$95,C227)),SUMIFS(Precios!$L$5:$L$109,Precios!$I$5:$I$109,A227,Precios!$J$5:$J$109,C227))</f>
        <v>50.58</v>
      </c>
      <c r="O227" s="17">
        <f t="shared" si="17"/>
        <v>2023.1999999999998</v>
      </c>
      <c r="P227" s="17">
        <f t="shared" si="18"/>
        <v>47.739999999999782</v>
      </c>
      <c r="Q227" s="17">
        <f>IF(F227="cetes",IF(A227=G227,SUMIFS(Transacciones!$N$5:$N$20,Transacciones!$T$5:$T$20,E227,Transacciones!$F$5:$F$20,"&lt;"&amp;A227)*H227,0),0)</f>
        <v>0</v>
      </c>
      <c r="R227" s="11" t="str">
        <f>IF(COUNTIF(Entradas!$A$14:$A$17,A227)&gt;0,"sí","")</f>
        <v/>
      </c>
      <c r="S227" s="11" t="str">
        <f t="shared" si="19"/>
        <v>46297|Principal|DEMOETF|Casa B</v>
      </c>
    </row>
    <row r="228" spans="1:19" x14ac:dyDescent="0.3">
      <c r="A228" s="20">
        <v>46297</v>
      </c>
      <c r="B228" s="21" t="s">
        <v>94</v>
      </c>
      <c r="C228" s="21" t="s">
        <v>129</v>
      </c>
      <c r="D228" s="21" t="s">
        <v>112</v>
      </c>
      <c r="E228" s="11" t="str">
        <f t="shared" si="15"/>
        <v>Principal|DEMOFIB|Casa A</v>
      </c>
      <c r="F228" s="11" t="str">
        <f>INDEX(Entradas!$C$40:$C$46,MATCH(C228,Entradas!$A$40:$A$46,0))</f>
        <v>fibra</v>
      </c>
      <c r="G228" s="15" t="str">
        <f>IF(F228="cetes",INDEX(Entradas!$F$40:$F$46,MATCH(C228,Entradas!$A$40:$A$46,0)),"")</f>
        <v/>
      </c>
      <c r="H228" s="17" t="str">
        <f>IF(F228="cetes",INDEX(Entradas!$G$40:$G$46,MATCH(C228,Entradas!$A$40:$A$46,0)),"")</f>
        <v/>
      </c>
      <c r="I228" s="14">
        <f>IF(F228="cetes",IF(A228&gt;=G228,0,SUMIFS(Transacciones!$N$5:$N$20,Transacciones!$T$5:$T$20,E228,Transacciones!$F$5:$F$20,"&lt;="&amp;A228)),SUMIFS(Transacciones!$N$5:$N$20,Transacciones!$T$5:$T$20,E228,Transacciones!$F$5:$F$20,"&lt;="&amp;A228))</f>
        <v>0</v>
      </c>
      <c r="J228" s="14">
        <f>_xlfn.MAXIFS(Transacciones!$U$5:$U$20,Transacciones!$T$5:$T$20,E228,Transacciones!$F$5:$F$20,"&lt;="&amp;A228)</f>
        <v>46287510</v>
      </c>
      <c r="K228" s="18">
        <f>IF(I228=0,0,INDEX(Transacciones!$Z$5:$Z$20,MATCH(J228,Transacciones!$U$5:$U$20,0)))</f>
        <v>0</v>
      </c>
      <c r="L228" s="17">
        <f t="shared" si="16"/>
        <v>0</v>
      </c>
      <c r="M228" s="15">
        <f>IF(F228="cetes",IF(COUNTIFS(CETES!$A$5:$A$95,A228,CETES!$B$5:$B$95,C228)=0,"",A228),SUMIFS(Precios!$K$5:$K$109,Precios!$I$5:$I$109,A228,Precios!$J$5:$J$109,C228))</f>
        <v>46297</v>
      </c>
      <c r="N228" s="18">
        <f>IF(F228="cetes",IF(COUNTIFS(CETES!$A$5:$A$95,A228,CETES!$B$5:$B$95,C228)=0,"",SUMIFS(CETES!$AF$5:$AF$95,CETES!$A$5:$A$95,A228,CETES!$B$5:$B$95,C228)),SUMIFS(Precios!$L$5:$L$109,Precios!$I$5:$I$109,A228,Precios!$J$5:$J$109,C228))</f>
        <v>24.612500000000001</v>
      </c>
      <c r="O228" s="17">
        <f t="shared" si="17"/>
        <v>0</v>
      </c>
      <c r="P228" s="17">
        <f t="shared" si="18"/>
        <v>0</v>
      </c>
      <c r="Q228" s="17">
        <f>IF(F228="cetes",IF(A228=G228,SUMIFS(Transacciones!$N$5:$N$20,Transacciones!$T$5:$T$20,E228,Transacciones!$F$5:$F$20,"&lt;"&amp;A228)*H228,0),0)</f>
        <v>0</v>
      </c>
      <c r="R228" s="11" t="str">
        <f>IF(COUNTIF(Entradas!$A$14:$A$17,A228)&gt;0,"sí","")</f>
        <v/>
      </c>
      <c r="S228" s="11" t="str">
        <f t="shared" si="19"/>
        <v>46297|Principal|DEMOFIB|Casa A</v>
      </c>
    </row>
    <row r="229" spans="1:19" x14ac:dyDescent="0.3">
      <c r="A229" s="20">
        <v>46297</v>
      </c>
      <c r="B229" s="21" t="s">
        <v>94</v>
      </c>
      <c r="C229" s="21" t="s">
        <v>132</v>
      </c>
      <c r="D229" s="21" t="s">
        <v>112</v>
      </c>
      <c r="E229" s="11" t="str">
        <f t="shared" si="15"/>
        <v>Principal|BI261008|Casa A</v>
      </c>
      <c r="F229" s="11" t="str">
        <f>INDEX(Entradas!$C$40:$C$46,MATCH(C229,Entradas!$A$40:$A$46,0))</f>
        <v>cetes</v>
      </c>
      <c r="G229" s="15">
        <f>IF(F229="cetes",INDEX(Entradas!$F$40:$F$46,MATCH(C229,Entradas!$A$40:$A$46,0)),"")</f>
        <v>46303</v>
      </c>
      <c r="H229" s="17">
        <f>IF(F229="cetes",INDEX(Entradas!$G$40:$G$46,MATCH(C229,Entradas!$A$40:$A$46,0)),"")</f>
        <v>10</v>
      </c>
      <c r="I229" s="14">
        <f>IF(F229="cetes",IF(A229&gt;=G229,0,SUMIFS(Transacciones!$N$5:$N$20,Transacciones!$T$5:$T$20,E229,Transacciones!$F$5:$F$20,"&lt;="&amp;A229)),SUMIFS(Transacciones!$N$5:$N$20,Transacciones!$T$5:$T$20,E229,Transacciones!$F$5:$F$20,"&lt;="&amp;A229))</f>
        <v>1000</v>
      </c>
      <c r="J229" s="14">
        <f>_xlfn.MAXIFS(Transacciones!$U$5:$U$20,Transacciones!$T$5:$T$20,E229,Transacciones!$F$5:$F$20,"&lt;="&amp;A229)</f>
        <v>46296513</v>
      </c>
      <c r="K229" s="18">
        <f>IF(I229=0,0,INDEX(Transacciones!$Z$5:$Z$20,MATCH(J229,Transacciones!$U$5:$U$20,0)))</f>
        <v>9.9516240000000007</v>
      </c>
      <c r="L229" s="17">
        <f t="shared" si="16"/>
        <v>9951.6239999999998</v>
      </c>
      <c r="M229" s="15">
        <f>IF(F229="cetes",IF(COUNTIFS(CETES!$A$5:$A$95,A229,CETES!$B$5:$B$95,C229)=0,"",A229),SUMIFS(Precios!$K$5:$K$109,Precios!$I$5:$I$109,A229,Precios!$J$5:$J$109,C229))</f>
        <v>46297</v>
      </c>
      <c r="N229" s="18">
        <f>IF(F229="cetes",IF(COUNTIFS(CETES!$A$5:$A$95,A229,CETES!$B$5:$B$95,C229)=0,"",SUMIFS(CETES!$AF$5:$AF$95,CETES!$A$5:$A$95,A229,CETES!$B$5:$B$95,C229)),SUMIFS(Precios!$L$5:$L$109,Precios!$I$5:$I$109,A229,Precios!$J$5:$J$109,C229))</f>
        <v>9.9899933999999995</v>
      </c>
      <c r="O229" s="17">
        <f t="shared" si="17"/>
        <v>9989.9933999999994</v>
      </c>
      <c r="P229" s="17">
        <f t="shared" si="18"/>
        <v>38.369399999999587</v>
      </c>
      <c r="Q229" s="17">
        <f>IF(F229="cetes",IF(A229=G229,SUMIFS(Transacciones!$N$5:$N$20,Transacciones!$T$5:$T$20,E229,Transacciones!$F$5:$F$20,"&lt;"&amp;A229)*H229,0),0)</f>
        <v>0</v>
      </c>
      <c r="R229" s="11" t="str">
        <f>IF(COUNTIF(Entradas!$A$14:$A$17,A229)&gt;0,"sí","")</f>
        <v/>
      </c>
      <c r="S229" s="11" t="str">
        <f t="shared" si="19"/>
        <v>46297|Principal|BI261008|Casa A</v>
      </c>
    </row>
    <row r="230" spans="1:19" x14ac:dyDescent="0.3">
      <c r="A230" s="20">
        <v>46297</v>
      </c>
      <c r="B230" s="21" t="s">
        <v>94</v>
      </c>
      <c r="C230" s="21" t="s">
        <v>132</v>
      </c>
      <c r="D230" s="21" t="s">
        <v>113</v>
      </c>
      <c r="E230" s="11" t="str">
        <f t="shared" si="15"/>
        <v>Principal|BI261008|Casa B</v>
      </c>
      <c r="F230" s="11" t="str">
        <f>INDEX(Entradas!$C$40:$C$46,MATCH(C230,Entradas!$A$40:$A$46,0))</f>
        <v>cetes</v>
      </c>
      <c r="G230" s="15">
        <f>IF(F230="cetes",INDEX(Entradas!$F$40:$F$46,MATCH(C230,Entradas!$A$40:$A$46,0)),"")</f>
        <v>46303</v>
      </c>
      <c r="H230" s="17">
        <f>IF(F230="cetes",INDEX(Entradas!$G$40:$G$46,MATCH(C230,Entradas!$A$40:$A$46,0)),"")</f>
        <v>10</v>
      </c>
      <c r="I230" s="14">
        <f>IF(F230="cetes",IF(A230&gt;=G230,0,SUMIFS(Transacciones!$N$5:$N$20,Transacciones!$T$5:$T$20,E230,Transacciones!$F$5:$F$20,"&lt;="&amp;A230)),SUMIFS(Transacciones!$N$5:$N$20,Transacciones!$T$5:$T$20,E230,Transacciones!$F$5:$F$20,"&lt;="&amp;A230))</f>
        <v>1000</v>
      </c>
      <c r="J230" s="14">
        <f>_xlfn.MAXIFS(Transacciones!$U$5:$U$20,Transacciones!$T$5:$T$20,E230,Transacciones!$F$5:$F$20,"&lt;="&amp;A230)</f>
        <v>46275004</v>
      </c>
      <c r="K230" s="18">
        <f>IF(I230=0,0,INDEX(Transacciones!$Z$5:$Z$20,MATCH(J230,Transacciones!$U$5:$U$20,0)))</f>
        <v>9.9516239999999989</v>
      </c>
      <c r="L230" s="17">
        <f t="shared" si="16"/>
        <v>9951.6239999999998</v>
      </c>
      <c r="M230" s="15">
        <f>IF(F230="cetes",IF(COUNTIFS(CETES!$A$5:$A$95,A230,CETES!$B$5:$B$95,C230)=0,"",A230),SUMIFS(Precios!$K$5:$K$109,Precios!$I$5:$I$109,A230,Precios!$J$5:$J$109,C230))</f>
        <v>46297</v>
      </c>
      <c r="N230" s="18">
        <f>IF(F230="cetes",IF(COUNTIFS(CETES!$A$5:$A$95,A230,CETES!$B$5:$B$95,C230)=0,"",SUMIFS(CETES!$AF$5:$AF$95,CETES!$A$5:$A$95,A230,CETES!$B$5:$B$95,C230)),SUMIFS(Precios!$L$5:$L$109,Precios!$I$5:$I$109,A230,Precios!$J$5:$J$109,C230))</f>
        <v>9.9899933999999995</v>
      </c>
      <c r="O230" s="17">
        <f t="shared" si="17"/>
        <v>9989.9933999999994</v>
      </c>
      <c r="P230" s="17">
        <f t="shared" si="18"/>
        <v>38.369399999999587</v>
      </c>
      <c r="Q230" s="17">
        <f>IF(F230="cetes",IF(A230=G230,SUMIFS(Transacciones!$N$5:$N$20,Transacciones!$T$5:$T$20,E230,Transacciones!$F$5:$F$20,"&lt;"&amp;A230)*H230,0),0)</f>
        <v>0</v>
      </c>
      <c r="R230" s="11" t="str">
        <f>IF(COUNTIF(Entradas!$A$14:$A$17,A230)&gt;0,"sí","")</f>
        <v/>
      </c>
      <c r="S230" s="11" t="str">
        <f t="shared" si="19"/>
        <v>46297|Principal|BI261008|Casa B</v>
      </c>
    </row>
    <row r="231" spans="1:19" x14ac:dyDescent="0.3">
      <c r="A231" s="20">
        <v>46297</v>
      </c>
      <c r="B231" s="21" t="s">
        <v>94</v>
      </c>
      <c r="C231" s="21" t="s">
        <v>135</v>
      </c>
      <c r="D231" s="21" t="s">
        <v>113</v>
      </c>
      <c r="E231" s="11" t="str">
        <f t="shared" si="15"/>
        <v>Principal|BI261105|Casa B</v>
      </c>
      <c r="F231" s="11" t="str">
        <f>INDEX(Entradas!$C$40:$C$46,MATCH(C231,Entradas!$A$40:$A$46,0))</f>
        <v>cetes</v>
      </c>
      <c r="G231" s="15">
        <f>IF(F231="cetes",INDEX(Entradas!$F$40:$F$46,MATCH(C231,Entradas!$A$40:$A$46,0)),"")</f>
        <v>46331</v>
      </c>
      <c r="H231" s="17">
        <f>IF(F231="cetes",INDEX(Entradas!$G$40:$G$46,MATCH(C231,Entradas!$A$40:$A$46,0)),"")</f>
        <v>10</v>
      </c>
      <c r="I231" s="14">
        <f>IF(F231="cetes",IF(A231&gt;=G231,0,SUMIFS(Transacciones!$N$5:$N$20,Transacciones!$T$5:$T$20,E231,Transacciones!$F$5:$F$20,"&lt;="&amp;A231)),SUMIFS(Transacciones!$N$5:$N$20,Transacciones!$T$5:$T$20,E231,Transacciones!$F$5:$F$20,"&lt;="&amp;A231))</f>
        <v>0</v>
      </c>
      <c r="J231" s="14">
        <f>_xlfn.MAXIFS(Transacciones!$U$5:$U$20,Transacciones!$T$5:$T$20,E231,Transacciones!$F$5:$F$20,"&lt;="&amp;A231)</f>
        <v>0</v>
      </c>
      <c r="K231" s="18">
        <f>IF(I231=0,0,INDEX(Transacciones!$Z$5:$Z$20,MATCH(J231,Transacciones!$U$5:$U$20,0)))</f>
        <v>0</v>
      </c>
      <c r="L231" s="17">
        <f t="shared" si="16"/>
        <v>0</v>
      </c>
      <c r="M231" s="15" t="str">
        <f>IF(F231="cetes",IF(COUNTIFS(CETES!$A$5:$A$95,A231,CETES!$B$5:$B$95,C231)=0,"",A231),SUMIFS(Precios!$K$5:$K$109,Precios!$I$5:$I$109,A231,Precios!$J$5:$J$109,C231))</f>
        <v/>
      </c>
      <c r="N231" s="18" t="str">
        <f>IF(F231="cetes",IF(COUNTIFS(CETES!$A$5:$A$95,A231,CETES!$B$5:$B$95,C231)=0,"",SUMIFS(CETES!$AF$5:$AF$95,CETES!$A$5:$A$95,A231,CETES!$B$5:$B$95,C231)),SUMIFS(Precios!$L$5:$L$109,Precios!$I$5:$I$109,A231,Precios!$J$5:$J$109,C231))</f>
        <v/>
      </c>
      <c r="O231" s="17">
        <f t="shared" si="17"/>
        <v>0</v>
      </c>
      <c r="P231" s="17">
        <f t="shared" si="18"/>
        <v>0</v>
      </c>
      <c r="Q231" s="17">
        <f>IF(F231="cetes",IF(A231=G231,SUMIFS(Transacciones!$N$5:$N$20,Transacciones!$T$5:$T$20,E231,Transacciones!$F$5:$F$20,"&lt;"&amp;A231)*H231,0),0)</f>
        <v>0</v>
      </c>
      <c r="R231" s="11" t="str">
        <f>IF(COUNTIF(Entradas!$A$14:$A$17,A231)&gt;0,"sí","")</f>
        <v/>
      </c>
      <c r="S231" s="11" t="str">
        <f t="shared" si="19"/>
        <v>46297|Principal|BI261105|Casa B</v>
      </c>
    </row>
    <row r="232" spans="1:19" x14ac:dyDescent="0.3">
      <c r="A232" s="20">
        <v>46297</v>
      </c>
      <c r="B232" s="21" t="s">
        <v>94</v>
      </c>
      <c r="C232" s="21" t="s">
        <v>137</v>
      </c>
      <c r="D232" s="21" t="s">
        <v>112</v>
      </c>
      <c r="E232" s="11" t="str">
        <f t="shared" si="15"/>
        <v>Principal|BI261217|Casa A</v>
      </c>
      <c r="F232" s="11" t="str">
        <f>INDEX(Entradas!$C$40:$C$46,MATCH(C232,Entradas!$A$40:$A$46,0))</f>
        <v>cetes</v>
      </c>
      <c r="G232" s="15">
        <f>IF(F232="cetes",INDEX(Entradas!$F$40:$F$46,MATCH(C232,Entradas!$A$40:$A$46,0)),"")</f>
        <v>46373</v>
      </c>
      <c r="H232" s="17">
        <f>IF(F232="cetes",INDEX(Entradas!$G$40:$G$46,MATCH(C232,Entradas!$A$40:$A$46,0)),"")</f>
        <v>10</v>
      </c>
      <c r="I232" s="14">
        <f>IF(F232="cetes",IF(A232&gt;=G232,0,SUMIFS(Transacciones!$N$5:$N$20,Transacciones!$T$5:$T$20,E232,Transacciones!$F$5:$F$20,"&lt;="&amp;A232)),SUMIFS(Transacciones!$N$5:$N$20,Transacciones!$T$5:$T$20,E232,Transacciones!$F$5:$F$20,"&lt;="&amp;A232))</f>
        <v>1000</v>
      </c>
      <c r="J232" s="14">
        <f>_xlfn.MAXIFS(Transacciones!$U$5:$U$20,Transacciones!$T$5:$T$20,E232,Transacciones!$F$5:$F$20,"&lt;="&amp;A232)</f>
        <v>46282008</v>
      </c>
      <c r="K232" s="18">
        <f>IF(I232=0,0,INDEX(Transacciones!$Z$5:$Z$20,MATCH(J232,Transacciones!$U$5:$U$20,0)))</f>
        <v>9.8344372</v>
      </c>
      <c r="L232" s="17">
        <f t="shared" si="16"/>
        <v>9834.4372000000003</v>
      </c>
      <c r="M232" s="15">
        <f>IF(F232="cetes",IF(COUNTIFS(CETES!$A$5:$A$95,A232,CETES!$B$5:$B$95,C232)=0,"",A232),SUMIFS(Precios!$K$5:$K$109,Precios!$I$5:$I$109,A232,Precios!$J$5:$J$109,C232))</f>
        <v>46297</v>
      </c>
      <c r="N232" s="18">
        <f>IF(F232="cetes",IF(COUNTIFS(CETES!$A$5:$A$95,A232,CETES!$B$5:$B$95,C232)=0,"",SUMIFS(CETES!$AF$5:$AF$95,CETES!$A$5:$A$95,A232,CETES!$B$5:$B$95,C232)),SUMIFS(Precios!$L$5:$L$109,Precios!$I$5:$I$109,A232,Precios!$J$5:$J$109,C232))</f>
        <v>9.8634322000000001</v>
      </c>
      <c r="O232" s="17">
        <f t="shared" si="17"/>
        <v>9863.4321999999993</v>
      </c>
      <c r="P232" s="17">
        <f t="shared" si="18"/>
        <v>28.994999999998981</v>
      </c>
      <c r="Q232" s="17">
        <f>IF(F232="cetes",IF(A232=G232,SUMIFS(Transacciones!$N$5:$N$20,Transacciones!$T$5:$T$20,E232,Transacciones!$F$5:$F$20,"&lt;"&amp;A232)*H232,0),0)</f>
        <v>0</v>
      </c>
      <c r="R232" s="11" t="str">
        <f>IF(COUNTIF(Entradas!$A$14:$A$17,A232)&gt;0,"sí","")</f>
        <v/>
      </c>
      <c r="S232" s="11" t="str">
        <f t="shared" si="19"/>
        <v>46297|Principal|BI261217|Casa A</v>
      </c>
    </row>
    <row r="233" spans="1:19" x14ac:dyDescent="0.3">
      <c r="A233" s="20">
        <v>46297</v>
      </c>
      <c r="B233" s="21" t="s">
        <v>94</v>
      </c>
      <c r="C233" s="21" t="s">
        <v>139</v>
      </c>
      <c r="D233" s="21" t="s">
        <v>113</v>
      </c>
      <c r="E233" s="11" t="str">
        <f t="shared" si="15"/>
        <v>Principal|BI270318|Casa B</v>
      </c>
      <c r="F233" s="11" t="str">
        <f>INDEX(Entradas!$C$40:$C$46,MATCH(C233,Entradas!$A$40:$A$46,0))</f>
        <v>cetes</v>
      </c>
      <c r="G233" s="15">
        <f>IF(F233="cetes",INDEX(Entradas!$F$40:$F$46,MATCH(C233,Entradas!$A$40:$A$46,0)),"")</f>
        <v>46464</v>
      </c>
      <c r="H233" s="17">
        <f>IF(F233="cetes",INDEX(Entradas!$G$40:$G$46,MATCH(C233,Entradas!$A$40:$A$46,0)),"")</f>
        <v>10</v>
      </c>
      <c r="I233" s="14">
        <f>IF(F233="cetes",IF(A233&gt;=G233,0,SUMIFS(Transacciones!$N$5:$N$20,Transacciones!$T$5:$T$20,E233,Transacciones!$F$5:$F$20,"&lt;="&amp;A233)),SUMIFS(Transacciones!$N$5:$N$20,Transacciones!$T$5:$T$20,E233,Transacciones!$F$5:$F$20,"&lt;="&amp;A233))</f>
        <v>500</v>
      </c>
      <c r="J233" s="14">
        <f>_xlfn.MAXIFS(Transacciones!$U$5:$U$20,Transacciones!$T$5:$T$20,E233,Transacciones!$F$5:$F$20,"&lt;="&amp;A233)</f>
        <v>46282009</v>
      </c>
      <c r="K233" s="18">
        <f>IF(I233=0,0,INDEX(Transacciones!$Z$5:$Z$20,MATCH(J233,Transacciones!$U$5:$U$20,0)))</f>
        <v>9.6629249999999995</v>
      </c>
      <c r="L233" s="17">
        <f t="shared" si="16"/>
        <v>4831.4624999999996</v>
      </c>
      <c r="M233" s="15">
        <f>IF(F233="cetes",IF(COUNTIFS(CETES!$A$5:$A$95,A233,CETES!$B$5:$B$95,C233)=0,"",A233),SUMIFS(Precios!$K$5:$K$109,Precios!$I$5:$I$109,A233,Precios!$J$5:$J$109,C233))</f>
        <v>46297</v>
      </c>
      <c r="N233" s="18">
        <f>IF(F233="cetes",IF(COUNTIFS(CETES!$A$5:$A$95,A233,CETES!$B$5:$B$95,C233)=0,"",SUMIFS(CETES!$AF$5:$AF$95,CETES!$A$5:$A$95,A233,CETES!$B$5:$B$95,C233)),SUMIFS(Precios!$L$5:$L$109,Precios!$I$5:$I$109,A233,Precios!$J$5:$J$109,C233))</f>
        <v>9.6870642</v>
      </c>
      <c r="O233" s="17">
        <f t="shared" si="17"/>
        <v>4843.5321000000004</v>
      </c>
      <c r="P233" s="17">
        <f t="shared" si="18"/>
        <v>12.069600000000719</v>
      </c>
      <c r="Q233" s="17">
        <f>IF(F233="cetes",IF(A233=G233,SUMIFS(Transacciones!$N$5:$N$20,Transacciones!$T$5:$T$20,E233,Transacciones!$F$5:$F$20,"&lt;"&amp;A233)*H233,0),0)</f>
        <v>0</v>
      </c>
      <c r="R233" s="11" t="str">
        <f>IF(COUNTIF(Entradas!$A$14:$A$17,A233)&gt;0,"sí","")</f>
        <v/>
      </c>
      <c r="S233" s="11" t="str">
        <f t="shared" si="19"/>
        <v>46297|Principal|BI270318|Casa B</v>
      </c>
    </row>
    <row r="234" spans="1:19" x14ac:dyDescent="0.3">
      <c r="A234" s="20">
        <v>46297</v>
      </c>
      <c r="B234" s="21" t="s">
        <v>103</v>
      </c>
      <c r="C234" s="21" t="s">
        <v>123</v>
      </c>
      <c r="D234" s="21" t="s">
        <v>112</v>
      </c>
      <c r="E234" s="11" t="str">
        <f t="shared" si="15"/>
        <v>Secundario|DEMOACC|Casa A</v>
      </c>
      <c r="F234" s="11" t="str">
        <f>INDEX(Entradas!$C$40:$C$46,MATCH(C234,Entradas!$A$40:$A$46,0))</f>
        <v>accion</v>
      </c>
      <c r="G234" s="15" t="str">
        <f>IF(F234="cetes",INDEX(Entradas!$F$40:$F$46,MATCH(C234,Entradas!$A$40:$A$46,0)),"")</f>
        <v/>
      </c>
      <c r="H234" s="17" t="str">
        <f>IF(F234="cetes",INDEX(Entradas!$G$40:$G$46,MATCH(C234,Entradas!$A$40:$A$46,0)),"")</f>
        <v/>
      </c>
      <c r="I234" s="14">
        <f>IF(F234="cetes",IF(A234&gt;=G234,0,SUMIFS(Transacciones!$N$5:$N$20,Transacciones!$T$5:$T$20,E234,Transacciones!$F$5:$F$20,"&lt;="&amp;A234)),SUMIFS(Transacciones!$N$5:$N$20,Transacciones!$T$5:$T$20,E234,Transacciones!$F$5:$F$20,"&lt;="&amp;A234))</f>
        <v>150</v>
      </c>
      <c r="J234" s="14">
        <f>_xlfn.MAXIFS(Transacciones!$U$5:$U$20,Transacciones!$T$5:$T$20,E234,Transacciones!$F$5:$F$20,"&lt;="&amp;A234)</f>
        <v>46279007</v>
      </c>
      <c r="K234" s="18">
        <f>IF(I234=0,0,INDEX(Transacciones!$Z$5:$Z$20,MATCH(J234,Transacciones!$U$5:$U$20,0)))</f>
        <v>103.90046666666666</v>
      </c>
      <c r="L234" s="17">
        <f t="shared" si="16"/>
        <v>15585.07</v>
      </c>
      <c r="M234" s="15">
        <f>IF(F234="cetes",IF(COUNTIFS(CETES!$A$5:$A$95,A234,CETES!$B$5:$B$95,C234)=0,"",A234),SUMIFS(Precios!$K$5:$K$109,Precios!$I$5:$I$109,A234,Precios!$J$5:$J$109,C234))</f>
        <v>46297</v>
      </c>
      <c r="N234" s="18">
        <f>IF(F234="cetes",IF(COUNTIFS(CETES!$A$5:$A$95,A234,CETES!$B$5:$B$95,C234)=0,"",SUMIFS(CETES!$AF$5:$AF$95,CETES!$A$5:$A$95,A234,CETES!$B$5:$B$95,C234)),SUMIFS(Precios!$L$5:$L$109,Precios!$I$5:$I$109,A234,Precios!$J$5:$J$109,C234))</f>
        <v>103.9</v>
      </c>
      <c r="O234" s="17">
        <f t="shared" si="17"/>
        <v>15585</v>
      </c>
      <c r="P234" s="17">
        <f t="shared" si="18"/>
        <v>-6.9999999999708962E-2</v>
      </c>
      <c r="Q234" s="17">
        <f>IF(F234="cetes",IF(A234=G234,SUMIFS(Transacciones!$N$5:$N$20,Transacciones!$T$5:$T$20,E234,Transacciones!$F$5:$F$20,"&lt;"&amp;A234)*H234,0),0)</f>
        <v>0</v>
      </c>
      <c r="R234" s="11" t="str">
        <f>IF(COUNTIF(Entradas!$A$14:$A$17,A234)&gt;0,"sí","")</f>
        <v/>
      </c>
      <c r="S234" s="11" t="str">
        <f t="shared" si="19"/>
        <v>46297|Secundario|DEMOACC|Casa A</v>
      </c>
    </row>
    <row r="235" spans="1:19" x14ac:dyDescent="0.3">
      <c r="A235" s="20">
        <v>46298</v>
      </c>
      <c r="B235" s="21" t="s">
        <v>94</v>
      </c>
      <c r="C235" s="21" t="s">
        <v>123</v>
      </c>
      <c r="D235" s="21" t="s">
        <v>112</v>
      </c>
      <c r="E235" s="11" t="str">
        <f t="shared" si="15"/>
        <v>Principal|DEMOACC|Casa A</v>
      </c>
      <c r="F235" s="11" t="str">
        <f>INDEX(Entradas!$C$40:$C$46,MATCH(C235,Entradas!$A$40:$A$46,0))</f>
        <v>accion</v>
      </c>
      <c r="G235" s="15" t="str">
        <f>IF(F235="cetes",INDEX(Entradas!$F$40:$F$46,MATCH(C235,Entradas!$A$40:$A$46,0)),"")</f>
        <v/>
      </c>
      <c r="H235" s="17" t="str">
        <f>IF(F235="cetes",INDEX(Entradas!$G$40:$G$46,MATCH(C235,Entradas!$A$40:$A$46,0)),"")</f>
        <v/>
      </c>
      <c r="I235" s="14">
        <f>IF(F235="cetes",IF(A235&gt;=G235,0,SUMIFS(Transacciones!$N$5:$N$20,Transacciones!$T$5:$T$20,E235,Transacciones!$F$5:$F$20,"&lt;="&amp;A235)),SUMIFS(Transacciones!$N$5:$N$20,Transacciones!$T$5:$T$20,E235,Transacciones!$F$5:$F$20,"&lt;="&amp;A235))</f>
        <v>120</v>
      </c>
      <c r="J235" s="14">
        <f>_xlfn.MAXIFS(Transacciones!$U$5:$U$20,Transacciones!$T$5:$T$20,E235,Transacciones!$F$5:$F$20,"&lt;="&amp;A235)</f>
        <v>46297514</v>
      </c>
      <c r="K235" s="18">
        <f>IF(I235=0,0,INDEX(Transacciones!$Z$5:$Z$20,MATCH(J235,Transacciones!$U$5:$U$20,0)))</f>
        <v>100.23985</v>
      </c>
      <c r="L235" s="17">
        <f t="shared" si="16"/>
        <v>12028.782000000001</v>
      </c>
      <c r="M235" s="15">
        <f>IF(F235="cetes",IF(COUNTIFS(CETES!$A$5:$A$95,A235,CETES!$B$5:$B$95,C235)=0,"",A235),SUMIFS(Precios!$K$5:$K$109,Precios!$I$5:$I$109,A235,Precios!$J$5:$J$109,C235))</f>
        <v>46297</v>
      </c>
      <c r="N235" s="18">
        <f>IF(F235="cetes",IF(COUNTIFS(CETES!$A$5:$A$95,A235,CETES!$B$5:$B$95,C235)=0,"",SUMIFS(CETES!$AF$5:$AF$95,CETES!$A$5:$A$95,A235,CETES!$B$5:$B$95,C235)),SUMIFS(Precios!$L$5:$L$109,Precios!$I$5:$I$109,A235,Precios!$J$5:$J$109,C235))</f>
        <v>103.9</v>
      </c>
      <c r="O235" s="17">
        <f t="shared" si="17"/>
        <v>12468</v>
      </c>
      <c r="P235" s="17">
        <f t="shared" si="18"/>
        <v>439.21799999999894</v>
      </c>
      <c r="Q235" s="17">
        <f>IF(F235="cetes",IF(A235=G235,SUMIFS(Transacciones!$N$5:$N$20,Transacciones!$T$5:$T$20,E235,Transacciones!$F$5:$F$20,"&lt;"&amp;A235)*H235,0),0)</f>
        <v>0</v>
      </c>
      <c r="R235" s="11" t="str">
        <f>IF(COUNTIF(Entradas!$A$14:$A$17,A235)&gt;0,"sí","")</f>
        <v/>
      </c>
      <c r="S235" s="11" t="str">
        <f t="shared" si="19"/>
        <v>46298|Principal|DEMOACC|Casa A</v>
      </c>
    </row>
    <row r="236" spans="1:19" x14ac:dyDescent="0.3">
      <c r="A236" s="20">
        <v>46298</v>
      </c>
      <c r="B236" s="21" t="s">
        <v>94</v>
      </c>
      <c r="C236" s="21" t="s">
        <v>123</v>
      </c>
      <c r="D236" s="21" t="s">
        <v>113</v>
      </c>
      <c r="E236" s="11" t="str">
        <f t="shared" si="15"/>
        <v>Principal|DEMOACC|Casa B</v>
      </c>
      <c r="F236" s="11" t="str">
        <f>INDEX(Entradas!$C$40:$C$46,MATCH(C236,Entradas!$A$40:$A$46,0))</f>
        <v>accion</v>
      </c>
      <c r="G236" s="15" t="str">
        <f>IF(F236="cetes",INDEX(Entradas!$F$40:$F$46,MATCH(C236,Entradas!$A$40:$A$46,0)),"")</f>
        <v/>
      </c>
      <c r="H236" s="17" t="str">
        <f>IF(F236="cetes",INDEX(Entradas!$G$40:$G$46,MATCH(C236,Entradas!$A$40:$A$46,0)),"")</f>
        <v/>
      </c>
      <c r="I236" s="14">
        <f>IF(F236="cetes",IF(A236&gt;=G236,0,SUMIFS(Transacciones!$N$5:$N$20,Transacciones!$T$5:$T$20,E236,Transacciones!$F$5:$F$20,"&lt;="&amp;A236)),SUMIFS(Transacciones!$N$5:$N$20,Transacciones!$T$5:$T$20,E236,Transacciones!$F$5:$F$20,"&lt;="&amp;A236))</f>
        <v>100</v>
      </c>
      <c r="J236" s="14">
        <f>_xlfn.MAXIFS(Transacciones!$U$5:$U$20,Transacciones!$T$5:$T$20,E236,Transacciones!$F$5:$F$20,"&lt;="&amp;A236)</f>
        <v>46279006</v>
      </c>
      <c r="K236" s="18">
        <f>IF(I236=0,0,INDEX(Transacciones!$Z$5:$Z$20,MATCH(J236,Transacciones!$U$5:$U$20,0)))</f>
        <v>103.399</v>
      </c>
      <c r="L236" s="17">
        <f t="shared" si="16"/>
        <v>10339.9</v>
      </c>
      <c r="M236" s="15">
        <f>IF(F236="cetes",IF(COUNTIFS(CETES!$A$5:$A$95,A236,CETES!$B$5:$B$95,C236)=0,"",A236),SUMIFS(Precios!$K$5:$K$109,Precios!$I$5:$I$109,A236,Precios!$J$5:$J$109,C236))</f>
        <v>46297</v>
      </c>
      <c r="N236" s="18">
        <f>IF(F236="cetes",IF(COUNTIFS(CETES!$A$5:$A$95,A236,CETES!$B$5:$B$95,C236)=0,"",SUMIFS(CETES!$AF$5:$AF$95,CETES!$A$5:$A$95,A236,CETES!$B$5:$B$95,C236)),SUMIFS(Precios!$L$5:$L$109,Precios!$I$5:$I$109,A236,Precios!$J$5:$J$109,C236))</f>
        <v>103.9</v>
      </c>
      <c r="O236" s="17">
        <f t="shared" si="17"/>
        <v>10390</v>
      </c>
      <c r="P236" s="17">
        <f t="shared" si="18"/>
        <v>50.100000000000364</v>
      </c>
      <c r="Q236" s="17">
        <f>IF(F236="cetes",IF(A236=G236,SUMIFS(Transacciones!$N$5:$N$20,Transacciones!$T$5:$T$20,E236,Transacciones!$F$5:$F$20,"&lt;"&amp;A236)*H236,0),0)</f>
        <v>0</v>
      </c>
      <c r="R236" s="11" t="str">
        <f>IF(COUNTIF(Entradas!$A$14:$A$17,A236)&gt;0,"sí","")</f>
        <v/>
      </c>
      <c r="S236" s="11" t="str">
        <f t="shared" si="19"/>
        <v>46298|Principal|DEMOACC|Casa B</v>
      </c>
    </row>
    <row r="237" spans="1:19" x14ac:dyDescent="0.3">
      <c r="A237" s="20">
        <v>46298</v>
      </c>
      <c r="B237" s="21" t="s">
        <v>94</v>
      </c>
      <c r="C237" s="21" t="s">
        <v>126</v>
      </c>
      <c r="D237" s="21" t="s">
        <v>113</v>
      </c>
      <c r="E237" s="11" t="str">
        <f t="shared" si="15"/>
        <v>Principal|DEMOETF|Casa B</v>
      </c>
      <c r="F237" s="11" t="str">
        <f>INDEX(Entradas!$C$40:$C$46,MATCH(C237,Entradas!$A$40:$A$46,0))</f>
        <v>etf</v>
      </c>
      <c r="G237" s="15" t="str">
        <f>IF(F237="cetes",INDEX(Entradas!$F$40:$F$46,MATCH(C237,Entradas!$A$40:$A$46,0)),"")</f>
        <v/>
      </c>
      <c r="H237" s="17" t="str">
        <f>IF(F237="cetes",INDEX(Entradas!$G$40:$G$46,MATCH(C237,Entradas!$A$40:$A$46,0)),"")</f>
        <v/>
      </c>
      <c r="I237" s="14">
        <f>IF(F237="cetes",IF(A237&gt;=G237,0,SUMIFS(Transacciones!$N$5:$N$20,Transacciones!$T$5:$T$20,E237,Transacciones!$F$5:$F$20,"&lt;="&amp;A237)),SUMIFS(Transacciones!$N$5:$N$20,Transacciones!$T$5:$T$20,E237,Transacciones!$F$5:$F$20,"&lt;="&amp;A237))</f>
        <v>40</v>
      </c>
      <c r="J237" s="14">
        <f>_xlfn.MAXIFS(Transacciones!$U$5:$U$20,Transacciones!$T$5:$T$20,E237,Transacciones!$F$5:$F$20,"&lt;="&amp;A237)</f>
        <v>46290512</v>
      </c>
      <c r="K237" s="18">
        <f>IF(I237=0,0,INDEX(Transacciones!$Z$5:$Z$20,MATCH(J237,Transacciones!$U$5:$U$20,0)))</f>
        <v>49.386499999999998</v>
      </c>
      <c r="L237" s="17">
        <f t="shared" si="16"/>
        <v>1975.46</v>
      </c>
      <c r="M237" s="15">
        <f>IF(F237="cetes",IF(COUNTIFS(CETES!$A$5:$A$95,A237,CETES!$B$5:$B$95,C237)=0,"",A237),SUMIFS(Precios!$K$5:$K$109,Precios!$I$5:$I$109,A237,Precios!$J$5:$J$109,C237))</f>
        <v>46297</v>
      </c>
      <c r="N237" s="18">
        <f>IF(F237="cetes",IF(COUNTIFS(CETES!$A$5:$A$95,A237,CETES!$B$5:$B$95,C237)=0,"",SUMIFS(CETES!$AF$5:$AF$95,CETES!$A$5:$A$95,A237,CETES!$B$5:$B$95,C237)),SUMIFS(Precios!$L$5:$L$109,Precios!$I$5:$I$109,A237,Precios!$J$5:$J$109,C237))</f>
        <v>50.58</v>
      </c>
      <c r="O237" s="17">
        <f t="shared" si="17"/>
        <v>2023.1999999999998</v>
      </c>
      <c r="P237" s="17">
        <f t="shared" si="18"/>
        <v>47.739999999999782</v>
      </c>
      <c r="Q237" s="17">
        <f>IF(F237="cetes",IF(A237=G237,SUMIFS(Transacciones!$N$5:$N$20,Transacciones!$T$5:$T$20,E237,Transacciones!$F$5:$F$20,"&lt;"&amp;A237)*H237,0),0)</f>
        <v>0</v>
      </c>
      <c r="R237" s="11" t="str">
        <f>IF(COUNTIF(Entradas!$A$14:$A$17,A237)&gt;0,"sí","")</f>
        <v/>
      </c>
      <c r="S237" s="11" t="str">
        <f t="shared" si="19"/>
        <v>46298|Principal|DEMOETF|Casa B</v>
      </c>
    </row>
    <row r="238" spans="1:19" x14ac:dyDescent="0.3">
      <c r="A238" s="20">
        <v>46298</v>
      </c>
      <c r="B238" s="21" t="s">
        <v>94</v>
      </c>
      <c r="C238" s="21" t="s">
        <v>129</v>
      </c>
      <c r="D238" s="21" t="s">
        <v>112</v>
      </c>
      <c r="E238" s="11" t="str">
        <f t="shared" si="15"/>
        <v>Principal|DEMOFIB|Casa A</v>
      </c>
      <c r="F238" s="11" t="str">
        <f>INDEX(Entradas!$C$40:$C$46,MATCH(C238,Entradas!$A$40:$A$46,0))</f>
        <v>fibra</v>
      </c>
      <c r="G238" s="15" t="str">
        <f>IF(F238="cetes",INDEX(Entradas!$F$40:$F$46,MATCH(C238,Entradas!$A$40:$A$46,0)),"")</f>
        <v/>
      </c>
      <c r="H238" s="17" t="str">
        <f>IF(F238="cetes",INDEX(Entradas!$G$40:$G$46,MATCH(C238,Entradas!$A$40:$A$46,0)),"")</f>
        <v/>
      </c>
      <c r="I238" s="14">
        <f>IF(F238="cetes",IF(A238&gt;=G238,0,SUMIFS(Transacciones!$N$5:$N$20,Transacciones!$T$5:$T$20,E238,Transacciones!$F$5:$F$20,"&lt;="&amp;A238)),SUMIFS(Transacciones!$N$5:$N$20,Transacciones!$T$5:$T$20,E238,Transacciones!$F$5:$F$20,"&lt;="&amp;A238))</f>
        <v>0</v>
      </c>
      <c r="J238" s="14">
        <f>_xlfn.MAXIFS(Transacciones!$U$5:$U$20,Transacciones!$T$5:$T$20,E238,Transacciones!$F$5:$F$20,"&lt;="&amp;A238)</f>
        <v>46287510</v>
      </c>
      <c r="K238" s="18">
        <f>IF(I238=0,0,INDEX(Transacciones!$Z$5:$Z$20,MATCH(J238,Transacciones!$U$5:$U$20,0)))</f>
        <v>0</v>
      </c>
      <c r="L238" s="17">
        <f t="shared" si="16"/>
        <v>0</v>
      </c>
      <c r="M238" s="15">
        <f>IF(F238="cetes",IF(COUNTIFS(CETES!$A$5:$A$95,A238,CETES!$B$5:$B$95,C238)=0,"",A238),SUMIFS(Precios!$K$5:$K$109,Precios!$I$5:$I$109,A238,Precios!$J$5:$J$109,C238))</f>
        <v>46297</v>
      </c>
      <c r="N238" s="18">
        <f>IF(F238="cetes",IF(COUNTIFS(CETES!$A$5:$A$95,A238,CETES!$B$5:$B$95,C238)=0,"",SUMIFS(CETES!$AF$5:$AF$95,CETES!$A$5:$A$95,A238,CETES!$B$5:$B$95,C238)),SUMIFS(Precios!$L$5:$L$109,Precios!$I$5:$I$109,A238,Precios!$J$5:$J$109,C238))</f>
        <v>24.612500000000001</v>
      </c>
      <c r="O238" s="17">
        <f t="shared" si="17"/>
        <v>0</v>
      </c>
      <c r="P238" s="17">
        <f t="shared" si="18"/>
        <v>0</v>
      </c>
      <c r="Q238" s="17">
        <f>IF(F238="cetes",IF(A238=G238,SUMIFS(Transacciones!$N$5:$N$20,Transacciones!$T$5:$T$20,E238,Transacciones!$F$5:$F$20,"&lt;"&amp;A238)*H238,0),0)</f>
        <v>0</v>
      </c>
      <c r="R238" s="11" t="str">
        <f>IF(COUNTIF(Entradas!$A$14:$A$17,A238)&gt;0,"sí","")</f>
        <v/>
      </c>
      <c r="S238" s="11" t="str">
        <f t="shared" si="19"/>
        <v>46298|Principal|DEMOFIB|Casa A</v>
      </c>
    </row>
    <row r="239" spans="1:19" x14ac:dyDescent="0.3">
      <c r="A239" s="20">
        <v>46298</v>
      </c>
      <c r="B239" s="21" t="s">
        <v>94</v>
      </c>
      <c r="C239" s="21" t="s">
        <v>132</v>
      </c>
      <c r="D239" s="21" t="s">
        <v>112</v>
      </c>
      <c r="E239" s="11" t="str">
        <f t="shared" si="15"/>
        <v>Principal|BI261008|Casa A</v>
      </c>
      <c r="F239" s="11" t="str">
        <f>INDEX(Entradas!$C$40:$C$46,MATCH(C239,Entradas!$A$40:$A$46,0))</f>
        <v>cetes</v>
      </c>
      <c r="G239" s="15">
        <f>IF(F239="cetes",INDEX(Entradas!$F$40:$F$46,MATCH(C239,Entradas!$A$40:$A$46,0)),"")</f>
        <v>46303</v>
      </c>
      <c r="H239" s="17">
        <f>IF(F239="cetes",INDEX(Entradas!$G$40:$G$46,MATCH(C239,Entradas!$A$40:$A$46,0)),"")</f>
        <v>10</v>
      </c>
      <c r="I239" s="14">
        <f>IF(F239="cetes",IF(A239&gt;=G239,0,SUMIFS(Transacciones!$N$5:$N$20,Transacciones!$T$5:$T$20,E239,Transacciones!$F$5:$F$20,"&lt;="&amp;A239)),SUMIFS(Transacciones!$N$5:$N$20,Transacciones!$T$5:$T$20,E239,Transacciones!$F$5:$F$20,"&lt;="&amp;A239))</f>
        <v>1000</v>
      </c>
      <c r="J239" s="14">
        <f>_xlfn.MAXIFS(Transacciones!$U$5:$U$20,Transacciones!$T$5:$T$20,E239,Transacciones!$F$5:$F$20,"&lt;="&amp;A239)</f>
        <v>46296513</v>
      </c>
      <c r="K239" s="18">
        <f>IF(I239=0,0,INDEX(Transacciones!$Z$5:$Z$20,MATCH(J239,Transacciones!$U$5:$U$20,0)))</f>
        <v>9.9516240000000007</v>
      </c>
      <c r="L239" s="17">
        <f t="shared" si="16"/>
        <v>9951.6239999999998</v>
      </c>
      <c r="M239" s="15">
        <f>IF(F239="cetes",IF(COUNTIFS(CETES!$A$5:$A$95,A239,CETES!$B$5:$B$95,C239)=0,"",A239),SUMIFS(Precios!$K$5:$K$109,Precios!$I$5:$I$109,A239,Precios!$J$5:$J$109,C239))</f>
        <v>46298</v>
      </c>
      <c r="N239" s="18">
        <f>IF(F239="cetes",IF(COUNTIFS(CETES!$A$5:$A$95,A239,CETES!$B$5:$B$95,C239)=0,"",SUMIFS(CETES!$AF$5:$AF$95,CETES!$A$5:$A$95,A239,CETES!$B$5:$B$95,C239)),SUMIFS(Precios!$L$5:$L$109,Precios!$I$5:$I$109,A239,Precios!$J$5:$J$109,C239))</f>
        <v>9.9916596999999996</v>
      </c>
      <c r="O239" s="17">
        <f t="shared" si="17"/>
        <v>9991.6597000000002</v>
      </c>
      <c r="P239" s="17">
        <f t="shared" si="18"/>
        <v>40.035700000000361</v>
      </c>
      <c r="Q239" s="17">
        <f>IF(F239="cetes",IF(A239=G239,SUMIFS(Transacciones!$N$5:$N$20,Transacciones!$T$5:$T$20,E239,Transacciones!$F$5:$F$20,"&lt;"&amp;A239)*H239,0),0)</f>
        <v>0</v>
      </c>
      <c r="R239" s="11" t="str">
        <f>IF(COUNTIF(Entradas!$A$14:$A$17,A239)&gt;0,"sí","")</f>
        <v/>
      </c>
      <c r="S239" s="11" t="str">
        <f t="shared" si="19"/>
        <v>46298|Principal|BI261008|Casa A</v>
      </c>
    </row>
    <row r="240" spans="1:19" x14ac:dyDescent="0.3">
      <c r="A240" s="20">
        <v>46298</v>
      </c>
      <c r="B240" s="21" t="s">
        <v>94</v>
      </c>
      <c r="C240" s="21" t="s">
        <v>132</v>
      </c>
      <c r="D240" s="21" t="s">
        <v>113</v>
      </c>
      <c r="E240" s="11" t="str">
        <f t="shared" si="15"/>
        <v>Principal|BI261008|Casa B</v>
      </c>
      <c r="F240" s="11" t="str">
        <f>INDEX(Entradas!$C$40:$C$46,MATCH(C240,Entradas!$A$40:$A$46,0))</f>
        <v>cetes</v>
      </c>
      <c r="G240" s="15">
        <f>IF(F240="cetes",INDEX(Entradas!$F$40:$F$46,MATCH(C240,Entradas!$A$40:$A$46,0)),"")</f>
        <v>46303</v>
      </c>
      <c r="H240" s="17">
        <f>IF(F240="cetes",INDEX(Entradas!$G$40:$G$46,MATCH(C240,Entradas!$A$40:$A$46,0)),"")</f>
        <v>10</v>
      </c>
      <c r="I240" s="14">
        <f>IF(F240="cetes",IF(A240&gt;=G240,0,SUMIFS(Transacciones!$N$5:$N$20,Transacciones!$T$5:$T$20,E240,Transacciones!$F$5:$F$20,"&lt;="&amp;A240)),SUMIFS(Transacciones!$N$5:$N$20,Transacciones!$T$5:$T$20,E240,Transacciones!$F$5:$F$20,"&lt;="&amp;A240))</f>
        <v>1000</v>
      </c>
      <c r="J240" s="14">
        <f>_xlfn.MAXIFS(Transacciones!$U$5:$U$20,Transacciones!$T$5:$T$20,E240,Transacciones!$F$5:$F$20,"&lt;="&amp;A240)</f>
        <v>46275004</v>
      </c>
      <c r="K240" s="18">
        <f>IF(I240=0,0,INDEX(Transacciones!$Z$5:$Z$20,MATCH(J240,Transacciones!$U$5:$U$20,0)))</f>
        <v>9.9516239999999989</v>
      </c>
      <c r="L240" s="17">
        <f t="shared" si="16"/>
        <v>9951.6239999999998</v>
      </c>
      <c r="M240" s="15">
        <f>IF(F240="cetes",IF(COUNTIFS(CETES!$A$5:$A$95,A240,CETES!$B$5:$B$95,C240)=0,"",A240),SUMIFS(Precios!$K$5:$K$109,Precios!$I$5:$I$109,A240,Precios!$J$5:$J$109,C240))</f>
        <v>46298</v>
      </c>
      <c r="N240" s="18">
        <f>IF(F240="cetes",IF(COUNTIFS(CETES!$A$5:$A$95,A240,CETES!$B$5:$B$95,C240)=0,"",SUMIFS(CETES!$AF$5:$AF$95,CETES!$A$5:$A$95,A240,CETES!$B$5:$B$95,C240)),SUMIFS(Precios!$L$5:$L$109,Precios!$I$5:$I$109,A240,Precios!$J$5:$J$109,C240))</f>
        <v>9.9916596999999996</v>
      </c>
      <c r="O240" s="17">
        <f t="shared" si="17"/>
        <v>9991.6597000000002</v>
      </c>
      <c r="P240" s="17">
        <f t="shared" si="18"/>
        <v>40.035700000000361</v>
      </c>
      <c r="Q240" s="17">
        <f>IF(F240="cetes",IF(A240=G240,SUMIFS(Transacciones!$N$5:$N$20,Transacciones!$T$5:$T$20,E240,Transacciones!$F$5:$F$20,"&lt;"&amp;A240)*H240,0),0)</f>
        <v>0</v>
      </c>
      <c r="R240" s="11" t="str">
        <f>IF(COUNTIF(Entradas!$A$14:$A$17,A240)&gt;0,"sí","")</f>
        <v/>
      </c>
      <c r="S240" s="11" t="str">
        <f t="shared" si="19"/>
        <v>46298|Principal|BI261008|Casa B</v>
      </c>
    </row>
    <row r="241" spans="1:19" x14ac:dyDescent="0.3">
      <c r="A241" s="20">
        <v>46298</v>
      </c>
      <c r="B241" s="21" t="s">
        <v>94</v>
      </c>
      <c r="C241" s="21" t="s">
        <v>135</v>
      </c>
      <c r="D241" s="21" t="s">
        <v>113</v>
      </c>
      <c r="E241" s="11" t="str">
        <f t="shared" si="15"/>
        <v>Principal|BI261105|Casa B</v>
      </c>
      <c r="F241" s="11" t="str">
        <f>INDEX(Entradas!$C$40:$C$46,MATCH(C241,Entradas!$A$40:$A$46,0))</f>
        <v>cetes</v>
      </c>
      <c r="G241" s="15">
        <f>IF(F241="cetes",INDEX(Entradas!$F$40:$F$46,MATCH(C241,Entradas!$A$40:$A$46,0)),"")</f>
        <v>46331</v>
      </c>
      <c r="H241" s="17">
        <f>IF(F241="cetes",INDEX(Entradas!$G$40:$G$46,MATCH(C241,Entradas!$A$40:$A$46,0)),"")</f>
        <v>10</v>
      </c>
      <c r="I241" s="14">
        <f>IF(F241="cetes",IF(A241&gt;=G241,0,SUMIFS(Transacciones!$N$5:$N$20,Transacciones!$T$5:$T$20,E241,Transacciones!$F$5:$F$20,"&lt;="&amp;A241)),SUMIFS(Transacciones!$N$5:$N$20,Transacciones!$T$5:$T$20,E241,Transacciones!$F$5:$F$20,"&lt;="&amp;A241))</f>
        <v>0</v>
      </c>
      <c r="J241" s="14">
        <f>_xlfn.MAXIFS(Transacciones!$U$5:$U$20,Transacciones!$T$5:$T$20,E241,Transacciones!$F$5:$F$20,"&lt;="&amp;A241)</f>
        <v>0</v>
      </c>
      <c r="K241" s="18">
        <f>IF(I241=0,0,INDEX(Transacciones!$Z$5:$Z$20,MATCH(J241,Transacciones!$U$5:$U$20,0)))</f>
        <v>0</v>
      </c>
      <c r="L241" s="17">
        <f t="shared" si="16"/>
        <v>0</v>
      </c>
      <c r="M241" s="15" t="str">
        <f>IF(F241="cetes",IF(COUNTIFS(CETES!$A$5:$A$95,A241,CETES!$B$5:$B$95,C241)=0,"",A241),SUMIFS(Precios!$K$5:$K$109,Precios!$I$5:$I$109,A241,Precios!$J$5:$J$109,C241))</f>
        <v/>
      </c>
      <c r="N241" s="18" t="str">
        <f>IF(F241="cetes",IF(COUNTIFS(CETES!$A$5:$A$95,A241,CETES!$B$5:$B$95,C241)=0,"",SUMIFS(CETES!$AF$5:$AF$95,CETES!$A$5:$A$95,A241,CETES!$B$5:$B$95,C241)),SUMIFS(Precios!$L$5:$L$109,Precios!$I$5:$I$109,A241,Precios!$J$5:$J$109,C241))</f>
        <v/>
      </c>
      <c r="O241" s="17">
        <f t="shared" si="17"/>
        <v>0</v>
      </c>
      <c r="P241" s="17">
        <f t="shared" si="18"/>
        <v>0</v>
      </c>
      <c r="Q241" s="17">
        <f>IF(F241="cetes",IF(A241=G241,SUMIFS(Transacciones!$N$5:$N$20,Transacciones!$T$5:$T$20,E241,Transacciones!$F$5:$F$20,"&lt;"&amp;A241)*H241,0),0)</f>
        <v>0</v>
      </c>
      <c r="R241" s="11" t="str">
        <f>IF(COUNTIF(Entradas!$A$14:$A$17,A241)&gt;0,"sí","")</f>
        <v/>
      </c>
      <c r="S241" s="11" t="str">
        <f t="shared" si="19"/>
        <v>46298|Principal|BI261105|Casa B</v>
      </c>
    </row>
    <row r="242" spans="1:19" x14ac:dyDescent="0.3">
      <c r="A242" s="20">
        <v>46298</v>
      </c>
      <c r="B242" s="21" t="s">
        <v>94</v>
      </c>
      <c r="C242" s="21" t="s">
        <v>137</v>
      </c>
      <c r="D242" s="21" t="s">
        <v>112</v>
      </c>
      <c r="E242" s="11" t="str">
        <f t="shared" si="15"/>
        <v>Principal|BI261217|Casa A</v>
      </c>
      <c r="F242" s="11" t="str">
        <f>INDEX(Entradas!$C$40:$C$46,MATCH(C242,Entradas!$A$40:$A$46,0))</f>
        <v>cetes</v>
      </c>
      <c r="G242" s="15">
        <f>IF(F242="cetes",INDEX(Entradas!$F$40:$F$46,MATCH(C242,Entradas!$A$40:$A$46,0)),"")</f>
        <v>46373</v>
      </c>
      <c r="H242" s="17">
        <f>IF(F242="cetes",INDEX(Entradas!$G$40:$G$46,MATCH(C242,Entradas!$A$40:$A$46,0)),"")</f>
        <v>10</v>
      </c>
      <c r="I242" s="14">
        <f>IF(F242="cetes",IF(A242&gt;=G242,0,SUMIFS(Transacciones!$N$5:$N$20,Transacciones!$T$5:$T$20,E242,Transacciones!$F$5:$F$20,"&lt;="&amp;A242)),SUMIFS(Transacciones!$N$5:$N$20,Transacciones!$T$5:$T$20,E242,Transacciones!$F$5:$F$20,"&lt;="&amp;A242))</f>
        <v>1000</v>
      </c>
      <c r="J242" s="14">
        <f>_xlfn.MAXIFS(Transacciones!$U$5:$U$20,Transacciones!$T$5:$T$20,E242,Transacciones!$F$5:$F$20,"&lt;="&amp;A242)</f>
        <v>46282008</v>
      </c>
      <c r="K242" s="18">
        <f>IF(I242=0,0,INDEX(Transacciones!$Z$5:$Z$20,MATCH(J242,Transacciones!$U$5:$U$20,0)))</f>
        <v>9.8344372</v>
      </c>
      <c r="L242" s="17">
        <f t="shared" si="16"/>
        <v>9834.4372000000003</v>
      </c>
      <c r="M242" s="15">
        <f>IF(F242="cetes",IF(COUNTIFS(CETES!$A$5:$A$95,A242,CETES!$B$5:$B$95,C242)=0,"",A242),SUMIFS(Precios!$K$5:$K$109,Precios!$I$5:$I$109,A242,Precios!$J$5:$J$109,C242))</f>
        <v>46298</v>
      </c>
      <c r="N242" s="18">
        <f>IF(F242="cetes",IF(COUNTIFS(CETES!$A$5:$A$95,A242,CETES!$B$5:$B$95,C242)=0,"",SUMIFS(CETES!$AF$5:$AF$95,CETES!$A$5:$A$95,A242,CETES!$B$5:$B$95,C242)),SUMIFS(Precios!$L$5:$L$109,Precios!$I$5:$I$109,A242,Precios!$J$5:$J$109,C242))</f>
        <v>9.8654366000000007</v>
      </c>
      <c r="O242" s="17">
        <f t="shared" si="17"/>
        <v>9865.4366000000009</v>
      </c>
      <c r="P242" s="17">
        <f t="shared" si="18"/>
        <v>30.999400000000605</v>
      </c>
      <c r="Q242" s="17">
        <f>IF(F242="cetes",IF(A242=G242,SUMIFS(Transacciones!$N$5:$N$20,Transacciones!$T$5:$T$20,E242,Transacciones!$F$5:$F$20,"&lt;"&amp;A242)*H242,0),0)</f>
        <v>0</v>
      </c>
      <c r="R242" s="11" t="str">
        <f>IF(COUNTIF(Entradas!$A$14:$A$17,A242)&gt;0,"sí","")</f>
        <v/>
      </c>
      <c r="S242" s="11" t="str">
        <f t="shared" si="19"/>
        <v>46298|Principal|BI261217|Casa A</v>
      </c>
    </row>
    <row r="243" spans="1:19" x14ac:dyDescent="0.3">
      <c r="A243" s="20">
        <v>46298</v>
      </c>
      <c r="B243" s="21" t="s">
        <v>94</v>
      </c>
      <c r="C243" s="21" t="s">
        <v>139</v>
      </c>
      <c r="D243" s="21" t="s">
        <v>113</v>
      </c>
      <c r="E243" s="11" t="str">
        <f t="shared" si="15"/>
        <v>Principal|BI270318|Casa B</v>
      </c>
      <c r="F243" s="11" t="str">
        <f>INDEX(Entradas!$C$40:$C$46,MATCH(C243,Entradas!$A$40:$A$46,0))</f>
        <v>cetes</v>
      </c>
      <c r="G243" s="15">
        <f>IF(F243="cetes",INDEX(Entradas!$F$40:$F$46,MATCH(C243,Entradas!$A$40:$A$46,0)),"")</f>
        <v>46464</v>
      </c>
      <c r="H243" s="17">
        <f>IF(F243="cetes",INDEX(Entradas!$G$40:$G$46,MATCH(C243,Entradas!$A$40:$A$46,0)),"")</f>
        <v>10</v>
      </c>
      <c r="I243" s="14">
        <f>IF(F243="cetes",IF(A243&gt;=G243,0,SUMIFS(Transacciones!$N$5:$N$20,Transacciones!$T$5:$T$20,E243,Transacciones!$F$5:$F$20,"&lt;="&amp;A243)),SUMIFS(Transacciones!$N$5:$N$20,Transacciones!$T$5:$T$20,E243,Transacciones!$F$5:$F$20,"&lt;="&amp;A243))</f>
        <v>500</v>
      </c>
      <c r="J243" s="14">
        <f>_xlfn.MAXIFS(Transacciones!$U$5:$U$20,Transacciones!$T$5:$T$20,E243,Transacciones!$F$5:$F$20,"&lt;="&amp;A243)</f>
        <v>46282009</v>
      </c>
      <c r="K243" s="18">
        <f>IF(I243=0,0,INDEX(Transacciones!$Z$5:$Z$20,MATCH(J243,Transacciones!$U$5:$U$20,0)))</f>
        <v>9.6629249999999995</v>
      </c>
      <c r="L243" s="17">
        <f t="shared" si="16"/>
        <v>4831.4624999999996</v>
      </c>
      <c r="M243" s="15">
        <f>IF(F243="cetes",IF(COUNTIFS(CETES!$A$5:$A$95,A243,CETES!$B$5:$B$95,C243)=0,"",A243),SUMIFS(Precios!$K$5:$K$109,Precios!$I$5:$I$109,A243,Precios!$J$5:$J$109,C243))</f>
        <v>46298</v>
      </c>
      <c r="N243" s="18">
        <f>IF(F243="cetes",IF(COUNTIFS(CETES!$A$5:$A$95,A243,CETES!$B$5:$B$95,C243)=0,"",SUMIFS(CETES!$AF$5:$AF$95,CETES!$A$5:$A$95,A243,CETES!$B$5:$B$95,C243)),SUMIFS(Precios!$L$5:$L$109,Precios!$I$5:$I$109,A243,Precios!$J$5:$J$109,C243))</f>
        <v>9.6890128999999998</v>
      </c>
      <c r="O243" s="17">
        <f t="shared" si="17"/>
        <v>4844.5064499999999</v>
      </c>
      <c r="P243" s="17">
        <f t="shared" si="18"/>
        <v>13.043950000000223</v>
      </c>
      <c r="Q243" s="17">
        <f>IF(F243="cetes",IF(A243=G243,SUMIFS(Transacciones!$N$5:$N$20,Transacciones!$T$5:$T$20,E243,Transacciones!$F$5:$F$20,"&lt;"&amp;A243)*H243,0),0)</f>
        <v>0</v>
      </c>
      <c r="R243" s="11" t="str">
        <f>IF(COUNTIF(Entradas!$A$14:$A$17,A243)&gt;0,"sí","")</f>
        <v/>
      </c>
      <c r="S243" s="11" t="str">
        <f t="shared" si="19"/>
        <v>46298|Principal|BI270318|Casa B</v>
      </c>
    </row>
    <row r="244" spans="1:19" x14ac:dyDescent="0.3">
      <c r="A244" s="20">
        <v>46298</v>
      </c>
      <c r="B244" s="21" t="s">
        <v>103</v>
      </c>
      <c r="C244" s="21" t="s">
        <v>123</v>
      </c>
      <c r="D244" s="21" t="s">
        <v>112</v>
      </c>
      <c r="E244" s="11" t="str">
        <f t="shared" si="15"/>
        <v>Secundario|DEMOACC|Casa A</v>
      </c>
      <c r="F244" s="11" t="str">
        <f>INDEX(Entradas!$C$40:$C$46,MATCH(C244,Entradas!$A$40:$A$46,0))</f>
        <v>accion</v>
      </c>
      <c r="G244" s="15" t="str">
        <f>IF(F244="cetes",INDEX(Entradas!$F$40:$F$46,MATCH(C244,Entradas!$A$40:$A$46,0)),"")</f>
        <v/>
      </c>
      <c r="H244" s="17" t="str">
        <f>IF(F244="cetes",INDEX(Entradas!$G$40:$G$46,MATCH(C244,Entradas!$A$40:$A$46,0)),"")</f>
        <v/>
      </c>
      <c r="I244" s="14">
        <f>IF(F244="cetes",IF(A244&gt;=G244,0,SUMIFS(Transacciones!$N$5:$N$20,Transacciones!$T$5:$T$20,E244,Transacciones!$F$5:$F$20,"&lt;="&amp;A244)),SUMIFS(Transacciones!$N$5:$N$20,Transacciones!$T$5:$T$20,E244,Transacciones!$F$5:$F$20,"&lt;="&amp;A244))</f>
        <v>150</v>
      </c>
      <c r="J244" s="14">
        <f>_xlfn.MAXIFS(Transacciones!$U$5:$U$20,Transacciones!$T$5:$T$20,E244,Transacciones!$F$5:$F$20,"&lt;="&amp;A244)</f>
        <v>46279007</v>
      </c>
      <c r="K244" s="18">
        <f>IF(I244=0,0,INDEX(Transacciones!$Z$5:$Z$20,MATCH(J244,Transacciones!$U$5:$U$20,0)))</f>
        <v>103.90046666666666</v>
      </c>
      <c r="L244" s="17">
        <f t="shared" si="16"/>
        <v>15585.07</v>
      </c>
      <c r="M244" s="15">
        <f>IF(F244="cetes",IF(COUNTIFS(CETES!$A$5:$A$95,A244,CETES!$B$5:$B$95,C244)=0,"",A244),SUMIFS(Precios!$K$5:$K$109,Precios!$I$5:$I$109,A244,Precios!$J$5:$J$109,C244))</f>
        <v>46297</v>
      </c>
      <c r="N244" s="18">
        <f>IF(F244="cetes",IF(COUNTIFS(CETES!$A$5:$A$95,A244,CETES!$B$5:$B$95,C244)=0,"",SUMIFS(CETES!$AF$5:$AF$95,CETES!$A$5:$A$95,A244,CETES!$B$5:$B$95,C244)),SUMIFS(Precios!$L$5:$L$109,Precios!$I$5:$I$109,A244,Precios!$J$5:$J$109,C244))</f>
        <v>103.9</v>
      </c>
      <c r="O244" s="17">
        <f t="shared" si="17"/>
        <v>15585</v>
      </c>
      <c r="P244" s="17">
        <f t="shared" si="18"/>
        <v>-6.9999999999708962E-2</v>
      </c>
      <c r="Q244" s="17">
        <f>IF(F244="cetes",IF(A244=G244,SUMIFS(Transacciones!$N$5:$N$20,Transacciones!$T$5:$T$20,E244,Transacciones!$F$5:$F$20,"&lt;"&amp;A244)*H244,0),0)</f>
        <v>0</v>
      </c>
      <c r="R244" s="11" t="str">
        <f>IF(COUNTIF(Entradas!$A$14:$A$17,A244)&gt;0,"sí","")</f>
        <v/>
      </c>
      <c r="S244" s="11" t="str">
        <f t="shared" si="19"/>
        <v>46298|Secundario|DEMOACC|Casa A</v>
      </c>
    </row>
    <row r="245" spans="1:19" x14ac:dyDescent="0.3">
      <c r="A245" s="20">
        <v>46299</v>
      </c>
      <c r="B245" s="21" t="s">
        <v>94</v>
      </c>
      <c r="C245" s="21" t="s">
        <v>123</v>
      </c>
      <c r="D245" s="21" t="s">
        <v>112</v>
      </c>
      <c r="E245" s="11" t="str">
        <f t="shared" si="15"/>
        <v>Principal|DEMOACC|Casa A</v>
      </c>
      <c r="F245" s="11" t="str">
        <f>INDEX(Entradas!$C$40:$C$46,MATCH(C245,Entradas!$A$40:$A$46,0))</f>
        <v>accion</v>
      </c>
      <c r="G245" s="15" t="str">
        <f>IF(F245="cetes",INDEX(Entradas!$F$40:$F$46,MATCH(C245,Entradas!$A$40:$A$46,0)),"")</f>
        <v/>
      </c>
      <c r="H245" s="17" t="str">
        <f>IF(F245="cetes",INDEX(Entradas!$G$40:$G$46,MATCH(C245,Entradas!$A$40:$A$46,0)),"")</f>
        <v/>
      </c>
      <c r="I245" s="14">
        <f>IF(F245="cetes",IF(A245&gt;=G245,0,SUMIFS(Transacciones!$N$5:$N$20,Transacciones!$T$5:$T$20,E245,Transacciones!$F$5:$F$20,"&lt;="&amp;A245)),SUMIFS(Transacciones!$N$5:$N$20,Transacciones!$T$5:$T$20,E245,Transacciones!$F$5:$F$20,"&lt;="&amp;A245))</f>
        <v>120</v>
      </c>
      <c r="J245" s="14">
        <f>_xlfn.MAXIFS(Transacciones!$U$5:$U$20,Transacciones!$T$5:$T$20,E245,Transacciones!$F$5:$F$20,"&lt;="&amp;A245)</f>
        <v>46297514</v>
      </c>
      <c r="K245" s="18">
        <f>IF(I245=0,0,INDEX(Transacciones!$Z$5:$Z$20,MATCH(J245,Transacciones!$U$5:$U$20,0)))</f>
        <v>100.23985</v>
      </c>
      <c r="L245" s="17">
        <f t="shared" si="16"/>
        <v>12028.782000000001</v>
      </c>
      <c r="M245" s="15">
        <f>IF(F245="cetes",IF(COUNTIFS(CETES!$A$5:$A$95,A245,CETES!$B$5:$B$95,C245)=0,"",A245),SUMIFS(Precios!$K$5:$K$109,Precios!$I$5:$I$109,A245,Precios!$J$5:$J$109,C245))</f>
        <v>46297</v>
      </c>
      <c r="N245" s="18">
        <f>IF(F245="cetes",IF(COUNTIFS(CETES!$A$5:$A$95,A245,CETES!$B$5:$B$95,C245)=0,"",SUMIFS(CETES!$AF$5:$AF$95,CETES!$A$5:$A$95,A245,CETES!$B$5:$B$95,C245)),SUMIFS(Precios!$L$5:$L$109,Precios!$I$5:$I$109,A245,Precios!$J$5:$J$109,C245))</f>
        <v>103.9</v>
      </c>
      <c r="O245" s="17">
        <f t="shared" si="17"/>
        <v>12468</v>
      </c>
      <c r="P245" s="17">
        <f t="shared" si="18"/>
        <v>439.21799999999894</v>
      </c>
      <c r="Q245" s="17">
        <f>IF(F245="cetes",IF(A245=G245,SUMIFS(Transacciones!$N$5:$N$20,Transacciones!$T$5:$T$20,E245,Transacciones!$F$5:$F$20,"&lt;"&amp;A245)*H245,0),0)</f>
        <v>0</v>
      </c>
      <c r="R245" s="11" t="str">
        <f>IF(COUNTIF(Entradas!$A$14:$A$17,A245)&gt;0,"sí","")</f>
        <v/>
      </c>
      <c r="S245" s="11" t="str">
        <f t="shared" si="19"/>
        <v>46299|Principal|DEMOACC|Casa A</v>
      </c>
    </row>
    <row r="246" spans="1:19" x14ac:dyDescent="0.3">
      <c r="A246" s="20">
        <v>46299</v>
      </c>
      <c r="B246" s="21" t="s">
        <v>94</v>
      </c>
      <c r="C246" s="21" t="s">
        <v>123</v>
      </c>
      <c r="D246" s="21" t="s">
        <v>113</v>
      </c>
      <c r="E246" s="11" t="str">
        <f t="shared" si="15"/>
        <v>Principal|DEMOACC|Casa B</v>
      </c>
      <c r="F246" s="11" t="str">
        <f>INDEX(Entradas!$C$40:$C$46,MATCH(C246,Entradas!$A$40:$A$46,0))</f>
        <v>accion</v>
      </c>
      <c r="G246" s="15" t="str">
        <f>IF(F246="cetes",INDEX(Entradas!$F$40:$F$46,MATCH(C246,Entradas!$A$40:$A$46,0)),"")</f>
        <v/>
      </c>
      <c r="H246" s="17" t="str">
        <f>IF(F246="cetes",INDEX(Entradas!$G$40:$G$46,MATCH(C246,Entradas!$A$40:$A$46,0)),"")</f>
        <v/>
      </c>
      <c r="I246" s="14">
        <f>IF(F246="cetes",IF(A246&gt;=G246,0,SUMIFS(Transacciones!$N$5:$N$20,Transacciones!$T$5:$T$20,E246,Transacciones!$F$5:$F$20,"&lt;="&amp;A246)),SUMIFS(Transacciones!$N$5:$N$20,Transacciones!$T$5:$T$20,E246,Transacciones!$F$5:$F$20,"&lt;="&amp;A246))</f>
        <v>100</v>
      </c>
      <c r="J246" s="14">
        <f>_xlfn.MAXIFS(Transacciones!$U$5:$U$20,Transacciones!$T$5:$T$20,E246,Transacciones!$F$5:$F$20,"&lt;="&amp;A246)</f>
        <v>46279006</v>
      </c>
      <c r="K246" s="18">
        <f>IF(I246=0,0,INDEX(Transacciones!$Z$5:$Z$20,MATCH(J246,Transacciones!$U$5:$U$20,0)))</f>
        <v>103.399</v>
      </c>
      <c r="L246" s="17">
        <f t="shared" si="16"/>
        <v>10339.9</v>
      </c>
      <c r="M246" s="15">
        <f>IF(F246="cetes",IF(COUNTIFS(CETES!$A$5:$A$95,A246,CETES!$B$5:$B$95,C246)=0,"",A246),SUMIFS(Precios!$K$5:$K$109,Precios!$I$5:$I$109,A246,Precios!$J$5:$J$109,C246))</f>
        <v>46297</v>
      </c>
      <c r="N246" s="18">
        <f>IF(F246="cetes",IF(COUNTIFS(CETES!$A$5:$A$95,A246,CETES!$B$5:$B$95,C246)=0,"",SUMIFS(CETES!$AF$5:$AF$95,CETES!$A$5:$A$95,A246,CETES!$B$5:$B$95,C246)),SUMIFS(Precios!$L$5:$L$109,Precios!$I$5:$I$109,A246,Precios!$J$5:$J$109,C246))</f>
        <v>103.9</v>
      </c>
      <c r="O246" s="17">
        <f t="shared" si="17"/>
        <v>10390</v>
      </c>
      <c r="P246" s="17">
        <f t="shared" si="18"/>
        <v>50.100000000000364</v>
      </c>
      <c r="Q246" s="17">
        <f>IF(F246="cetes",IF(A246=G246,SUMIFS(Transacciones!$N$5:$N$20,Transacciones!$T$5:$T$20,E246,Transacciones!$F$5:$F$20,"&lt;"&amp;A246)*H246,0),0)</f>
        <v>0</v>
      </c>
      <c r="R246" s="11" t="str">
        <f>IF(COUNTIF(Entradas!$A$14:$A$17,A246)&gt;0,"sí","")</f>
        <v/>
      </c>
      <c r="S246" s="11" t="str">
        <f t="shared" si="19"/>
        <v>46299|Principal|DEMOACC|Casa B</v>
      </c>
    </row>
    <row r="247" spans="1:19" x14ac:dyDescent="0.3">
      <c r="A247" s="20">
        <v>46299</v>
      </c>
      <c r="B247" s="21" t="s">
        <v>94</v>
      </c>
      <c r="C247" s="21" t="s">
        <v>126</v>
      </c>
      <c r="D247" s="21" t="s">
        <v>113</v>
      </c>
      <c r="E247" s="11" t="str">
        <f t="shared" si="15"/>
        <v>Principal|DEMOETF|Casa B</v>
      </c>
      <c r="F247" s="11" t="str">
        <f>INDEX(Entradas!$C$40:$C$46,MATCH(C247,Entradas!$A$40:$A$46,0))</f>
        <v>etf</v>
      </c>
      <c r="G247" s="15" t="str">
        <f>IF(F247="cetes",INDEX(Entradas!$F$40:$F$46,MATCH(C247,Entradas!$A$40:$A$46,0)),"")</f>
        <v/>
      </c>
      <c r="H247" s="17" t="str">
        <f>IF(F247="cetes",INDEX(Entradas!$G$40:$G$46,MATCH(C247,Entradas!$A$40:$A$46,0)),"")</f>
        <v/>
      </c>
      <c r="I247" s="14">
        <f>IF(F247="cetes",IF(A247&gt;=G247,0,SUMIFS(Transacciones!$N$5:$N$20,Transacciones!$T$5:$T$20,E247,Transacciones!$F$5:$F$20,"&lt;="&amp;A247)),SUMIFS(Transacciones!$N$5:$N$20,Transacciones!$T$5:$T$20,E247,Transacciones!$F$5:$F$20,"&lt;="&amp;A247))</f>
        <v>40</v>
      </c>
      <c r="J247" s="14">
        <f>_xlfn.MAXIFS(Transacciones!$U$5:$U$20,Transacciones!$T$5:$T$20,E247,Transacciones!$F$5:$F$20,"&lt;="&amp;A247)</f>
        <v>46290512</v>
      </c>
      <c r="K247" s="18">
        <f>IF(I247=0,0,INDEX(Transacciones!$Z$5:$Z$20,MATCH(J247,Transacciones!$U$5:$U$20,0)))</f>
        <v>49.386499999999998</v>
      </c>
      <c r="L247" s="17">
        <f t="shared" si="16"/>
        <v>1975.46</v>
      </c>
      <c r="M247" s="15">
        <f>IF(F247="cetes",IF(COUNTIFS(CETES!$A$5:$A$95,A247,CETES!$B$5:$B$95,C247)=0,"",A247),SUMIFS(Precios!$K$5:$K$109,Precios!$I$5:$I$109,A247,Precios!$J$5:$J$109,C247))</f>
        <v>46297</v>
      </c>
      <c r="N247" s="18">
        <f>IF(F247="cetes",IF(COUNTIFS(CETES!$A$5:$A$95,A247,CETES!$B$5:$B$95,C247)=0,"",SUMIFS(CETES!$AF$5:$AF$95,CETES!$A$5:$A$95,A247,CETES!$B$5:$B$95,C247)),SUMIFS(Precios!$L$5:$L$109,Precios!$I$5:$I$109,A247,Precios!$J$5:$J$109,C247))</f>
        <v>50.58</v>
      </c>
      <c r="O247" s="17">
        <f t="shared" si="17"/>
        <v>2023.1999999999998</v>
      </c>
      <c r="P247" s="17">
        <f t="shared" si="18"/>
        <v>47.739999999999782</v>
      </c>
      <c r="Q247" s="17">
        <f>IF(F247="cetes",IF(A247=G247,SUMIFS(Transacciones!$N$5:$N$20,Transacciones!$T$5:$T$20,E247,Transacciones!$F$5:$F$20,"&lt;"&amp;A247)*H247,0),0)</f>
        <v>0</v>
      </c>
      <c r="R247" s="11" t="str">
        <f>IF(COUNTIF(Entradas!$A$14:$A$17,A247)&gt;0,"sí","")</f>
        <v/>
      </c>
      <c r="S247" s="11" t="str">
        <f t="shared" si="19"/>
        <v>46299|Principal|DEMOETF|Casa B</v>
      </c>
    </row>
    <row r="248" spans="1:19" x14ac:dyDescent="0.3">
      <c r="A248" s="20">
        <v>46299</v>
      </c>
      <c r="B248" s="21" t="s">
        <v>94</v>
      </c>
      <c r="C248" s="21" t="s">
        <v>129</v>
      </c>
      <c r="D248" s="21" t="s">
        <v>112</v>
      </c>
      <c r="E248" s="11" t="str">
        <f t="shared" si="15"/>
        <v>Principal|DEMOFIB|Casa A</v>
      </c>
      <c r="F248" s="11" t="str">
        <f>INDEX(Entradas!$C$40:$C$46,MATCH(C248,Entradas!$A$40:$A$46,0))</f>
        <v>fibra</v>
      </c>
      <c r="G248" s="15" t="str">
        <f>IF(F248="cetes",INDEX(Entradas!$F$40:$F$46,MATCH(C248,Entradas!$A$40:$A$46,0)),"")</f>
        <v/>
      </c>
      <c r="H248" s="17" t="str">
        <f>IF(F248="cetes",INDEX(Entradas!$G$40:$G$46,MATCH(C248,Entradas!$A$40:$A$46,0)),"")</f>
        <v/>
      </c>
      <c r="I248" s="14">
        <f>IF(F248="cetes",IF(A248&gt;=G248,0,SUMIFS(Transacciones!$N$5:$N$20,Transacciones!$T$5:$T$20,E248,Transacciones!$F$5:$F$20,"&lt;="&amp;A248)),SUMIFS(Transacciones!$N$5:$N$20,Transacciones!$T$5:$T$20,E248,Transacciones!$F$5:$F$20,"&lt;="&amp;A248))</f>
        <v>0</v>
      </c>
      <c r="J248" s="14">
        <f>_xlfn.MAXIFS(Transacciones!$U$5:$U$20,Transacciones!$T$5:$T$20,E248,Transacciones!$F$5:$F$20,"&lt;="&amp;A248)</f>
        <v>46287510</v>
      </c>
      <c r="K248" s="18">
        <f>IF(I248=0,0,INDEX(Transacciones!$Z$5:$Z$20,MATCH(J248,Transacciones!$U$5:$U$20,0)))</f>
        <v>0</v>
      </c>
      <c r="L248" s="17">
        <f t="shared" si="16"/>
        <v>0</v>
      </c>
      <c r="M248" s="15">
        <f>IF(F248="cetes",IF(COUNTIFS(CETES!$A$5:$A$95,A248,CETES!$B$5:$B$95,C248)=0,"",A248),SUMIFS(Precios!$K$5:$K$109,Precios!$I$5:$I$109,A248,Precios!$J$5:$J$109,C248))</f>
        <v>46297</v>
      </c>
      <c r="N248" s="18">
        <f>IF(F248="cetes",IF(COUNTIFS(CETES!$A$5:$A$95,A248,CETES!$B$5:$B$95,C248)=0,"",SUMIFS(CETES!$AF$5:$AF$95,CETES!$A$5:$A$95,A248,CETES!$B$5:$B$95,C248)),SUMIFS(Precios!$L$5:$L$109,Precios!$I$5:$I$109,A248,Precios!$J$5:$J$109,C248))</f>
        <v>24.612500000000001</v>
      </c>
      <c r="O248" s="17">
        <f t="shared" si="17"/>
        <v>0</v>
      </c>
      <c r="P248" s="17">
        <f t="shared" si="18"/>
        <v>0</v>
      </c>
      <c r="Q248" s="17">
        <f>IF(F248="cetes",IF(A248=G248,SUMIFS(Transacciones!$N$5:$N$20,Transacciones!$T$5:$T$20,E248,Transacciones!$F$5:$F$20,"&lt;"&amp;A248)*H248,0),0)</f>
        <v>0</v>
      </c>
      <c r="R248" s="11" t="str">
        <f>IF(COUNTIF(Entradas!$A$14:$A$17,A248)&gt;0,"sí","")</f>
        <v/>
      </c>
      <c r="S248" s="11" t="str">
        <f t="shared" si="19"/>
        <v>46299|Principal|DEMOFIB|Casa A</v>
      </c>
    </row>
    <row r="249" spans="1:19" x14ac:dyDescent="0.3">
      <c r="A249" s="20">
        <v>46299</v>
      </c>
      <c r="B249" s="21" t="s">
        <v>94</v>
      </c>
      <c r="C249" s="21" t="s">
        <v>132</v>
      </c>
      <c r="D249" s="21" t="s">
        <v>112</v>
      </c>
      <c r="E249" s="11" t="str">
        <f t="shared" si="15"/>
        <v>Principal|BI261008|Casa A</v>
      </c>
      <c r="F249" s="11" t="str">
        <f>INDEX(Entradas!$C$40:$C$46,MATCH(C249,Entradas!$A$40:$A$46,0))</f>
        <v>cetes</v>
      </c>
      <c r="G249" s="15">
        <f>IF(F249="cetes",INDEX(Entradas!$F$40:$F$46,MATCH(C249,Entradas!$A$40:$A$46,0)),"")</f>
        <v>46303</v>
      </c>
      <c r="H249" s="17">
        <f>IF(F249="cetes",INDEX(Entradas!$G$40:$G$46,MATCH(C249,Entradas!$A$40:$A$46,0)),"")</f>
        <v>10</v>
      </c>
      <c r="I249" s="14">
        <f>IF(F249="cetes",IF(A249&gt;=G249,0,SUMIFS(Transacciones!$N$5:$N$20,Transacciones!$T$5:$T$20,E249,Transacciones!$F$5:$F$20,"&lt;="&amp;A249)),SUMIFS(Transacciones!$N$5:$N$20,Transacciones!$T$5:$T$20,E249,Transacciones!$F$5:$F$20,"&lt;="&amp;A249))</f>
        <v>1000</v>
      </c>
      <c r="J249" s="14">
        <f>_xlfn.MAXIFS(Transacciones!$U$5:$U$20,Transacciones!$T$5:$T$20,E249,Transacciones!$F$5:$F$20,"&lt;="&amp;A249)</f>
        <v>46296513</v>
      </c>
      <c r="K249" s="18">
        <f>IF(I249=0,0,INDEX(Transacciones!$Z$5:$Z$20,MATCH(J249,Transacciones!$U$5:$U$20,0)))</f>
        <v>9.9516240000000007</v>
      </c>
      <c r="L249" s="17">
        <f t="shared" si="16"/>
        <v>9951.6239999999998</v>
      </c>
      <c r="M249" s="15">
        <f>IF(F249="cetes",IF(COUNTIFS(CETES!$A$5:$A$95,A249,CETES!$B$5:$B$95,C249)=0,"",A249),SUMIFS(Precios!$K$5:$K$109,Precios!$I$5:$I$109,A249,Precios!$J$5:$J$109,C249))</f>
        <v>46299</v>
      </c>
      <c r="N249" s="18">
        <f>IF(F249="cetes",IF(COUNTIFS(CETES!$A$5:$A$95,A249,CETES!$B$5:$B$95,C249)=0,"",SUMIFS(CETES!$AF$5:$AF$95,CETES!$A$5:$A$95,A249,CETES!$B$5:$B$95,C249)),SUMIFS(Precios!$L$5:$L$109,Precios!$I$5:$I$109,A249,Precios!$J$5:$J$109,C249))</f>
        <v>9.9933267000000008</v>
      </c>
      <c r="O249" s="17">
        <f t="shared" si="17"/>
        <v>9993.3267000000014</v>
      </c>
      <c r="P249" s="17">
        <f t="shared" si="18"/>
        <v>41.702700000001641</v>
      </c>
      <c r="Q249" s="17">
        <f>IF(F249="cetes",IF(A249=G249,SUMIFS(Transacciones!$N$5:$N$20,Transacciones!$T$5:$T$20,E249,Transacciones!$F$5:$F$20,"&lt;"&amp;A249)*H249,0),0)</f>
        <v>0</v>
      </c>
      <c r="R249" s="11" t="str">
        <f>IF(COUNTIF(Entradas!$A$14:$A$17,A249)&gt;0,"sí","")</f>
        <v/>
      </c>
      <c r="S249" s="11" t="str">
        <f t="shared" si="19"/>
        <v>46299|Principal|BI261008|Casa A</v>
      </c>
    </row>
    <row r="250" spans="1:19" x14ac:dyDescent="0.3">
      <c r="A250" s="20">
        <v>46299</v>
      </c>
      <c r="B250" s="21" t="s">
        <v>94</v>
      </c>
      <c r="C250" s="21" t="s">
        <v>132</v>
      </c>
      <c r="D250" s="21" t="s">
        <v>113</v>
      </c>
      <c r="E250" s="11" t="str">
        <f t="shared" si="15"/>
        <v>Principal|BI261008|Casa B</v>
      </c>
      <c r="F250" s="11" t="str">
        <f>INDEX(Entradas!$C$40:$C$46,MATCH(C250,Entradas!$A$40:$A$46,0))</f>
        <v>cetes</v>
      </c>
      <c r="G250" s="15">
        <f>IF(F250="cetes",INDEX(Entradas!$F$40:$F$46,MATCH(C250,Entradas!$A$40:$A$46,0)),"")</f>
        <v>46303</v>
      </c>
      <c r="H250" s="17">
        <f>IF(F250="cetes",INDEX(Entradas!$G$40:$G$46,MATCH(C250,Entradas!$A$40:$A$46,0)),"")</f>
        <v>10</v>
      </c>
      <c r="I250" s="14">
        <f>IF(F250="cetes",IF(A250&gt;=G250,0,SUMIFS(Transacciones!$N$5:$N$20,Transacciones!$T$5:$T$20,E250,Transacciones!$F$5:$F$20,"&lt;="&amp;A250)),SUMIFS(Transacciones!$N$5:$N$20,Transacciones!$T$5:$T$20,E250,Transacciones!$F$5:$F$20,"&lt;="&amp;A250))</f>
        <v>1000</v>
      </c>
      <c r="J250" s="14">
        <f>_xlfn.MAXIFS(Transacciones!$U$5:$U$20,Transacciones!$T$5:$T$20,E250,Transacciones!$F$5:$F$20,"&lt;="&amp;A250)</f>
        <v>46275004</v>
      </c>
      <c r="K250" s="18">
        <f>IF(I250=0,0,INDEX(Transacciones!$Z$5:$Z$20,MATCH(J250,Transacciones!$U$5:$U$20,0)))</f>
        <v>9.9516239999999989</v>
      </c>
      <c r="L250" s="17">
        <f t="shared" si="16"/>
        <v>9951.6239999999998</v>
      </c>
      <c r="M250" s="15">
        <f>IF(F250="cetes",IF(COUNTIFS(CETES!$A$5:$A$95,A250,CETES!$B$5:$B$95,C250)=0,"",A250),SUMIFS(Precios!$K$5:$K$109,Precios!$I$5:$I$109,A250,Precios!$J$5:$J$109,C250))</f>
        <v>46299</v>
      </c>
      <c r="N250" s="18">
        <f>IF(F250="cetes",IF(COUNTIFS(CETES!$A$5:$A$95,A250,CETES!$B$5:$B$95,C250)=0,"",SUMIFS(CETES!$AF$5:$AF$95,CETES!$A$5:$A$95,A250,CETES!$B$5:$B$95,C250)),SUMIFS(Precios!$L$5:$L$109,Precios!$I$5:$I$109,A250,Precios!$J$5:$J$109,C250))</f>
        <v>9.9933267000000008</v>
      </c>
      <c r="O250" s="17">
        <f t="shared" si="17"/>
        <v>9993.3267000000014</v>
      </c>
      <c r="P250" s="17">
        <f t="shared" si="18"/>
        <v>41.702700000001641</v>
      </c>
      <c r="Q250" s="17">
        <f>IF(F250="cetes",IF(A250=G250,SUMIFS(Transacciones!$N$5:$N$20,Transacciones!$T$5:$T$20,E250,Transacciones!$F$5:$F$20,"&lt;"&amp;A250)*H250,0),0)</f>
        <v>0</v>
      </c>
      <c r="R250" s="11" t="str">
        <f>IF(COUNTIF(Entradas!$A$14:$A$17,A250)&gt;0,"sí","")</f>
        <v/>
      </c>
      <c r="S250" s="11" t="str">
        <f t="shared" si="19"/>
        <v>46299|Principal|BI261008|Casa B</v>
      </c>
    </row>
    <row r="251" spans="1:19" x14ac:dyDescent="0.3">
      <c r="A251" s="20">
        <v>46299</v>
      </c>
      <c r="B251" s="21" t="s">
        <v>94</v>
      </c>
      <c r="C251" s="21" t="s">
        <v>135</v>
      </c>
      <c r="D251" s="21" t="s">
        <v>113</v>
      </c>
      <c r="E251" s="11" t="str">
        <f t="shared" si="15"/>
        <v>Principal|BI261105|Casa B</v>
      </c>
      <c r="F251" s="11" t="str">
        <f>INDEX(Entradas!$C$40:$C$46,MATCH(C251,Entradas!$A$40:$A$46,0))</f>
        <v>cetes</v>
      </c>
      <c r="G251" s="15">
        <f>IF(F251="cetes",INDEX(Entradas!$F$40:$F$46,MATCH(C251,Entradas!$A$40:$A$46,0)),"")</f>
        <v>46331</v>
      </c>
      <c r="H251" s="17">
        <f>IF(F251="cetes",INDEX(Entradas!$G$40:$G$46,MATCH(C251,Entradas!$A$40:$A$46,0)),"")</f>
        <v>10</v>
      </c>
      <c r="I251" s="14">
        <f>IF(F251="cetes",IF(A251&gt;=G251,0,SUMIFS(Transacciones!$N$5:$N$20,Transacciones!$T$5:$T$20,E251,Transacciones!$F$5:$F$20,"&lt;="&amp;A251)),SUMIFS(Transacciones!$N$5:$N$20,Transacciones!$T$5:$T$20,E251,Transacciones!$F$5:$F$20,"&lt;="&amp;A251))</f>
        <v>0</v>
      </c>
      <c r="J251" s="14">
        <f>_xlfn.MAXIFS(Transacciones!$U$5:$U$20,Transacciones!$T$5:$T$20,E251,Transacciones!$F$5:$F$20,"&lt;="&amp;A251)</f>
        <v>0</v>
      </c>
      <c r="K251" s="18">
        <f>IF(I251=0,0,INDEX(Transacciones!$Z$5:$Z$20,MATCH(J251,Transacciones!$U$5:$U$20,0)))</f>
        <v>0</v>
      </c>
      <c r="L251" s="17">
        <f t="shared" si="16"/>
        <v>0</v>
      </c>
      <c r="M251" s="15" t="str">
        <f>IF(F251="cetes",IF(COUNTIFS(CETES!$A$5:$A$95,A251,CETES!$B$5:$B$95,C251)=0,"",A251),SUMIFS(Precios!$K$5:$K$109,Precios!$I$5:$I$109,A251,Precios!$J$5:$J$109,C251))</f>
        <v/>
      </c>
      <c r="N251" s="18" t="str">
        <f>IF(F251="cetes",IF(COUNTIFS(CETES!$A$5:$A$95,A251,CETES!$B$5:$B$95,C251)=0,"",SUMIFS(CETES!$AF$5:$AF$95,CETES!$A$5:$A$95,A251,CETES!$B$5:$B$95,C251)),SUMIFS(Precios!$L$5:$L$109,Precios!$I$5:$I$109,A251,Precios!$J$5:$J$109,C251))</f>
        <v/>
      </c>
      <c r="O251" s="17">
        <f t="shared" si="17"/>
        <v>0</v>
      </c>
      <c r="P251" s="17">
        <f t="shared" si="18"/>
        <v>0</v>
      </c>
      <c r="Q251" s="17">
        <f>IF(F251="cetes",IF(A251=G251,SUMIFS(Transacciones!$N$5:$N$20,Transacciones!$T$5:$T$20,E251,Transacciones!$F$5:$F$20,"&lt;"&amp;A251)*H251,0),0)</f>
        <v>0</v>
      </c>
      <c r="R251" s="11" t="str">
        <f>IF(COUNTIF(Entradas!$A$14:$A$17,A251)&gt;0,"sí","")</f>
        <v/>
      </c>
      <c r="S251" s="11" t="str">
        <f t="shared" si="19"/>
        <v>46299|Principal|BI261105|Casa B</v>
      </c>
    </row>
    <row r="252" spans="1:19" x14ac:dyDescent="0.3">
      <c r="A252" s="20">
        <v>46299</v>
      </c>
      <c r="B252" s="21" t="s">
        <v>94</v>
      </c>
      <c r="C252" s="21" t="s">
        <v>137</v>
      </c>
      <c r="D252" s="21" t="s">
        <v>112</v>
      </c>
      <c r="E252" s="11" t="str">
        <f t="shared" si="15"/>
        <v>Principal|BI261217|Casa A</v>
      </c>
      <c r="F252" s="11" t="str">
        <f>INDEX(Entradas!$C$40:$C$46,MATCH(C252,Entradas!$A$40:$A$46,0))</f>
        <v>cetes</v>
      </c>
      <c r="G252" s="15">
        <f>IF(F252="cetes",INDEX(Entradas!$F$40:$F$46,MATCH(C252,Entradas!$A$40:$A$46,0)),"")</f>
        <v>46373</v>
      </c>
      <c r="H252" s="17">
        <f>IF(F252="cetes",INDEX(Entradas!$G$40:$G$46,MATCH(C252,Entradas!$A$40:$A$46,0)),"")</f>
        <v>10</v>
      </c>
      <c r="I252" s="14">
        <f>IF(F252="cetes",IF(A252&gt;=G252,0,SUMIFS(Transacciones!$N$5:$N$20,Transacciones!$T$5:$T$20,E252,Transacciones!$F$5:$F$20,"&lt;="&amp;A252)),SUMIFS(Transacciones!$N$5:$N$20,Transacciones!$T$5:$T$20,E252,Transacciones!$F$5:$F$20,"&lt;="&amp;A252))</f>
        <v>1000</v>
      </c>
      <c r="J252" s="14">
        <f>_xlfn.MAXIFS(Transacciones!$U$5:$U$20,Transacciones!$T$5:$T$20,E252,Transacciones!$F$5:$F$20,"&lt;="&amp;A252)</f>
        <v>46282008</v>
      </c>
      <c r="K252" s="18">
        <f>IF(I252=0,0,INDEX(Transacciones!$Z$5:$Z$20,MATCH(J252,Transacciones!$U$5:$U$20,0)))</f>
        <v>9.8344372</v>
      </c>
      <c r="L252" s="17">
        <f t="shared" si="16"/>
        <v>9834.4372000000003</v>
      </c>
      <c r="M252" s="15">
        <f>IF(F252="cetes",IF(COUNTIFS(CETES!$A$5:$A$95,A252,CETES!$B$5:$B$95,C252)=0,"",A252),SUMIFS(Precios!$K$5:$K$109,Precios!$I$5:$I$109,A252,Precios!$J$5:$J$109,C252))</f>
        <v>46299</v>
      </c>
      <c r="N252" s="18">
        <f>IF(F252="cetes",IF(COUNTIFS(CETES!$A$5:$A$95,A252,CETES!$B$5:$B$95,C252)=0,"",SUMIFS(CETES!$AF$5:$AF$95,CETES!$A$5:$A$95,A252,CETES!$B$5:$B$95,C252)),SUMIFS(Precios!$L$5:$L$109,Precios!$I$5:$I$109,A252,Precios!$J$5:$J$109,C252))</f>
        <v>9.8674356999999997</v>
      </c>
      <c r="O252" s="17">
        <f t="shared" si="17"/>
        <v>9867.4357</v>
      </c>
      <c r="P252" s="17">
        <f t="shared" si="18"/>
        <v>32.998499999999694</v>
      </c>
      <c r="Q252" s="17">
        <f>IF(F252="cetes",IF(A252=G252,SUMIFS(Transacciones!$N$5:$N$20,Transacciones!$T$5:$T$20,E252,Transacciones!$F$5:$F$20,"&lt;"&amp;A252)*H252,0),0)</f>
        <v>0</v>
      </c>
      <c r="R252" s="11" t="str">
        <f>IF(COUNTIF(Entradas!$A$14:$A$17,A252)&gt;0,"sí","")</f>
        <v/>
      </c>
      <c r="S252" s="11" t="str">
        <f t="shared" si="19"/>
        <v>46299|Principal|BI261217|Casa A</v>
      </c>
    </row>
    <row r="253" spans="1:19" x14ac:dyDescent="0.3">
      <c r="A253" s="20">
        <v>46299</v>
      </c>
      <c r="B253" s="21" t="s">
        <v>94</v>
      </c>
      <c r="C253" s="21" t="s">
        <v>139</v>
      </c>
      <c r="D253" s="21" t="s">
        <v>113</v>
      </c>
      <c r="E253" s="11" t="str">
        <f t="shared" si="15"/>
        <v>Principal|BI270318|Casa B</v>
      </c>
      <c r="F253" s="11" t="str">
        <f>INDEX(Entradas!$C$40:$C$46,MATCH(C253,Entradas!$A$40:$A$46,0))</f>
        <v>cetes</v>
      </c>
      <c r="G253" s="15">
        <f>IF(F253="cetes",INDEX(Entradas!$F$40:$F$46,MATCH(C253,Entradas!$A$40:$A$46,0)),"")</f>
        <v>46464</v>
      </c>
      <c r="H253" s="17">
        <f>IF(F253="cetes",INDEX(Entradas!$G$40:$G$46,MATCH(C253,Entradas!$A$40:$A$46,0)),"")</f>
        <v>10</v>
      </c>
      <c r="I253" s="14">
        <f>IF(F253="cetes",IF(A253&gt;=G253,0,SUMIFS(Transacciones!$N$5:$N$20,Transacciones!$T$5:$T$20,E253,Transacciones!$F$5:$F$20,"&lt;="&amp;A253)),SUMIFS(Transacciones!$N$5:$N$20,Transacciones!$T$5:$T$20,E253,Transacciones!$F$5:$F$20,"&lt;="&amp;A253))</f>
        <v>500</v>
      </c>
      <c r="J253" s="14">
        <f>_xlfn.MAXIFS(Transacciones!$U$5:$U$20,Transacciones!$T$5:$T$20,E253,Transacciones!$F$5:$F$20,"&lt;="&amp;A253)</f>
        <v>46282009</v>
      </c>
      <c r="K253" s="18">
        <f>IF(I253=0,0,INDEX(Transacciones!$Z$5:$Z$20,MATCH(J253,Transacciones!$U$5:$U$20,0)))</f>
        <v>9.6629249999999995</v>
      </c>
      <c r="L253" s="17">
        <f t="shared" si="16"/>
        <v>4831.4624999999996</v>
      </c>
      <c r="M253" s="15">
        <f>IF(F253="cetes",IF(COUNTIFS(CETES!$A$5:$A$95,A253,CETES!$B$5:$B$95,C253)=0,"",A253),SUMIFS(Precios!$K$5:$K$109,Precios!$I$5:$I$109,A253,Precios!$J$5:$J$109,C253))</f>
        <v>46299</v>
      </c>
      <c r="N253" s="18">
        <f>IF(F253="cetes",IF(COUNTIFS(CETES!$A$5:$A$95,A253,CETES!$B$5:$B$95,C253)=0,"",SUMIFS(CETES!$AF$5:$AF$95,CETES!$A$5:$A$95,A253,CETES!$B$5:$B$95,C253)),SUMIFS(Precios!$L$5:$L$109,Precios!$I$5:$I$109,A253,Precios!$J$5:$J$109,C253))</f>
        <v>9.6909607999999992</v>
      </c>
      <c r="O253" s="17">
        <f t="shared" si="17"/>
        <v>4845.4803999999995</v>
      </c>
      <c r="P253" s="17">
        <f t="shared" si="18"/>
        <v>14.017899999999827</v>
      </c>
      <c r="Q253" s="17">
        <f>IF(F253="cetes",IF(A253=G253,SUMIFS(Transacciones!$N$5:$N$20,Transacciones!$T$5:$T$20,E253,Transacciones!$F$5:$F$20,"&lt;"&amp;A253)*H253,0),0)</f>
        <v>0</v>
      </c>
      <c r="R253" s="11" t="str">
        <f>IF(COUNTIF(Entradas!$A$14:$A$17,A253)&gt;0,"sí","")</f>
        <v/>
      </c>
      <c r="S253" s="11" t="str">
        <f t="shared" si="19"/>
        <v>46299|Principal|BI270318|Casa B</v>
      </c>
    </row>
    <row r="254" spans="1:19" x14ac:dyDescent="0.3">
      <c r="A254" s="20">
        <v>46299</v>
      </c>
      <c r="B254" s="21" t="s">
        <v>103</v>
      </c>
      <c r="C254" s="21" t="s">
        <v>123</v>
      </c>
      <c r="D254" s="21" t="s">
        <v>112</v>
      </c>
      <c r="E254" s="11" t="str">
        <f t="shared" si="15"/>
        <v>Secundario|DEMOACC|Casa A</v>
      </c>
      <c r="F254" s="11" t="str">
        <f>INDEX(Entradas!$C$40:$C$46,MATCH(C254,Entradas!$A$40:$A$46,0))</f>
        <v>accion</v>
      </c>
      <c r="G254" s="15" t="str">
        <f>IF(F254="cetes",INDEX(Entradas!$F$40:$F$46,MATCH(C254,Entradas!$A$40:$A$46,0)),"")</f>
        <v/>
      </c>
      <c r="H254" s="17" t="str">
        <f>IF(F254="cetes",INDEX(Entradas!$G$40:$G$46,MATCH(C254,Entradas!$A$40:$A$46,0)),"")</f>
        <v/>
      </c>
      <c r="I254" s="14">
        <f>IF(F254="cetes",IF(A254&gt;=G254,0,SUMIFS(Transacciones!$N$5:$N$20,Transacciones!$T$5:$T$20,E254,Transacciones!$F$5:$F$20,"&lt;="&amp;A254)),SUMIFS(Transacciones!$N$5:$N$20,Transacciones!$T$5:$T$20,E254,Transacciones!$F$5:$F$20,"&lt;="&amp;A254))</f>
        <v>150</v>
      </c>
      <c r="J254" s="14">
        <f>_xlfn.MAXIFS(Transacciones!$U$5:$U$20,Transacciones!$T$5:$T$20,E254,Transacciones!$F$5:$F$20,"&lt;="&amp;A254)</f>
        <v>46279007</v>
      </c>
      <c r="K254" s="18">
        <f>IF(I254=0,0,INDEX(Transacciones!$Z$5:$Z$20,MATCH(J254,Transacciones!$U$5:$U$20,0)))</f>
        <v>103.90046666666666</v>
      </c>
      <c r="L254" s="17">
        <f t="shared" si="16"/>
        <v>15585.07</v>
      </c>
      <c r="M254" s="15">
        <f>IF(F254="cetes",IF(COUNTIFS(CETES!$A$5:$A$95,A254,CETES!$B$5:$B$95,C254)=0,"",A254),SUMIFS(Precios!$K$5:$K$109,Precios!$I$5:$I$109,A254,Precios!$J$5:$J$109,C254))</f>
        <v>46297</v>
      </c>
      <c r="N254" s="18">
        <f>IF(F254="cetes",IF(COUNTIFS(CETES!$A$5:$A$95,A254,CETES!$B$5:$B$95,C254)=0,"",SUMIFS(CETES!$AF$5:$AF$95,CETES!$A$5:$A$95,A254,CETES!$B$5:$B$95,C254)),SUMIFS(Precios!$L$5:$L$109,Precios!$I$5:$I$109,A254,Precios!$J$5:$J$109,C254))</f>
        <v>103.9</v>
      </c>
      <c r="O254" s="17">
        <f t="shared" si="17"/>
        <v>15585</v>
      </c>
      <c r="P254" s="17">
        <f t="shared" si="18"/>
        <v>-6.9999999999708962E-2</v>
      </c>
      <c r="Q254" s="17">
        <f>IF(F254="cetes",IF(A254=G254,SUMIFS(Transacciones!$N$5:$N$20,Transacciones!$T$5:$T$20,E254,Transacciones!$F$5:$F$20,"&lt;"&amp;A254)*H254,0),0)</f>
        <v>0</v>
      </c>
      <c r="R254" s="11" t="str">
        <f>IF(COUNTIF(Entradas!$A$14:$A$17,A254)&gt;0,"sí","")</f>
        <v/>
      </c>
      <c r="S254" s="11" t="str">
        <f t="shared" si="19"/>
        <v>46299|Secundario|DEMOACC|Casa A</v>
      </c>
    </row>
    <row r="255" spans="1:19" x14ac:dyDescent="0.3">
      <c r="A255" s="20">
        <v>46300</v>
      </c>
      <c r="B255" s="21" t="s">
        <v>94</v>
      </c>
      <c r="C255" s="21" t="s">
        <v>123</v>
      </c>
      <c r="D255" s="21" t="s">
        <v>112</v>
      </c>
      <c r="E255" s="11" t="str">
        <f t="shared" si="15"/>
        <v>Principal|DEMOACC|Casa A</v>
      </c>
      <c r="F255" s="11" t="str">
        <f>INDEX(Entradas!$C$40:$C$46,MATCH(C255,Entradas!$A$40:$A$46,0))</f>
        <v>accion</v>
      </c>
      <c r="G255" s="15" t="str">
        <f>IF(F255="cetes",INDEX(Entradas!$F$40:$F$46,MATCH(C255,Entradas!$A$40:$A$46,0)),"")</f>
        <v/>
      </c>
      <c r="H255" s="17" t="str">
        <f>IF(F255="cetes",INDEX(Entradas!$G$40:$G$46,MATCH(C255,Entradas!$A$40:$A$46,0)),"")</f>
        <v/>
      </c>
      <c r="I255" s="14">
        <f>IF(F255="cetes",IF(A255&gt;=G255,0,SUMIFS(Transacciones!$N$5:$N$20,Transacciones!$T$5:$T$20,E255,Transacciones!$F$5:$F$20,"&lt;="&amp;A255)),SUMIFS(Transacciones!$N$5:$N$20,Transacciones!$T$5:$T$20,E255,Transacciones!$F$5:$F$20,"&lt;="&amp;A255))</f>
        <v>120</v>
      </c>
      <c r="J255" s="14">
        <f>_xlfn.MAXIFS(Transacciones!$U$5:$U$20,Transacciones!$T$5:$T$20,E255,Transacciones!$F$5:$F$20,"&lt;="&amp;A255)</f>
        <v>46297514</v>
      </c>
      <c r="K255" s="18">
        <f>IF(I255=0,0,INDEX(Transacciones!$Z$5:$Z$20,MATCH(J255,Transacciones!$U$5:$U$20,0)))</f>
        <v>100.23985</v>
      </c>
      <c r="L255" s="17">
        <f t="shared" si="16"/>
        <v>12028.782000000001</v>
      </c>
      <c r="M255" s="15">
        <f>IF(F255="cetes",IF(COUNTIFS(CETES!$A$5:$A$95,A255,CETES!$B$5:$B$95,C255)=0,"",A255),SUMIFS(Precios!$K$5:$K$109,Precios!$I$5:$I$109,A255,Precios!$J$5:$J$109,C255))</f>
        <v>46300</v>
      </c>
      <c r="N255" s="18">
        <f>IF(F255="cetes",IF(COUNTIFS(CETES!$A$5:$A$95,A255,CETES!$B$5:$B$95,C255)=0,"",SUMIFS(CETES!$AF$5:$AF$95,CETES!$A$5:$A$95,A255,CETES!$B$5:$B$95,C255)),SUMIFS(Precios!$L$5:$L$109,Precios!$I$5:$I$109,A255,Precios!$J$5:$J$109,C255))</f>
        <v>101.65</v>
      </c>
      <c r="O255" s="17">
        <f t="shared" si="17"/>
        <v>12198</v>
      </c>
      <c r="P255" s="17">
        <f t="shared" si="18"/>
        <v>169.21799999999894</v>
      </c>
      <c r="Q255" s="17">
        <f>IF(F255="cetes",IF(A255=G255,SUMIFS(Transacciones!$N$5:$N$20,Transacciones!$T$5:$T$20,E255,Transacciones!$F$5:$F$20,"&lt;"&amp;A255)*H255,0),0)</f>
        <v>0</v>
      </c>
      <c r="R255" s="11" t="str">
        <f>IF(COUNTIF(Entradas!$A$14:$A$17,A255)&gt;0,"sí","")</f>
        <v/>
      </c>
      <c r="S255" s="11" t="str">
        <f t="shared" si="19"/>
        <v>46300|Principal|DEMOACC|Casa A</v>
      </c>
    </row>
    <row r="256" spans="1:19" x14ac:dyDescent="0.3">
      <c r="A256" s="20">
        <v>46300</v>
      </c>
      <c r="B256" s="21" t="s">
        <v>94</v>
      </c>
      <c r="C256" s="21" t="s">
        <v>123</v>
      </c>
      <c r="D256" s="21" t="s">
        <v>113</v>
      </c>
      <c r="E256" s="11" t="str">
        <f t="shared" si="15"/>
        <v>Principal|DEMOACC|Casa B</v>
      </c>
      <c r="F256" s="11" t="str">
        <f>INDEX(Entradas!$C$40:$C$46,MATCH(C256,Entradas!$A$40:$A$46,0))</f>
        <v>accion</v>
      </c>
      <c r="G256" s="15" t="str">
        <f>IF(F256="cetes",INDEX(Entradas!$F$40:$F$46,MATCH(C256,Entradas!$A$40:$A$46,0)),"")</f>
        <v/>
      </c>
      <c r="H256" s="17" t="str">
        <f>IF(F256="cetes",INDEX(Entradas!$G$40:$G$46,MATCH(C256,Entradas!$A$40:$A$46,0)),"")</f>
        <v/>
      </c>
      <c r="I256" s="14">
        <f>IF(F256="cetes",IF(A256&gt;=G256,0,SUMIFS(Transacciones!$N$5:$N$20,Transacciones!$T$5:$T$20,E256,Transacciones!$F$5:$F$20,"&lt;="&amp;A256)),SUMIFS(Transacciones!$N$5:$N$20,Transacciones!$T$5:$T$20,E256,Transacciones!$F$5:$F$20,"&lt;="&amp;A256))</f>
        <v>100</v>
      </c>
      <c r="J256" s="14">
        <f>_xlfn.MAXIFS(Transacciones!$U$5:$U$20,Transacciones!$T$5:$T$20,E256,Transacciones!$F$5:$F$20,"&lt;="&amp;A256)</f>
        <v>46279006</v>
      </c>
      <c r="K256" s="18">
        <f>IF(I256=0,0,INDEX(Transacciones!$Z$5:$Z$20,MATCH(J256,Transacciones!$U$5:$U$20,0)))</f>
        <v>103.399</v>
      </c>
      <c r="L256" s="17">
        <f t="shared" si="16"/>
        <v>10339.9</v>
      </c>
      <c r="M256" s="15">
        <f>IF(F256="cetes",IF(COUNTIFS(CETES!$A$5:$A$95,A256,CETES!$B$5:$B$95,C256)=0,"",A256),SUMIFS(Precios!$K$5:$K$109,Precios!$I$5:$I$109,A256,Precios!$J$5:$J$109,C256))</f>
        <v>46300</v>
      </c>
      <c r="N256" s="18">
        <f>IF(F256="cetes",IF(COUNTIFS(CETES!$A$5:$A$95,A256,CETES!$B$5:$B$95,C256)=0,"",SUMIFS(CETES!$AF$5:$AF$95,CETES!$A$5:$A$95,A256,CETES!$B$5:$B$95,C256)),SUMIFS(Precios!$L$5:$L$109,Precios!$I$5:$I$109,A256,Precios!$J$5:$J$109,C256))</f>
        <v>101.65</v>
      </c>
      <c r="O256" s="17">
        <f t="shared" si="17"/>
        <v>10165</v>
      </c>
      <c r="P256" s="17">
        <f t="shared" si="18"/>
        <v>-174.89999999999964</v>
      </c>
      <c r="Q256" s="17">
        <f>IF(F256="cetes",IF(A256=G256,SUMIFS(Transacciones!$N$5:$N$20,Transacciones!$T$5:$T$20,E256,Transacciones!$F$5:$F$20,"&lt;"&amp;A256)*H256,0),0)</f>
        <v>0</v>
      </c>
      <c r="R256" s="11" t="str">
        <f>IF(COUNTIF(Entradas!$A$14:$A$17,A256)&gt;0,"sí","")</f>
        <v/>
      </c>
      <c r="S256" s="11" t="str">
        <f t="shared" si="19"/>
        <v>46300|Principal|DEMOACC|Casa B</v>
      </c>
    </row>
    <row r="257" spans="1:19" x14ac:dyDescent="0.3">
      <c r="A257" s="20">
        <v>46300</v>
      </c>
      <c r="B257" s="21" t="s">
        <v>94</v>
      </c>
      <c r="C257" s="21" t="s">
        <v>126</v>
      </c>
      <c r="D257" s="21" t="s">
        <v>113</v>
      </c>
      <c r="E257" s="11" t="str">
        <f t="shared" si="15"/>
        <v>Principal|DEMOETF|Casa B</v>
      </c>
      <c r="F257" s="11" t="str">
        <f>INDEX(Entradas!$C$40:$C$46,MATCH(C257,Entradas!$A$40:$A$46,0))</f>
        <v>etf</v>
      </c>
      <c r="G257" s="15" t="str">
        <f>IF(F257="cetes",INDEX(Entradas!$F$40:$F$46,MATCH(C257,Entradas!$A$40:$A$46,0)),"")</f>
        <v/>
      </c>
      <c r="H257" s="17" t="str">
        <f>IF(F257="cetes",INDEX(Entradas!$G$40:$G$46,MATCH(C257,Entradas!$A$40:$A$46,0)),"")</f>
        <v/>
      </c>
      <c r="I257" s="14">
        <f>IF(F257="cetes",IF(A257&gt;=G257,0,SUMIFS(Transacciones!$N$5:$N$20,Transacciones!$T$5:$T$20,E257,Transacciones!$F$5:$F$20,"&lt;="&amp;A257)),SUMIFS(Transacciones!$N$5:$N$20,Transacciones!$T$5:$T$20,E257,Transacciones!$F$5:$F$20,"&lt;="&amp;A257))</f>
        <v>40</v>
      </c>
      <c r="J257" s="14">
        <f>_xlfn.MAXIFS(Transacciones!$U$5:$U$20,Transacciones!$T$5:$T$20,E257,Transacciones!$F$5:$F$20,"&lt;="&amp;A257)</f>
        <v>46290512</v>
      </c>
      <c r="K257" s="18">
        <f>IF(I257=0,0,INDEX(Transacciones!$Z$5:$Z$20,MATCH(J257,Transacciones!$U$5:$U$20,0)))</f>
        <v>49.386499999999998</v>
      </c>
      <c r="L257" s="17">
        <f t="shared" si="16"/>
        <v>1975.46</v>
      </c>
      <c r="M257" s="15">
        <f>IF(F257="cetes",IF(COUNTIFS(CETES!$A$5:$A$95,A257,CETES!$B$5:$B$95,C257)=0,"",A257),SUMIFS(Precios!$K$5:$K$109,Precios!$I$5:$I$109,A257,Precios!$J$5:$J$109,C257))</f>
        <v>46300</v>
      </c>
      <c r="N257" s="18">
        <f>IF(F257="cetes",IF(COUNTIFS(CETES!$A$5:$A$95,A257,CETES!$B$5:$B$95,C257)=0,"",SUMIFS(CETES!$AF$5:$AF$95,CETES!$A$5:$A$95,A257,CETES!$B$5:$B$95,C257)),SUMIFS(Precios!$L$5:$L$109,Precios!$I$5:$I$109,A257,Precios!$J$5:$J$109,C257))</f>
        <v>49.83</v>
      </c>
      <c r="O257" s="17">
        <f t="shared" si="17"/>
        <v>1993.1999999999998</v>
      </c>
      <c r="P257" s="17">
        <f t="shared" si="18"/>
        <v>17.739999999999782</v>
      </c>
      <c r="Q257" s="17">
        <f>IF(F257="cetes",IF(A257=G257,SUMIFS(Transacciones!$N$5:$N$20,Transacciones!$T$5:$T$20,E257,Transacciones!$F$5:$F$20,"&lt;"&amp;A257)*H257,0),0)</f>
        <v>0</v>
      </c>
      <c r="R257" s="11" t="str">
        <f>IF(COUNTIF(Entradas!$A$14:$A$17,A257)&gt;0,"sí","")</f>
        <v/>
      </c>
      <c r="S257" s="11" t="str">
        <f t="shared" si="19"/>
        <v>46300|Principal|DEMOETF|Casa B</v>
      </c>
    </row>
    <row r="258" spans="1:19" x14ac:dyDescent="0.3">
      <c r="A258" s="20">
        <v>46300</v>
      </c>
      <c r="B258" s="21" t="s">
        <v>94</v>
      </c>
      <c r="C258" s="21" t="s">
        <v>129</v>
      </c>
      <c r="D258" s="21" t="s">
        <v>112</v>
      </c>
      <c r="E258" s="11" t="str">
        <f t="shared" si="15"/>
        <v>Principal|DEMOFIB|Casa A</v>
      </c>
      <c r="F258" s="11" t="str">
        <f>INDEX(Entradas!$C$40:$C$46,MATCH(C258,Entradas!$A$40:$A$46,0))</f>
        <v>fibra</v>
      </c>
      <c r="G258" s="15" t="str">
        <f>IF(F258="cetes",INDEX(Entradas!$F$40:$F$46,MATCH(C258,Entradas!$A$40:$A$46,0)),"")</f>
        <v/>
      </c>
      <c r="H258" s="17" t="str">
        <f>IF(F258="cetes",INDEX(Entradas!$G$40:$G$46,MATCH(C258,Entradas!$A$40:$A$46,0)),"")</f>
        <v/>
      </c>
      <c r="I258" s="14">
        <f>IF(F258="cetes",IF(A258&gt;=G258,0,SUMIFS(Transacciones!$N$5:$N$20,Transacciones!$T$5:$T$20,E258,Transacciones!$F$5:$F$20,"&lt;="&amp;A258)),SUMIFS(Transacciones!$N$5:$N$20,Transacciones!$T$5:$T$20,E258,Transacciones!$F$5:$F$20,"&lt;="&amp;A258))</f>
        <v>300</v>
      </c>
      <c r="J258" s="14">
        <f>_xlfn.MAXIFS(Transacciones!$U$5:$U$20,Transacciones!$T$5:$T$20,E258,Transacciones!$F$5:$F$20,"&lt;="&amp;A258)</f>
        <v>46300015</v>
      </c>
      <c r="K258" s="18">
        <f>IF(I258=0,0,INDEX(Transacciones!$Z$5:$Z$20,MATCH(J258,Transacciones!$U$5:$U$20,0)))</f>
        <v>24.4833</v>
      </c>
      <c r="L258" s="17">
        <f t="shared" si="16"/>
        <v>7344.99</v>
      </c>
      <c r="M258" s="15">
        <f>IF(F258="cetes",IF(COUNTIFS(CETES!$A$5:$A$95,A258,CETES!$B$5:$B$95,C258)=0,"",A258),SUMIFS(Precios!$K$5:$K$109,Precios!$I$5:$I$109,A258,Precios!$J$5:$J$109,C258))</f>
        <v>46300</v>
      </c>
      <c r="N258" s="18">
        <f>IF(F258="cetes",IF(COUNTIFS(CETES!$A$5:$A$95,A258,CETES!$B$5:$B$95,C258)=0,"",SUMIFS(CETES!$AF$5:$AF$95,CETES!$A$5:$A$95,A258,CETES!$B$5:$B$95,C258)),SUMIFS(Precios!$L$5:$L$109,Precios!$I$5:$I$109,A258,Precios!$J$5:$J$109,C258))</f>
        <v>24.37</v>
      </c>
      <c r="O258" s="17">
        <f t="shared" si="17"/>
        <v>7311</v>
      </c>
      <c r="P258" s="17">
        <f t="shared" si="18"/>
        <v>-33.989999999999782</v>
      </c>
      <c r="Q258" s="17">
        <f>IF(F258="cetes",IF(A258=G258,SUMIFS(Transacciones!$N$5:$N$20,Transacciones!$T$5:$T$20,E258,Transacciones!$F$5:$F$20,"&lt;"&amp;A258)*H258,0),0)</f>
        <v>0</v>
      </c>
      <c r="R258" s="11" t="str">
        <f>IF(COUNTIF(Entradas!$A$14:$A$17,A258)&gt;0,"sí","")</f>
        <v/>
      </c>
      <c r="S258" s="11" t="str">
        <f t="shared" si="19"/>
        <v>46300|Principal|DEMOFIB|Casa A</v>
      </c>
    </row>
    <row r="259" spans="1:19" x14ac:dyDescent="0.3">
      <c r="A259" s="20">
        <v>46300</v>
      </c>
      <c r="B259" s="21" t="s">
        <v>94</v>
      </c>
      <c r="C259" s="21" t="s">
        <v>132</v>
      </c>
      <c r="D259" s="21" t="s">
        <v>112</v>
      </c>
      <c r="E259" s="11" t="str">
        <f t="shared" si="15"/>
        <v>Principal|BI261008|Casa A</v>
      </c>
      <c r="F259" s="11" t="str">
        <f>INDEX(Entradas!$C$40:$C$46,MATCH(C259,Entradas!$A$40:$A$46,0))</f>
        <v>cetes</v>
      </c>
      <c r="G259" s="15">
        <f>IF(F259="cetes",INDEX(Entradas!$F$40:$F$46,MATCH(C259,Entradas!$A$40:$A$46,0)),"")</f>
        <v>46303</v>
      </c>
      <c r="H259" s="17">
        <f>IF(F259="cetes",INDEX(Entradas!$G$40:$G$46,MATCH(C259,Entradas!$A$40:$A$46,0)),"")</f>
        <v>10</v>
      </c>
      <c r="I259" s="14">
        <f>IF(F259="cetes",IF(A259&gt;=G259,0,SUMIFS(Transacciones!$N$5:$N$20,Transacciones!$T$5:$T$20,E259,Transacciones!$F$5:$F$20,"&lt;="&amp;A259)),SUMIFS(Transacciones!$N$5:$N$20,Transacciones!$T$5:$T$20,E259,Transacciones!$F$5:$F$20,"&lt;="&amp;A259))</f>
        <v>1000</v>
      </c>
      <c r="J259" s="14">
        <f>_xlfn.MAXIFS(Transacciones!$U$5:$U$20,Transacciones!$T$5:$T$20,E259,Transacciones!$F$5:$F$20,"&lt;="&amp;A259)</f>
        <v>46296513</v>
      </c>
      <c r="K259" s="18">
        <f>IF(I259=0,0,INDEX(Transacciones!$Z$5:$Z$20,MATCH(J259,Transacciones!$U$5:$U$20,0)))</f>
        <v>9.9516240000000007</v>
      </c>
      <c r="L259" s="17">
        <f t="shared" si="16"/>
        <v>9951.6239999999998</v>
      </c>
      <c r="M259" s="15">
        <f>IF(F259="cetes",IF(COUNTIFS(CETES!$A$5:$A$95,A259,CETES!$B$5:$B$95,C259)=0,"",A259),SUMIFS(Precios!$K$5:$K$109,Precios!$I$5:$I$109,A259,Precios!$J$5:$J$109,C259))</f>
        <v>46300</v>
      </c>
      <c r="N259" s="18">
        <f>IF(F259="cetes",IF(COUNTIFS(CETES!$A$5:$A$95,A259,CETES!$B$5:$B$95,C259)=0,"",SUMIFS(CETES!$AF$5:$AF$95,CETES!$A$5:$A$95,A259,CETES!$B$5:$B$95,C259)),SUMIFS(Precios!$L$5:$L$109,Precios!$I$5:$I$109,A259,Precios!$J$5:$J$109,C259))</f>
        <v>9.9949942000000007</v>
      </c>
      <c r="O259" s="17">
        <f t="shared" si="17"/>
        <v>9994.994200000001</v>
      </c>
      <c r="P259" s="17">
        <f t="shared" si="18"/>
        <v>43.370200000001205</v>
      </c>
      <c r="Q259" s="17">
        <f>IF(F259="cetes",IF(A259=G259,SUMIFS(Transacciones!$N$5:$N$20,Transacciones!$T$5:$T$20,E259,Transacciones!$F$5:$F$20,"&lt;"&amp;A259)*H259,0),0)</f>
        <v>0</v>
      </c>
      <c r="R259" s="11" t="str">
        <f>IF(COUNTIF(Entradas!$A$14:$A$17,A259)&gt;0,"sí","")</f>
        <v/>
      </c>
      <c r="S259" s="11" t="str">
        <f t="shared" si="19"/>
        <v>46300|Principal|BI261008|Casa A</v>
      </c>
    </row>
    <row r="260" spans="1:19" x14ac:dyDescent="0.3">
      <c r="A260" s="20">
        <v>46300</v>
      </c>
      <c r="B260" s="21" t="s">
        <v>94</v>
      </c>
      <c r="C260" s="21" t="s">
        <v>132</v>
      </c>
      <c r="D260" s="21" t="s">
        <v>113</v>
      </c>
      <c r="E260" s="11" t="str">
        <f t="shared" si="15"/>
        <v>Principal|BI261008|Casa B</v>
      </c>
      <c r="F260" s="11" t="str">
        <f>INDEX(Entradas!$C$40:$C$46,MATCH(C260,Entradas!$A$40:$A$46,0))</f>
        <v>cetes</v>
      </c>
      <c r="G260" s="15">
        <f>IF(F260="cetes",INDEX(Entradas!$F$40:$F$46,MATCH(C260,Entradas!$A$40:$A$46,0)),"")</f>
        <v>46303</v>
      </c>
      <c r="H260" s="17">
        <f>IF(F260="cetes",INDEX(Entradas!$G$40:$G$46,MATCH(C260,Entradas!$A$40:$A$46,0)),"")</f>
        <v>10</v>
      </c>
      <c r="I260" s="14">
        <f>IF(F260="cetes",IF(A260&gt;=G260,0,SUMIFS(Transacciones!$N$5:$N$20,Transacciones!$T$5:$T$20,E260,Transacciones!$F$5:$F$20,"&lt;="&amp;A260)),SUMIFS(Transacciones!$N$5:$N$20,Transacciones!$T$5:$T$20,E260,Transacciones!$F$5:$F$20,"&lt;="&amp;A260))</f>
        <v>1000</v>
      </c>
      <c r="J260" s="14">
        <f>_xlfn.MAXIFS(Transacciones!$U$5:$U$20,Transacciones!$T$5:$T$20,E260,Transacciones!$F$5:$F$20,"&lt;="&amp;A260)</f>
        <v>46275004</v>
      </c>
      <c r="K260" s="18">
        <f>IF(I260=0,0,INDEX(Transacciones!$Z$5:$Z$20,MATCH(J260,Transacciones!$U$5:$U$20,0)))</f>
        <v>9.9516239999999989</v>
      </c>
      <c r="L260" s="17">
        <f t="shared" si="16"/>
        <v>9951.6239999999998</v>
      </c>
      <c r="M260" s="15">
        <f>IF(F260="cetes",IF(COUNTIFS(CETES!$A$5:$A$95,A260,CETES!$B$5:$B$95,C260)=0,"",A260),SUMIFS(Precios!$K$5:$K$109,Precios!$I$5:$I$109,A260,Precios!$J$5:$J$109,C260))</f>
        <v>46300</v>
      </c>
      <c r="N260" s="18">
        <f>IF(F260="cetes",IF(COUNTIFS(CETES!$A$5:$A$95,A260,CETES!$B$5:$B$95,C260)=0,"",SUMIFS(CETES!$AF$5:$AF$95,CETES!$A$5:$A$95,A260,CETES!$B$5:$B$95,C260)),SUMIFS(Precios!$L$5:$L$109,Precios!$I$5:$I$109,A260,Precios!$J$5:$J$109,C260))</f>
        <v>9.9949942000000007</v>
      </c>
      <c r="O260" s="17">
        <f t="shared" si="17"/>
        <v>9994.994200000001</v>
      </c>
      <c r="P260" s="17">
        <f t="shared" si="18"/>
        <v>43.370200000001205</v>
      </c>
      <c r="Q260" s="17">
        <f>IF(F260="cetes",IF(A260=G260,SUMIFS(Transacciones!$N$5:$N$20,Transacciones!$T$5:$T$20,E260,Transacciones!$F$5:$F$20,"&lt;"&amp;A260)*H260,0),0)</f>
        <v>0</v>
      </c>
      <c r="R260" s="11" t="str">
        <f>IF(COUNTIF(Entradas!$A$14:$A$17,A260)&gt;0,"sí","")</f>
        <v/>
      </c>
      <c r="S260" s="11" t="str">
        <f t="shared" si="19"/>
        <v>46300|Principal|BI261008|Casa B</v>
      </c>
    </row>
    <row r="261" spans="1:19" x14ac:dyDescent="0.3">
      <c r="A261" s="20">
        <v>46300</v>
      </c>
      <c r="B261" s="21" t="s">
        <v>94</v>
      </c>
      <c r="C261" s="21" t="s">
        <v>135</v>
      </c>
      <c r="D261" s="21" t="s">
        <v>113</v>
      </c>
      <c r="E261" s="11" t="str">
        <f t="shared" ref="E261:E324" si="20">B261&amp;"|"&amp;C261&amp;"|"&amp;D261</f>
        <v>Principal|BI261105|Casa B</v>
      </c>
      <c r="F261" s="11" t="str">
        <f>INDEX(Entradas!$C$40:$C$46,MATCH(C261,Entradas!$A$40:$A$46,0))</f>
        <v>cetes</v>
      </c>
      <c r="G261" s="15">
        <f>IF(F261="cetes",INDEX(Entradas!$F$40:$F$46,MATCH(C261,Entradas!$A$40:$A$46,0)),"")</f>
        <v>46331</v>
      </c>
      <c r="H261" s="17">
        <f>IF(F261="cetes",INDEX(Entradas!$G$40:$G$46,MATCH(C261,Entradas!$A$40:$A$46,0)),"")</f>
        <v>10</v>
      </c>
      <c r="I261" s="14">
        <f>IF(F261="cetes",IF(A261&gt;=G261,0,SUMIFS(Transacciones!$N$5:$N$20,Transacciones!$T$5:$T$20,E261,Transacciones!$F$5:$F$20,"&lt;="&amp;A261)),SUMIFS(Transacciones!$N$5:$N$20,Transacciones!$T$5:$T$20,E261,Transacciones!$F$5:$F$20,"&lt;="&amp;A261))</f>
        <v>0</v>
      </c>
      <c r="J261" s="14">
        <f>_xlfn.MAXIFS(Transacciones!$U$5:$U$20,Transacciones!$T$5:$T$20,E261,Transacciones!$F$5:$F$20,"&lt;="&amp;A261)</f>
        <v>0</v>
      </c>
      <c r="K261" s="18">
        <f>IF(I261=0,0,INDEX(Transacciones!$Z$5:$Z$20,MATCH(J261,Transacciones!$U$5:$U$20,0)))</f>
        <v>0</v>
      </c>
      <c r="L261" s="17">
        <f t="shared" ref="L261:L324" si="21">I261*K261</f>
        <v>0</v>
      </c>
      <c r="M261" s="15" t="str">
        <f>IF(F261="cetes",IF(COUNTIFS(CETES!$A$5:$A$95,A261,CETES!$B$5:$B$95,C261)=0,"",A261),SUMIFS(Precios!$K$5:$K$109,Precios!$I$5:$I$109,A261,Precios!$J$5:$J$109,C261))</f>
        <v/>
      </c>
      <c r="N261" s="18" t="str">
        <f>IF(F261="cetes",IF(COUNTIFS(CETES!$A$5:$A$95,A261,CETES!$B$5:$B$95,C261)=0,"",SUMIFS(CETES!$AF$5:$AF$95,CETES!$A$5:$A$95,A261,CETES!$B$5:$B$95,C261)),SUMIFS(Precios!$L$5:$L$109,Precios!$I$5:$I$109,A261,Precios!$J$5:$J$109,C261))</f>
        <v/>
      </c>
      <c r="O261" s="17">
        <f t="shared" ref="O261:O324" si="22">IF(I261=0,0,I261*N261)</f>
        <v>0</v>
      </c>
      <c r="P261" s="17">
        <f t="shared" ref="P261:P324" si="23">O261-L261</f>
        <v>0</v>
      </c>
      <c r="Q261" s="17">
        <f>IF(F261="cetes",IF(A261=G261,SUMIFS(Transacciones!$N$5:$N$20,Transacciones!$T$5:$T$20,E261,Transacciones!$F$5:$F$20,"&lt;"&amp;A261)*H261,0),0)</f>
        <v>0</v>
      </c>
      <c r="R261" s="11" t="str">
        <f>IF(COUNTIF(Entradas!$A$14:$A$17,A261)&gt;0,"sí","")</f>
        <v/>
      </c>
      <c r="S261" s="11" t="str">
        <f t="shared" ref="S261:S324" si="24">A261&amp;"|"&amp;E261</f>
        <v>46300|Principal|BI261105|Casa B</v>
      </c>
    </row>
    <row r="262" spans="1:19" x14ac:dyDescent="0.3">
      <c r="A262" s="20">
        <v>46300</v>
      </c>
      <c r="B262" s="21" t="s">
        <v>94</v>
      </c>
      <c r="C262" s="21" t="s">
        <v>137</v>
      </c>
      <c r="D262" s="21" t="s">
        <v>112</v>
      </c>
      <c r="E262" s="11" t="str">
        <f t="shared" si="20"/>
        <v>Principal|BI261217|Casa A</v>
      </c>
      <c r="F262" s="11" t="str">
        <f>INDEX(Entradas!$C$40:$C$46,MATCH(C262,Entradas!$A$40:$A$46,0))</f>
        <v>cetes</v>
      </c>
      <c r="G262" s="15">
        <f>IF(F262="cetes",INDEX(Entradas!$F$40:$F$46,MATCH(C262,Entradas!$A$40:$A$46,0)),"")</f>
        <v>46373</v>
      </c>
      <c r="H262" s="17">
        <f>IF(F262="cetes",INDEX(Entradas!$G$40:$G$46,MATCH(C262,Entradas!$A$40:$A$46,0)),"")</f>
        <v>10</v>
      </c>
      <c r="I262" s="14">
        <f>IF(F262="cetes",IF(A262&gt;=G262,0,SUMIFS(Transacciones!$N$5:$N$20,Transacciones!$T$5:$T$20,E262,Transacciones!$F$5:$F$20,"&lt;="&amp;A262)),SUMIFS(Transacciones!$N$5:$N$20,Transacciones!$T$5:$T$20,E262,Transacciones!$F$5:$F$20,"&lt;="&amp;A262))</f>
        <v>1000</v>
      </c>
      <c r="J262" s="14">
        <f>_xlfn.MAXIFS(Transacciones!$U$5:$U$20,Transacciones!$T$5:$T$20,E262,Transacciones!$F$5:$F$20,"&lt;="&amp;A262)</f>
        <v>46282008</v>
      </c>
      <c r="K262" s="18">
        <f>IF(I262=0,0,INDEX(Transacciones!$Z$5:$Z$20,MATCH(J262,Transacciones!$U$5:$U$20,0)))</f>
        <v>9.8344372</v>
      </c>
      <c r="L262" s="17">
        <f t="shared" si="21"/>
        <v>9834.4372000000003</v>
      </c>
      <c r="M262" s="15">
        <f>IF(F262="cetes",IF(COUNTIFS(CETES!$A$5:$A$95,A262,CETES!$B$5:$B$95,C262)=0,"",A262),SUMIFS(Precios!$K$5:$K$109,Precios!$I$5:$I$109,A262,Precios!$J$5:$J$109,C262))</f>
        <v>46300</v>
      </c>
      <c r="N262" s="18">
        <f>IF(F262="cetes",IF(COUNTIFS(CETES!$A$5:$A$95,A262,CETES!$B$5:$B$95,C262)=0,"",SUMIFS(CETES!$AF$5:$AF$95,CETES!$A$5:$A$95,A262,CETES!$B$5:$B$95,C262)),SUMIFS(Precios!$L$5:$L$109,Precios!$I$5:$I$109,A262,Precios!$J$5:$J$109,C262))</f>
        <v>9.8694293999999996</v>
      </c>
      <c r="O262" s="17">
        <f t="shared" si="22"/>
        <v>9869.4293999999991</v>
      </c>
      <c r="P262" s="17">
        <f t="shared" si="23"/>
        <v>34.992199999998775</v>
      </c>
      <c r="Q262" s="17">
        <f>IF(F262="cetes",IF(A262=G262,SUMIFS(Transacciones!$N$5:$N$20,Transacciones!$T$5:$T$20,E262,Transacciones!$F$5:$F$20,"&lt;"&amp;A262)*H262,0),0)</f>
        <v>0</v>
      </c>
      <c r="R262" s="11" t="str">
        <f>IF(COUNTIF(Entradas!$A$14:$A$17,A262)&gt;0,"sí","")</f>
        <v/>
      </c>
      <c r="S262" s="11" t="str">
        <f t="shared" si="24"/>
        <v>46300|Principal|BI261217|Casa A</v>
      </c>
    </row>
    <row r="263" spans="1:19" x14ac:dyDescent="0.3">
      <c r="A263" s="20">
        <v>46300</v>
      </c>
      <c r="B263" s="21" t="s">
        <v>94</v>
      </c>
      <c r="C263" s="21" t="s">
        <v>139</v>
      </c>
      <c r="D263" s="21" t="s">
        <v>113</v>
      </c>
      <c r="E263" s="11" t="str">
        <f t="shared" si="20"/>
        <v>Principal|BI270318|Casa B</v>
      </c>
      <c r="F263" s="11" t="str">
        <f>INDEX(Entradas!$C$40:$C$46,MATCH(C263,Entradas!$A$40:$A$46,0))</f>
        <v>cetes</v>
      </c>
      <c r="G263" s="15">
        <f>IF(F263="cetes",INDEX(Entradas!$F$40:$F$46,MATCH(C263,Entradas!$A$40:$A$46,0)),"")</f>
        <v>46464</v>
      </c>
      <c r="H263" s="17">
        <f>IF(F263="cetes",INDEX(Entradas!$G$40:$G$46,MATCH(C263,Entradas!$A$40:$A$46,0)),"")</f>
        <v>10</v>
      </c>
      <c r="I263" s="14">
        <f>IF(F263="cetes",IF(A263&gt;=G263,0,SUMIFS(Transacciones!$N$5:$N$20,Transacciones!$T$5:$T$20,E263,Transacciones!$F$5:$F$20,"&lt;="&amp;A263)),SUMIFS(Transacciones!$N$5:$N$20,Transacciones!$T$5:$T$20,E263,Transacciones!$F$5:$F$20,"&lt;="&amp;A263))</f>
        <v>500</v>
      </c>
      <c r="J263" s="14">
        <f>_xlfn.MAXIFS(Transacciones!$U$5:$U$20,Transacciones!$T$5:$T$20,E263,Transacciones!$F$5:$F$20,"&lt;="&amp;A263)</f>
        <v>46282009</v>
      </c>
      <c r="K263" s="18">
        <f>IF(I263=0,0,INDEX(Transacciones!$Z$5:$Z$20,MATCH(J263,Transacciones!$U$5:$U$20,0)))</f>
        <v>9.6629249999999995</v>
      </c>
      <c r="L263" s="17">
        <f t="shared" si="21"/>
        <v>4831.4624999999996</v>
      </c>
      <c r="M263" s="15">
        <f>IF(F263="cetes",IF(COUNTIFS(CETES!$A$5:$A$95,A263,CETES!$B$5:$B$95,C263)=0,"",A263),SUMIFS(Precios!$K$5:$K$109,Precios!$I$5:$I$109,A263,Precios!$J$5:$J$109,C263))</f>
        <v>46300</v>
      </c>
      <c r="N263" s="18">
        <f>IF(F263="cetes",IF(COUNTIFS(CETES!$A$5:$A$95,A263,CETES!$B$5:$B$95,C263)=0,"",SUMIFS(CETES!$AF$5:$AF$95,CETES!$A$5:$A$95,A263,CETES!$B$5:$B$95,C263)),SUMIFS(Precios!$L$5:$L$109,Precios!$I$5:$I$109,A263,Precios!$J$5:$J$109,C263))</f>
        <v>9.6929079999999992</v>
      </c>
      <c r="O263" s="17">
        <f t="shared" si="22"/>
        <v>4846.4539999999997</v>
      </c>
      <c r="P263" s="17">
        <f t="shared" si="23"/>
        <v>14.991500000000087</v>
      </c>
      <c r="Q263" s="17">
        <f>IF(F263="cetes",IF(A263=G263,SUMIFS(Transacciones!$N$5:$N$20,Transacciones!$T$5:$T$20,E263,Transacciones!$F$5:$F$20,"&lt;"&amp;A263)*H263,0),0)</f>
        <v>0</v>
      </c>
      <c r="R263" s="11" t="str">
        <f>IF(COUNTIF(Entradas!$A$14:$A$17,A263)&gt;0,"sí","")</f>
        <v/>
      </c>
      <c r="S263" s="11" t="str">
        <f t="shared" si="24"/>
        <v>46300|Principal|BI270318|Casa B</v>
      </c>
    </row>
    <row r="264" spans="1:19" x14ac:dyDescent="0.3">
      <c r="A264" s="20">
        <v>46300</v>
      </c>
      <c r="B264" s="21" t="s">
        <v>103</v>
      </c>
      <c r="C264" s="21" t="s">
        <v>123</v>
      </c>
      <c r="D264" s="21" t="s">
        <v>112</v>
      </c>
      <c r="E264" s="11" t="str">
        <f t="shared" si="20"/>
        <v>Secundario|DEMOACC|Casa A</v>
      </c>
      <c r="F264" s="11" t="str">
        <f>INDEX(Entradas!$C$40:$C$46,MATCH(C264,Entradas!$A$40:$A$46,0))</f>
        <v>accion</v>
      </c>
      <c r="G264" s="15" t="str">
        <f>IF(F264="cetes",INDEX(Entradas!$F$40:$F$46,MATCH(C264,Entradas!$A$40:$A$46,0)),"")</f>
        <v/>
      </c>
      <c r="H264" s="17" t="str">
        <f>IF(F264="cetes",INDEX(Entradas!$G$40:$G$46,MATCH(C264,Entradas!$A$40:$A$46,0)),"")</f>
        <v/>
      </c>
      <c r="I264" s="14">
        <f>IF(F264="cetes",IF(A264&gt;=G264,0,SUMIFS(Transacciones!$N$5:$N$20,Transacciones!$T$5:$T$20,E264,Transacciones!$F$5:$F$20,"&lt;="&amp;A264)),SUMIFS(Transacciones!$N$5:$N$20,Transacciones!$T$5:$T$20,E264,Transacciones!$F$5:$F$20,"&lt;="&amp;A264))</f>
        <v>150</v>
      </c>
      <c r="J264" s="14">
        <f>_xlfn.MAXIFS(Transacciones!$U$5:$U$20,Transacciones!$T$5:$T$20,E264,Transacciones!$F$5:$F$20,"&lt;="&amp;A264)</f>
        <v>46279007</v>
      </c>
      <c r="K264" s="18">
        <f>IF(I264=0,0,INDEX(Transacciones!$Z$5:$Z$20,MATCH(J264,Transacciones!$U$5:$U$20,0)))</f>
        <v>103.90046666666666</v>
      </c>
      <c r="L264" s="17">
        <f t="shared" si="21"/>
        <v>15585.07</v>
      </c>
      <c r="M264" s="15">
        <f>IF(F264="cetes",IF(COUNTIFS(CETES!$A$5:$A$95,A264,CETES!$B$5:$B$95,C264)=0,"",A264),SUMIFS(Precios!$K$5:$K$109,Precios!$I$5:$I$109,A264,Precios!$J$5:$J$109,C264))</f>
        <v>46300</v>
      </c>
      <c r="N264" s="18">
        <f>IF(F264="cetes",IF(COUNTIFS(CETES!$A$5:$A$95,A264,CETES!$B$5:$B$95,C264)=0,"",SUMIFS(CETES!$AF$5:$AF$95,CETES!$A$5:$A$95,A264,CETES!$B$5:$B$95,C264)),SUMIFS(Precios!$L$5:$L$109,Precios!$I$5:$I$109,A264,Precios!$J$5:$J$109,C264))</f>
        <v>101.65</v>
      </c>
      <c r="O264" s="17">
        <f t="shared" si="22"/>
        <v>15247.5</v>
      </c>
      <c r="P264" s="17">
        <f t="shared" si="23"/>
        <v>-337.56999999999971</v>
      </c>
      <c r="Q264" s="17">
        <f>IF(F264="cetes",IF(A264=G264,SUMIFS(Transacciones!$N$5:$N$20,Transacciones!$T$5:$T$20,E264,Transacciones!$F$5:$F$20,"&lt;"&amp;A264)*H264,0),0)</f>
        <v>0</v>
      </c>
      <c r="R264" s="11" t="str">
        <f>IF(COUNTIF(Entradas!$A$14:$A$17,A264)&gt;0,"sí","")</f>
        <v/>
      </c>
      <c r="S264" s="11" t="str">
        <f t="shared" si="24"/>
        <v>46300|Secundario|DEMOACC|Casa A</v>
      </c>
    </row>
    <row r="265" spans="1:19" x14ac:dyDescent="0.3">
      <c r="A265" s="20">
        <v>46301</v>
      </c>
      <c r="B265" s="21" t="s">
        <v>94</v>
      </c>
      <c r="C265" s="21" t="s">
        <v>123</v>
      </c>
      <c r="D265" s="21" t="s">
        <v>112</v>
      </c>
      <c r="E265" s="11" t="str">
        <f t="shared" si="20"/>
        <v>Principal|DEMOACC|Casa A</v>
      </c>
      <c r="F265" s="11" t="str">
        <f>INDEX(Entradas!$C$40:$C$46,MATCH(C265,Entradas!$A$40:$A$46,0))</f>
        <v>accion</v>
      </c>
      <c r="G265" s="15" t="str">
        <f>IF(F265="cetes",INDEX(Entradas!$F$40:$F$46,MATCH(C265,Entradas!$A$40:$A$46,0)),"")</f>
        <v/>
      </c>
      <c r="H265" s="17" t="str">
        <f>IF(F265="cetes",INDEX(Entradas!$G$40:$G$46,MATCH(C265,Entradas!$A$40:$A$46,0)),"")</f>
        <v/>
      </c>
      <c r="I265" s="14">
        <f>IF(F265="cetes",IF(A265&gt;=G265,0,SUMIFS(Transacciones!$N$5:$N$20,Transacciones!$T$5:$T$20,E265,Transacciones!$F$5:$F$20,"&lt;="&amp;A265)),SUMIFS(Transacciones!$N$5:$N$20,Transacciones!$T$5:$T$20,E265,Transacciones!$F$5:$F$20,"&lt;="&amp;A265))</f>
        <v>120</v>
      </c>
      <c r="J265" s="14">
        <f>_xlfn.MAXIFS(Transacciones!$U$5:$U$20,Transacciones!$T$5:$T$20,E265,Transacciones!$F$5:$F$20,"&lt;="&amp;A265)</f>
        <v>46297514</v>
      </c>
      <c r="K265" s="18">
        <f>IF(I265=0,0,INDEX(Transacciones!$Z$5:$Z$20,MATCH(J265,Transacciones!$U$5:$U$20,0)))</f>
        <v>100.23985</v>
      </c>
      <c r="L265" s="17">
        <f t="shared" si="21"/>
        <v>12028.782000000001</v>
      </c>
      <c r="M265" s="15">
        <f>IF(F265="cetes",IF(COUNTIFS(CETES!$A$5:$A$95,A265,CETES!$B$5:$B$95,C265)=0,"",A265),SUMIFS(Precios!$K$5:$K$109,Precios!$I$5:$I$109,A265,Precios!$J$5:$J$109,C265))</f>
        <v>46301</v>
      </c>
      <c r="N265" s="18">
        <f>IF(F265="cetes",IF(COUNTIFS(CETES!$A$5:$A$95,A265,CETES!$B$5:$B$95,C265)=0,"",SUMIFS(CETES!$AF$5:$AF$95,CETES!$A$5:$A$95,A265,CETES!$B$5:$B$95,C265)),SUMIFS(Precios!$L$5:$L$109,Precios!$I$5:$I$109,A265,Precios!$J$5:$J$109,C265))</f>
        <v>102.8</v>
      </c>
      <c r="O265" s="17">
        <f t="shared" si="22"/>
        <v>12336</v>
      </c>
      <c r="P265" s="17">
        <f t="shared" si="23"/>
        <v>307.21799999999894</v>
      </c>
      <c r="Q265" s="17">
        <f>IF(F265="cetes",IF(A265=G265,SUMIFS(Transacciones!$N$5:$N$20,Transacciones!$T$5:$T$20,E265,Transacciones!$F$5:$F$20,"&lt;"&amp;A265)*H265,0),0)</f>
        <v>0</v>
      </c>
      <c r="R265" s="11" t="str">
        <f>IF(COUNTIF(Entradas!$A$14:$A$17,A265)&gt;0,"sí","")</f>
        <v/>
      </c>
      <c r="S265" s="11" t="str">
        <f t="shared" si="24"/>
        <v>46301|Principal|DEMOACC|Casa A</v>
      </c>
    </row>
    <row r="266" spans="1:19" x14ac:dyDescent="0.3">
      <c r="A266" s="20">
        <v>46301</v>
      </c>
      <c r="B266" s="21" t="s">
        <v>94</v>
      </c>
      <c r="C266" s="21" t="s">
        <v>123</v>
      </c>
      <c r="D266" s="21" t="s">
        <v>113</v>
      </c>
      <c r="E266" s="11" t="str">
        <f t="shared" si="20"/>
        <v>Principal|DEMOACC|Casa B</v>
      </c>
      <c r="F266" s="11" t="str">
        <f>INDEX(Entradas!$C$40:$C$46,MATCH(C266,Entradas!$A$40:$A$46,0))</f>
        <v>accion</v>
      </c>
      <c r="G266" s="15" t="str">
        <f>IF(F266="cetes",INDEX(Entradas!$F$40:$F$46,MATCH(C266,Entradas!$A$40:$A$46,0)),"")</f>
        <v/>
      </c>
      <c r="H266" s="17" t="str">
        <f>IF(F266="cetes",INDEX(Entradas!$G$40:$G$46,MATCH(C266,Entradas!$A$40:$A$46,0)),"")</f>
        <v/>
      </c>
      <c r="I266" s="14">
        <f>IF(F266="cetes",IF(A266&gt;=G266,0,SUMIFS(Transacciones!$N$5:$N$20,Transacciones!$T$5:$T$20,E266,Transacciones!$F$5:$F$20,"&lt;="&amp;A266)),SUMIFS(Transacciones!$N$5:$N$20,Transacciones!$T$5:$T$20,E266,Transacciones!$F$5:$F$20,"&lt;="&amp;A266))</f>
        <v>100</v>
      </c>
      <c r="J266" s="14">
        <f>_xlfn.MAXIFS(Transacciones!$U$5:$U$20,Transacciones!$T$5:$T$20,E266,Transacciones!$F$5:$F$20,"&lt;="&amp;A266)</f>
        <v>46279006</v>
      </c>
      <c r="K266" s="18">
        <f>IF(I266=0,0,INDEX(Transacciones!$Z$5:$Z$20,MATCH(J266,Transacciones!$U$5:$U$20,0)))</f>
        <v>103.399</v>
      </c>
      <c r="L266" s="17">
        <f t="shared" si="21"/>
        <v>10339.9</v>
      </c>
      <c r="M266" s="15">
        <f>IF(F266="cetes",IF(COUNTIFS(CETES!$A$5:$A$95,A266,CETES!$B$5:$B$95,C266)=0,"",A266),SUMIFS(Precios!$K$5:$K$109,Precios!$I$5:$I$109,A266,Precios!$J$5:$J$109,C266))</f>
        <v>46301</v>
      </c>
      <c r="N266" s="18">
        <f>IF(F266="cetes",IF(COUNTIFS(CETES!$A$5:$A$95,A266,CETES!$B$5:$B$95,C266)=0,"",SUMIFS(CETES!$AF$5:$AF$95,CETES!$A$5:$A$95,A266,CETES!$B$5:$B$95,C266)),SUMIFS(Precios!$L$5:$L$109,Precios!$I$5:$I$109,A266,Precios!$J$5:$J$109,C266))</f>
        <v>102.8</v>
      </c>
      <c r="O266" s="17">
        <f t="shared" si="22"/>
        <v>10280</v>
      </c>
      <c r="P266" s="17">
        <f t="shared" si="23"/>
        <v>-59.899999999999636</v>
      </c>
      <c r="Q266" s="17">
        <f>IF(F266="cetes",IF(A266=G266,SUMIFS(Transacciones!$N$5:$N$20,Transacciones!$T$5:$T$20,E266,Transacciones!$F$5:$F$20,"&lt;"&amp;A266)*H266,0),0)</f>
        <v>0</v>
      </c>
      <c r="R266" s="11" t="str">
        <f>IF(COUNTIF(Entradas!$A$14:$A$17,A266)&gt;0,"sí","")</f>
        <v/>
      </c>
      <c r="S266" s="11" t="str">
        <f t="shared" si="24"/>
        <v>46301|Principal|DEMOACC|Casa B</v>
      </c>
    </row>
    <row r="267" spans="1:19" x14ac:dyDescent="0.3">
      <c r="A267" s="20">
        <v>46301</v>
      </c>
      <c r="B267" s="21" t="s">
        <v>94</v>
      </c>
      <c r="C267" s="21" t="s">
        <v>126</v>
      </c>
      <c r="D267" s="21" t="s">
        <v>113</v>
      </c>
      <c r="E267" s="11" t="str">
        <f t="shared" si="20"/>
        <v>Principal|DEMOETF|Casa B</v>
      </c>
      <c r="F267" s="11" t="str">
        <f>INDEX(Entradas!$C$40:$C$46,MATCH(C267,Entradas!$A$40:$A$46,0))</f>
        <v>etf</v>
      </c>
      <c r="G267" s="15" t="str">
        <f>IF(F267="cetes",INDEX(Entradas!$F$40:$F$46,MATCH(C267,Entradas!$A$40:$A$46,0)),"")</f>
        <v/>
      </c>
      <c r="H267" s="17" t="str">
        <f>IF(F267="cetes",INDEX(Entradas!$G$40:$G$46,MATCH(C267,Entradas!$A$40:$A$46,0)),"")</f>
        <v/>
      </c>
      <c r="I267" s="14">
        <f>IF(F267="cetes",IF(A267&gt;=G267,0,SUMIFS(Transacciones!$N$5:$N$20,Transacciones!$T$5:$T$20,E267,Transacciones!$F$5:$F$20,"&lt;="&amp;A267)),SUMIFS(Transacciones!$N$5:$N$20,Transacciones!$T$5:$T$20,E267,Transacciones!$F$5:$F$20,"&lt;="&amp;A267))</f>
        <v>40</v>
      </c>
      <c r="J267" s="14">
        <f>_xlfn.MAXIFS(Transacciones!$U$5:$U$20,Transacciones!$T$5:$T$20,E267,Transacciones!$F$5:$F$20,"&lt;="&amp;A267)</f>
        <v>46290512</v>
      </c>
      <c r="K267" s="18">
        <f>IF(I267=0,0,INDEX(Transacciones!$Z$5:$Z$20,MATCH(J267,Transacciones!$U$5:$U$20,0)))</f>
        <v>49.386499999999998</v>
      </c>
      <c r="L267" s="17">
        <f t="shared" si="21"/>
        <v>1975.46</v>
      </c>
      <c r="M267" s="15">
        <f>IF(F267="cetes",IF(COUNTIFS(CETES!$A$5:$A$95,A267,CETES!$B$5:$B$95,C267)=0,"",A267),SUMIFS(Precios!$K$5:$K$109,Precios!$I$5:$I$109,A267,Precios!$J$5:$J$109,C267))</f>
        <v>46301</v>
      </c>
      <c r="N267" s="18">
        <f>IF(F267="cetes",IF(COUNTIFS(CETES!$A$5:$A$95,A267,CETES!$B$5:$B$95,C267)=0,"",SUMIFS(CETES!$AF$5:$AF$95,CETES!$A$5:$A$95,A267,CETES!$B$5:$B$95,C267)),SUMIFS(Precios!$L$5:$L$109,Precios!$I$5:$I$109,A267,Precios!$J$5:$J$109,C267))</f>
        <v>50.24</v>
      </c>
      <c r="O267" s="17">
        <f t="shared" si="22"/>
        <v>2009.6000000000001</v>
      </c>
      <c r="P267" s="17">
        <f t="shared" si="23"/>
        <v>34.1400000000001</v>
      </c>
      <c r="Q267" s="17">
        <f>IF(F267="cetes",IF(A267=G267,SUMIFS(Transacciones!$N$5:$N$20,Transacciones!$T$5:$T$20,E267,Transacciones!$F$5:$F$20,"&lt;"&amp;A267)*H267,0),0)</f>
        <v>0</v>
      </c>
      <c r="R267" s="11" t="str">
        <f>IF(COUNTIF(Entradas!$A$14:$A$17,A267)&gt;0,"sí","")</f>
        <v/>
      </c>
      <c r="S267" s="11" t="str">
        <f t="shared" si="24"/>
        <v>46301|Principal|DEMOETF|Casa B</v>
      </c>
    </row>
    <row r="268" spans="1:19" x14ac:dyDescent="0.3">
      <c r="A268" s="20">
        <v>46301</v>
      </c>
      <c r="B268" s="21" t="s">
        <v>94</v>
      </c>
      <c r="C268" s="21" t="s">
        <v>129</v>
      </c>
      <c r="D268" s="21" t="s">
        <v>112</v>
      </c>
      <c r="E268" s="11" t="str">
        <f t="shared" si="20"/>
        <v>Principal|DEMOFIB|Casa A</v>
      </c>
      <c r="F268" s="11" t="str">
        <f>INDEX(Entradas!$C$40:$C$46,MATCH(C268,Entradas!$A$40:$A$46,0))</f>
        <v>fibra</v>
      </c>
      <c r="G268" s="15" t="str">
        <f>IF(F268="cetes",INDEX(Entradas!$F$40:$F$46,MATCH(C268,Entradas!$A$40:$A$46,0)),"")</f>
        <v/>
      </c>
      <c r="H268" s="17" t="str">
        <f>IF(F268="cetes",INDEX(Entradas!$G$40:$G$46,MATCH(C268,Entradas!$A$40:$A$46,0)),"")</f>
        <v/>
      </c>
      <c r="I268" s="14">
        <f>IF(F268="cetes",IF(A268&gt;=G268,0,SUMIFS(Transacciones!$N$5:$N$20,Transacciones!$T$5:$T$20,E268,Transacciones!$F$5:$F$20,"&lt;="&amp;A268)),SUMIFS(Transacciones!$N$5:$N$20,Transacciones!$T$5:$T$20,E268,Transacciones!$F$5:$F$20,"&lt;="&amp;A268))</f>
        <v>300</v>
      </c>
      <c r="J268" s="14">
        <f>_xlfn.MAXIFS(Transacciones!$U$5:$U$20,Transacciones!$T$5:$T$20,E268,Transacciones!$F$5:$F$20,"&lt;="&amp;A268)</f>
        <v>46300015</v>
      </c>
      <c r="K268" s="18">
        <f>IF(I268=0,0,INDEX(Transacciones!$Z$5:$Z$20,MATCH(J268,Transacciones!$U$5:$U$20,0)))</f>
        <v>24.4833</v>
      </c>
      <c r="L268" s="17">
        <f t="shared" si="21"/>
        <v>7344.99</v>
      </c>
      <c r="M268" s="15">
        <f>IF(F268="cetes",IF(COUNTIFS(CETES!$A$5:$A$95,A268,CETES!$B$5:$B$95,C268)=0,"",A268),SUMIFS(Precios!$K$5:$K$109,Precios!$I$5:$I$109,A268,Precios!$J$5:$J$109,C268))</f>
        <v>46301</v>
      </c>
      <c r="N268" s="18">
        <f>IF(F268="cetes",IF(COUNTIFS(CETES!$A$5:$A$95,A268,CETES!$B$5:$B$95,C268)=0,"",SUMIFS(CETES!$AF$5:$AF$95,CETES!$A$5:$A$95,A268,CETES!$B$5:$B$95,C268)),SUMIFS(Precios!$L$5:$L$109,Precios!$I$5:$I$109,A268,Precios!$J$5:$J$109,C268))</f>
        <v>24.515000000000001</v>
      </c>
      <c r="O268" s="17">
        <f t="shared" si="22"/>
        <v>7354.5</v>
      </c>
      <c r="P268" s="17">
        <f t="shared" si="23"/>
        <v>9.5100000000002183</v>
      </c>
      <c r="Q268" s="17">
        <f>IF(F268="cetes",IF(A268=G268,SUMIFS(Transacciones!$N$5:$N$20,Transacciones!$T$5:$T$20,E268,Transacciones!$F$5:$F$20,"&lt;"&amp;A268)*H268,0),0)</f>
        <v>0</v>
      </c>
      <c r="R268" s="11" t="str">
        <f>IF(COUNTIF(Entradas!$A$14:$A$17,A268)&gt;0,"sí","")</f>
        <v/>
      </c>
      <c r="S268" s="11" t="str">
        <f t="shared" si="24"/>
        <v>46301|Principal|DEMOFIB|Casa A</v>
      </c>
    </row>
    <row r="269" spans="1:19" x14ac:dyDescent="0.3">
      <c r="A269" s="20">
        <v>46301</v>
      </c>
      <c r="B269" s="21" t="s">
        <v>94</v>
      </c>
      <c r="C269" s="21" t="s">
        <v>132</v>
      </c>
      <c r="D269" s="21" t="s">
        <v>112</v>
      </c>
      <c r="E269" s="11" t="str">
        <f t="shared" si="20"/>
        <v>Principal|BI261008|Casa A</v>
      </c>
      <c r="F269" s="11" t="str">
        <f>INDEX(Entradas!$C$40:$C$46,MATCH(C269,Entradas!$A$40:$A$46,0))</f>
        <v>cetes</v>
      </c>
      <c r="G269" s="15">
        <f>IF(F269="cetes",INDEX(Entradas!$F$40:$F$46,MATCH(C269,Entradas!$A$40:$A$46,0)),"")</f>
        <v>46303</v>
      </c>
      <c r="H269" s="17">
        <f>IF(F269="cetes",INDEX(Entradas!$G$40:$G$46,MATCH(C269,Entradas!$A$40:$A$46,0)),"")</f>
        <v>10</v>
      </c>
      <c r="I269" s="14">
        <f>IF(F269="cetes",IF(A269&gt;=G269,0,SUMIFS(Transacciones!$N$5:$N$20,Transacciones!$T$5:$T$20,E269,Transacciones!$F$5:$F$20,"&lt;="&amp;A269)),SUMIFS(Transacciones!$N$5:$N$20,Transacciones!$T$5:$T$20,E269,Transacciones!$F$5:$F$20,"&lt;="&amp;A269))</f>
        <v>1000</v>
      </c>
      <c r="J269" s="14">
        <f>_xlfn.MAXIFS(Transacciones!$U$5:$U$20,Transacciones!$T$5:$T$20,E269,Transacciones!$F$5:$F$20,"&lt;="&amp;A269)</f>
        <v>46296513</v>
      </c>
      <c r="K269" s="18">
        <f>IF(I269=0,0,INDEX(Transacciones!$Z$5:$Z$20,MATCH(J269,Transacciones!$U$5:$U$20,0)))</f>
        <v>9.9516240000000007</v>
      </c>
      <c r="L269" s="17">
        <f t="shared" si="21"/>
        <v>9951.6239999999998</v>
      </c>
      <c r="M269" s="15">
        <f>IF(F269="cetes",IF(COUNTIFS(CETES!$A$5:$A$95,A269,CETES!$B$5:$B$95,C269)=0,"",A269),SUMIFS(Precios!$K$5:$K$109,Precios!$I$5:$I$109,A269,Precios!$J$5:$J$109,C269))</f>
        <v>46301</v>
      </c>
      <c r="N269" s="18">
        <f>IF(F269="cetes",IF(COUNTIFS(CETES!$A$5:$A$95,A269,CETES!$B$5:$B$95,C269)=0,"",SUMIFS(CETES!$AF$5:$AF$95,CETES!$A$5:$A$95,A269,CETES!$B$5:$B$95,C269)),SUMIFS(Precios!$L$5:$L$109,Precios!$I$5:$I$109,A269,Precios!$J$5:$J$109,C269))</f>
        <v>9.9966621999999994</v>
      </c>
      <c r="O269" s="17">
        <f t="shared" si="22"/>
        <v>9996.6621999999988</v>
      </c>
      <c r="P269" s="17">
        <f t="shared" si="23"/>
        <v>45.038199999999051</v>
      </c>
      <c r="Q269" s="17">
        <f>IF(F269="cetes",IF(A269=G269,SUMIFS(Transacciones!$N$5:$N$20,Transacciones!$T$5:$T$20,E269,Transacciones!$F$5:$F$20,"&lt;"&amp;A269)*H269,0),0)</f>
        <v>0</v>
      </c>
      <c r="R269" s="11" t="str">
        <f>IF(COUNTIF(Entradas!$A$14:$A$17,A269)&gt;0,"sí","")</f>
        <v/>
      </c>
      <c r="S269" s="11" t="str">
        <f t="shared" si="24"/>
        <v>46301|Principal|BI261008|Casa A</v>
      </c>
    </row>
    <row r="270" spans="1:19" x14ac:dyDescent="0.3">
      <c r="A270" s="20">
        <v>46301</v>
      </c>
      <c r="B270" s="21" t="s">
        <v>94</v>
      </c>
      <c r="C270" s="21" t="s">
        <v>132</v>
      </c>
      <c r="D270" s="21" t="s">
        <v>113</v>
      </c>
      <c r="E270" s="11" t="str">
        <f t="shared" si="20"/>
        <v>Principal|BI261008|Casa B</v>
      </c>
      <c r="F270" s="11" t="str">
        <f>INDEX(Entradas!$C$40:$C$46,MATCH(C270,Entradas!$A$40:$A$46,0))</f>
        <v>cetes</v>
      </c>
      <c r="G270" s="15">
        <f>IF(F270="cetes",INDEX(Entradas!$F$40:$F$46,MATCH(C270,Entradas!$A$40:$A$46,0)),"")</f>
        <v>46303</v>
      </c>
      <c r="H270" s="17">
        <f>IF(F270="cetes",INDEX(Entradas!$G$40:$G$46,MATCH(C270,Entradas!$A$40:$A$46,0)),"")</f>
        <v>10</v>
      </c>
      <c r="I270" s="14">
        <f>IF(F270="cetes",IF(A270&gt;=G270,0,SUMIFS(Transacciones!$N$5:$N$20,Transacciones!$T$5:$T$20,E270,Transacciones!$F$5:$F$20,"&lt;="&amp;A270)),SUMIFS(Transacciones!$N$5:$N$20,Transacciones!$T$5:$T$20,E270,Transacciones!$F$5:$F$20,"&lt;="&amp;A270))</f>
        <v>1000</v>
      </c>
      <c r="J270" s="14">
        <f>_xlfn.MAXIFS(Transacciones!$U$5:$U$20,Transacciones!$T$5:$T$20,E270,Transacciones!$F$5:$F$20,"&lt;="&amp;A270)</f>
        <v>46275004</v>
      </c>
      <c r="K270" s="18">
        <f>IF(I270=0,0,INDEX(Transacciones!$Z$5:$Z$20,MATCH(J270,Transacciones!$U$5:$U$20,0)))</f>
        <v>9.9516239999999989</v>
      </c>
      <c r="L270" s="17">
        <f t="shared" si="21"/>
        <v>9951.6239999999998</v>
      </c>
      <c r="M270" s="15">
        <f>IF(F270="cetes",IF(COUNTIFS(CETES!$A$5:$A$95,A270,CETES!$B$5:$B$95,C270)=0,"",A270),SUMIFS(Precios!$K$5:$K$109,Precios!$I$5:$I$109,A270,Precios!$J$5:$J$109,C270))</f>
        <v>46301</v>
      </c>
      <c r="N270" s="18">
        <f>IF(F270="cetes",IF(COUNTIFS(CETES!$A$5:$A$95,A270,CETES!$B$5:$B$95,C270)=0,"",SUMIFS(CETES!$AF$5:$AF$95,CETES!$A$5:$A$95,A270,CETES!$B$5:$B$95,C270)),SUMIFS(Precios!$L$5:$L$109,Precios!$I$5:$I$109,A270,Precios!$J$5:$J$109,C270))</f>
        <v>9.9966621999999994</v>
      </c>
      <c r="O270" s="17">
        <f t="shared" si="22"/>
        <v>9996.6621999999988</v>
      </c>
      <c r="P270" s="17">
        <f t="shared" si="23"/>
        <v>45.038199999999051</v>
      </c>
      <c r="Q270" s="17">
        <f>IF(F270="cetes",IF(A270=G270,SUMIFS(Transacciones!$N$5:$N$20,Transacciones!$T$5:$T$20,E270,Transacciones!$F$5:$F$20,"&lt;"&amp;A270)*H270,0),0)</f>
        <v>0</v>
      </c>
      <c r="R270" s="11" t="str">
        <f>IF(COUNTIF(Entradas!$A$14:$A$17,A270)&gt;0,"sí","")</f>
        <v/>
      </c>
      <c r="S270" s="11" t="str">
        <f t="shared" si="24"/>
        <v>46301|Principal|BI261008|Casa B</v>
      </c>
    </row>
    <row r="271" spans="1:19" x14ac:dyDescent="0.3">
      <c r="A271" s="20">
        <v>46301</v>
      </c>
      <c r="B271" s="21" t="s">
        <v>94</v>
      </c>
      <c r="C271" s="21" t="s">
        <v>135</v>
      </c>
      <c r="D271" s="21" t="s">
        <v>113</v>
      </c>
      <c r="E271" s="11" t="str">
        <f t="shared" si="20"/>
        <v>Principal|BI261105|Casa B</v>
      </c>
      <c r="F271" s="11" t="str">
        <f>INDEX(Entradas!$C$40:$C$46,MATCH(C271,Entradas!$A$40:$A$46,0))</f>
        <v>cetes</v>
      </c>
      <c r="G271" s="15">
        <f>IF(F271="cetes",INDEX(Entradas!$F$40:$F$46,MATCH(C271,Entradas!$A$40:$A$46,0)),"")</f>
        <v>46331</v>
      </c>
      <c r="H271" s="17">
        <f>IF(F271="cetes",INDEX(Entradas!$G$40:$G$46,MATCH(C271,Entradas!$A$40:$A$46,0)),"")</f>
        <v>10</v>
      </c>
      <c r="I271" s="14">
        <f>IF(F271="cetes",IF(A271&gt;=G271,0,SUMIFS(Transacciones!$N$5:$N$20,Transacciones!$T$5:$T$20,E271,Transacciones!$F$5:$F$20,"&lt;="&amp;A271)),SUMIFS(Transacciones!$N$5:$N$20,Transacciones!$T$5:$T$20,E271,Transacciones!$F$5:$F$20,"&lt;="&amp;A271))</f>
        <v>0</v>
      </c>
      <c r="J271" s="14">
        <f>_xlfn.MAXIFS(Transacciones!$U$5:$U$20,Transacciones!$T$5:$T$20,E271,Transacciones!$F$5:$F$20,"&lt;="&amp;A271)</f>
        <v>0</v>
      </c>
      <c r="K271" s="18">
        <f>IF(I271=0,0,INDEX(Transacciones!$Z$5:$Z$20,MATCH(J271,Transacciones!$U$5:$U$20,0)))</f>
        <v>0</v>
      </c>
      <c r="L271" s="17">
        <f t="shared" si="21"/>
        <v>0</v>
      </c>
      <c r="M271" s="15" t="str">
        <f>IF(F271="cetes",IF(COUNTIFS(CETES!$A$5:$A$95,A271,CETES!$B$5:$B$95,C271)=0,"",A271),SUMIFS(Precios!$K$5:$K$109,Precios!$I$5:$I$109,A271,Precios!$J$5:$J$109,C271))</f>
        <v/>
      </c>
      <c r="N271" s="18" t="str">
        <f>IF(F271="cetes",IF(COUNTIFS(CETES!$A$5:$A$95,A271,CETES!$B$5:$B$95,C271)=0,"",SUMIFS(CETES!$AF$5:$AF$95,CETES!$A$5:$A$95,A271,CETES!$B$5:$B$95,C271)),SUMIFS(Precios!$L$5:$L$109,Precios!$I$5:$I$109,A271,Precios!$J$5:$J$109,C271))</f>
        <v/>
      </c>
      <c r="O271" s="17">
        <f t="shared" si="22"/>
        <v>0</v>
      </c>
      <c r="P271" s="17">
        <f t="shared" si="23"/>
        <v>0</v>
      </c>
      <c r="Q271" s="17">
        <f>IF(F271="cetes",IF(A271=G271,SUMIFS(Transacciones!$N$5:$N$20,Transacciones!$T$5:$T$20,E271,Transacciones!$F$5:$F$20,"&lt;"&amp;A271)*H271,0),0)</f>
        <v>0</v>
      </c>
      <c r="R271" s="11" t="str">
        <f>IF(COUNTIF(Entradas!$A$14:$A$17,A271)&gt;0,"sí","")</f>
        <v/>
      </c>
      <c r="S271" s="11" t="str">
        <f t="shared" si="24"/>
        <v>46301|Principal|BI261105|Casa B</v>
      </c>
    </row>
    <row r="272" spans="1:19" x14ac:dyDescent="0.3">
      <c r="A272" s="20">
        <v>46301</v>
      </c>
      <c r="B272" s="21" t="s">
        <v>94</v>
      </c>
      <c r="C272" s="21" t="s">
        <v>137</v>
      </c>
      <c r="D272" s="21" t="s">
        <v>112</v>
      </c>
      <c r="E272" s="11" t="str">
        <f t="shared" si="20"/>
        <v>Principal|BI261217|Casa A</v>
      </c>
      <c r="F272" s="11" t="str">
        <f>INDEX(Entradas!$C$40:$C$46,MATCH(C272,Entradas!$A$40:$A$46,0))</f>
        <v>cetes</v>
      </c>
      <c r="G272" s="15">
        <f>IF(F272="cetes",INDEX(Entradas!$F$40:$F$46,MATCH(C272,Entradas!$A$40:$A$46,0)),"")</f>
        <v>46373</v>
      </c>
      <c r="H272" s="17">
        <f>IF(F272="cetes",INDEX(Entradas!$G$40:$G$46,MATCH(C272,Entradas!$A$40:$A$46,0)),"")</f>
        <v>10</v>
      </c>
      <c r="I272" s="14">
        <f>IF(F272="cetes",IF(A272&gt;=G272,0,SUMIFS(Transacciones!$N$5:$N$20,Transacciones!$T$5:$T$20,E272,Transacciones!$F$5:$F$20,"&lt;="&amp;A272)),SUMIFS(Transacciones!$N$5:$N$20,Transacciones!$T$5:$T$20,E272,Transacciones!$F$5:$F$20,"&lt;="&amp;A272))</f>
        <v>1000</v>
      </c>
      <c r="J272" s="14">
        <f>_xlfn.MAXIFS(Transacciones!$U$5:$U$20,Transacciones!$T$5:$T$20,E272,Transacciones!$F$5:$F$20,"&lt;="&amp;A272)</f>
        <v>46282008</v>
      </c>
      <c r="K272" s="18">
        <f>IF(I272=0,0,INDEX(Transacciones!$Z$5:$Z$20,MATCH(J272,Transacciones!$U$5:$U$20,0)))</f>
        <v>9.8344372</v>
      </c>
      <c r="L272" s="17">
        <f t="shared" si="21"/>
        <v>9834.4372000000003</v>
      </c>
      <c r="M272" s="15">
        <f>IF(F272="cetes",IF(COUNTIFS(CETES!$A$5:$A$95,A272,CETES!$B$5:$B$95,C272)=0,"",A272),SUMIFS(Precios!$K$5:$K$109,Precios!$I$5:$I$109,A272,Precios!$J$5:$J$109,C272))</f>
        <v>46301</v>
      </c>
      <c r="N272" s="18">
        <f>IF(F272="cetes",IF(COUNTIFS(CETES!$A$5:$A$95,A272,CETES!$B$5:$B$95,C272)=0,"",SUMIFS(CETES!$AF$5:$AF$95,CETES!$A$5:$A$95,A272,CETES!$B$5:$B$95,C272)),SUMIFS(Precios!$L$5:$L$109,Precios!$I$5:$I$109,A272,Precios!$J$5:$J$109,C272))</f>
        <v>9.8714177000000003</v>
      </c>
      <c r="O272" s="17">
        <f t="shared" si="22"/>
        <v>9871.4177</v>
      </c>
      <c r="P272" s="17">
        <f t="shared" si="23"/>
        <v>36.980499999999665</v>
      </c>
      <c r="Q272" s="17">
        <f>IF(F272="cetes",IF(A272=G272,SUMIFS(Transacciones!$N$5:$N$20,Transacciones!$T$5:$T$20,E272,Transacciones!$F$5:$F$20,"&lt;"&amp;A272)*H272,0),0)</f>
        <v>0</v>
      </c>
      <c r="R272" s="11" t="str">
        <f>IF(COUNTIF(Entradas!$A$14:$A$17,A272)&gt;0,"sí","")</f>
        <v/>
      </c>
      <c r="S272" s="11" t="str">
        <f t="shared" si="24"/>
        <v>46301|Principal|BI261217|Casa A</v>
      </c>
    </row>
    <row r="273" spans="1:19" x14ac:dyDescent="0.3">
      <c r="A273" s="20">
        <v>46301</v>
      </c>
      <c r="B273" s="21" t="s">
        <v>94</v>
      </c>
      <c r="C273" s="21" t="s">
        <v>139</v>
      </c>
      <c r="D273" s="21" t="s">
        <v>113</v>
      </c>
      <c r="E273" s="11" t="str">
        <f t="shared" si="20"/>
        <v>Principal|BI270318|Casa B</v>
      </c>
      <c r="F273" s="11" t="str">
        <f>INDEX(Entradas!$C$40:$C$46,MATCH(C273,Entradas!$A$40:$A$46,0))</f>
        <v>cetes</v>
      </c>
      <c r="G273" s="15">
        <f>IF(F273="cetes",INDEX(Entradas!$F$40:$F$46,MATCH(C273,Entradas!$A$40:$A$46,0)),"")</f>
        <v>46464</v>
      </c>
      <c r="H273" s="17">
        <f>IF(F273="cetes",INDEX(Entradas!$G$40:$G$46,MATCH(C273,Entradas!$A$40:$A$46,0)),"")</f>
        <v>10</v>
      </c>
      <c r="I273" s="14">
        <f>IF(F273="cetes",IF(A273&gt;=G273,0,SUMIFS(Transacciones!$N$5:$N$20,Transacciones!$T$5:$T$20,E273,Transacciones!$F$5:$F$20,"&lt;="&amp;A273)),SUMIFS(Transacciones!$N$5:$N$20,Transacciones!$T$5:$T$20,E273,Transacciones!$F$5:$F$20,"&lt;="&amp;A273))</f>
        <v>500</v>
      </c>
      <c r="J273" s="14">
        <f>_xlfn.MAXIFS(Transacciones!$U$5:$U$20,Transacciones!$T$5:$T$20,E273,Transacciones!$F$5:$F$20,"&lt;="&amp;A273)</f>
        <v>46282009</v>
      </c>
      <c r="K273" s="18">
        <f>IF(I273=0,0,INDEX(Transacciones!$Z$5:$Z$20,MATCH(J273,Transacciones!$U$5:$U$20,0)))</f>
        <v>9.6629249999999995</v>
      </c>
      <c r="L273" s="17">
        <f t="shared" si="21"/>
        <v>4831.4624999999996</v>
      </c>
      <c r="M273" s="15">
        <f>IF(F273="cetes",IF(COUNTIFS(CETES!$A$5:$A$95,A273,CETES!$B$5:$B$95,C273)=0,"",A273),SUMIFS(Precios!$K$5:$K$109,Precios!$I$5:$I$109,A273,Precios!$J$5:$J$109,C273))</f>
        <v>46301</v>
      </c>
      <c r="N273" s="18">
        <f>IF(F273="cetes",IF(COUNTIFS(CETES!$A$5:$A$95,A273,CETES!$B$5:$B$95,C273)=0,"",SUMIFS(CETES!$AF$5:$AF$95,CETES!$A$5:$A$95,A273,CETES!$B$5:$B$95,C273)),SUMIFS(Precios!$L$5:$L$109,Precios!$I$5:$I$109,A273,Precios!$J$5:$J$109,C273))</f>
        <v>9.6948542999999994</v>
      </c>
      <c r="O273" s="17">
        <f t="shared" si="22"/>
        <v>4847.4271499999995</v>
      </c>
      <c r="P273" s="17">
        <f t="shared" si="23"/>
        <v>15.964649999999892</v>
      </c>
      <c r="Q273" s="17">
        <f>IF(F273="cetes",IF(A273=G273,SUMIFS(Transacciones!$N$5:$N$20,Transacciones!$T$5:$T$20,E273,Transacciones!$F$5:$F$20,"&lt;"&amp;A273)*H273,0),0)</f>
        <v>0</v>
      </c>
      <c r="R273" s="11" t="str">
        <f>IF(COUNTIF(Entradas!$A$14:$A$17,A273)&gt;0,"sí","")</f>
        <v/>
      </c>
      <c r="S273" s="11" t="str">
        <f t="shared" si="24"/>
        <v>46301|Principal|BI270318|Casa B</v>
      </c>
    </row>
    <row r="274" spans="1:19" x14ac:dyDescent="0.3">
      <c r="A274" s="20">
        <v>46301</v>
      </c>
      <c r="B274" s="21" t="s">
        <v>103</v>
      </c>
      <c r="C274" s="21" t="s">
        <v>123</v>
      </c>
      <c r="D274" s="21" t="s">
        <v>112</v>
      </c>
      <c r="E274" s="11" t="str">
        <f t="shared" si="20"/>
        <v>Secundario|DEMOACC|Casa A</v>
      </c>
      <c r="F274" s="11" t="str">
        <f>INDEX(Entradas!$C$40:$C$46,MATCH(C274,Entradas!$A$40:$A$46,0))</f>
        <v>accion</v>
      </c>
      <c r="G274" s="15" t="str">
        <f>IF(F274="cetes",INDEX(Entradas!$F$40:$F$46,MATCH(C274,Entradas!$A$40:$A$46,0)),"")</f>
        <v/>
      </c>
      <c r="H274" s="17" t="str">
        <f>IF(F274="cetes",INDEX(Entradas!$G$40:$G$46,MATCH(C274,Entradas!$A$40:$A$46,0)),"")</f>
        <v/>
      </c>
      <c r="I274" s="14">
        <f>IF(F274="cetes",IF(A274&gt;=G274,0,SUMIFS(Transacciones!$N$5:$N$20,Transacciones!$T$5:$T$20,E274,Transacciones!$F$5:$F$20,"&lt;="&amp;A274)),SUMIFS(Transacciones!$N$5:$N$20,Transacciones!$T$5:$T$20,E274,Transacciones!$F$5:$F$20,"&lt;="&amp;A274))</f>
        <v>150</v>
      </c>
      <c r="J274" s="14">
        <f>_xlfn.MAXIFS(Transacciones!$U$5:$U$20,Transacciones!$T$5:$T$20,E274,Transacciones!$F$5:$F$20,"&lt;="&amp;A274)</f>
        <v>46279007</v>
      </c>
      <c r="K274" s="18">
        <f>IF(I274=0,0,INDEX(Transacciones!$Z$5:$Z$20,MATCH(J274,Transacciones!$U$5:$U$20,0)))</f>
        <v>103.90046666666666</v>
      </c>
      <c r="L274" s="17">
        <f t="shared" si="21"/>
        <v>15585.07</v>
      </c>
      <c r="M274" s="15">
        <f>IF(F274="cetes",IF(COUNTIFS(CETES!$A$5:$A$95,A274,CETES!$B$5:$B$95,C274)=0,"",A274),SUMIFS(Precios!$K$5:$K$109,Precios!$I$5:$I$109,A274,Precios!$J$5:$J$109,C274))</f>
        <v>46301</v>
      </c>
      <c r="N274" s="18">
        <f>IF(F274="cetes",IF(COUNTIFS(CETES!$A$5:$A$95,A274,CETES!$B$5:$B$95,C274)=0,"",SUMIFS(CETES!$AF$5:$AF$95,CETES!$A$5:$A$95,A274,CETES!$B$5:$B$95,C274)),SUMIFS(Precios!$L$5:$L$109,Precios!$I$5:$I$109,A274,Precios!$J$5:$J$109,C274))</f>
        <v>102.8</v>
      </c>
      <c r="O274" s="17">
        <f t="shared" si="22"/>
        <v>15420</v>
      </c>
      <c r="P274" s="17">
        <f t="shared" si="23"/>
        <v>-165.06999999999971</v>
      </c>
      <c r="Q274" s="17">
        <f>IF(F274="cetes",IF(A274=G274,SUMIFS(Transacciones!$N$5:$N$20,Transacciones!$T$5:$T$20,E274,Transacciones!$F$5:$F$20,"&lt;"&amp;A274)*H274,0),0)</f>
        <v>0</v>
      </c>
      <c r="R274" s="11" t="str">
        <f>IF(COUNTIF(Entradas!$A$14:$A$17,A274)&gt;0,"sí","")</f>
        <v/>
      </c>
      <c r="S274" s="11" t="str">
        <f t="shared" si="24"/>
        <v>46301|Secundario|DEMOACC|Casa A</v>
      </c>
    </row>
    <row r="275" spans="1:19" x14ac:dyDescent="0.3">
      <c r="A275" s="20">
        <v>46302</v>
      </c>
      <c r="B275" s="21" t="s">
        <v>94</v>
      </c>
      <c r="C275" s="21" t="s">
        <v>123</v>
      </c>
      <c r="D275" s="21" t="s">
        <v>112</v>
      </c>
      <c r="E275" s="11" t="str">
        <f t="shared" si="20"/>
        <v>Principal|DEMOACC|Casa A</v>
      </c>
      <c r="F275" s="11" t="str">
        <f>INDEX(Entradas!$C$40:$C$46,MATCH(C275,Entradas!$A$40:$A$46,0))</f>
        <v>accion</v>
      </c>
      <c r="G275" s="15" t="str">
        <f>IF(F275="cetes",INDEX(Entradas!$F$40:$F$46,MATCH(C275,Entradas!$A$40:$A$46,0)),"")</f>
        <v/>
      </c>
      <c r="H275" s="17" t="str">
        <f>IF(F275="cetes",INDEX(Entradas!$G$40:$G$46,MATCH(C275,Entradas!$A$40:$A$46,0)),"")</f>
        <v/>
      </c>
      <c r="I275" s="14">
        <f>IF(F275="cetes",IF(A275&gt;=G275,0,SUMIFS(Transacciones!$N$5:$N$20,Transacciones!$T$5:$T$20,E275,Transacciones!$F$5:$F$20,"&lt;="&amp;A275)),SUMIFS(Transacciones!$N$5:$N$20,Transacciones!$T$5:$T$20,E275,Transacciones!$F$5:$F$20,"&lt;="&amp;A275))</f>
        <v>120</v>
      </c>
      <c r="J275" s="14">
        <f>_xlfn.MAXIFS(Transacciones!$U$5:$U$20,Transacciones!$T$5:$T$20,E275,Transacciones!$F$5:$F$20,"&lt;="&amp;A275)</f>
        <v>46297514</v>
      </c>
      <c r="K275" s="18">
        <f>IF(I275=0,0,INDEX(Transacciones!$Z$5:$Z$20,MATCH(J275,Transacciones!$U$5:$U$20,0)))</f>
        <v>100.23985</v>
      </c>
      <c r="L275" s="17">
        <f t="shared" si="21"/>
        <v>12028.782000000001</v>
      </c>
      <c r="M275" s="15">
        <f>IF(F275="cetes",IF(COUNTIFS(CETES!$A$5:$A$95,A275,CETES!$B$5:$B$95,C275)=0,"",A275),SUMIFS(Precios!$K$5:$K$109,Precios!$I$5:$I$109,A275,Precios!$J$5:$J$109,C275))</f>
        <v>46302</v>
      </c>
      <c r="N275" s="18">
        <f>IF(F275="cetes",IF(COUNTIFS(CETES!$A$5:$A$95,A275,CETES!$B$5:$B$95,C275)=0,"",SUMIFS(CETES!$AF$5:$AF$95,CETES!$A$5:$A$95,A275,CETES!$B$5:$B$95,C275)),SUMIFS(Precios!$L$5:$L$109,Precios!$I$5:$I$109,A275,Precios!$J$5:$J$109,C275))</f>
        <v>104.95</v>
      </c>
      <c r="O275" s="17">
        <f t="shared" si="22"/>
        <v>12594</v>
      </c>
      <c r="P275" s="17">
        <f t="shared" si="23"/>
        <v>565.21799999999894</v>
      </c>
      <c r="Q275" s="17">
        <f>IF(F275="cetes",IF(A275=G275,SUMIFS(Transacciones!$N$5:$N$20,Transacciones!$T$5:$T$20,E275,Transacciones!$F$5:$F$20,"&lt;"&amp;A275)*H275,0),0)</f>
        <v>0</v>
      </c>
      <c r="R275" s="11" t="str">
        <f>IF(COUNTIF(Entradas!$A$14:$A$17,A275)&gt;0,"sí","")</f>
        <v/>
      </c>
      <c r="S275" s="11" t="str">
        <f t="shared" si="24"/>
        <v>46302|Principal|DEMOACC|Casa A</v>
      </c>
    </row>
    <row r="276" spans="1:19" x14ac:dyDescent="0.3">
      <c r="A276" s="20">
        <v>46302</v>
      </c>
      <c r="B276" s="21" t="s">
        <v>94</v>
      </c>
      <c r="C276" s="21" t="s">
        <v>123</v>
      </c>
      <c r="D276" s="21" t="s">
        <v>113</v>
      </c>
      <c r="E276" s="11" t="str">
        <f t="shared" si="20"/>
        <v>Principal|DEMOACC|Casa B</v>
      </c>
      <c r="F276" s="11" t="str">
        <f>INDEX(Entradas!$C$40:$C$46,MATCH(C276,Entradas!$A$40:$A$46,0))</f>
        <v>accion</v>
      </c>
      <c r="G276" s="15" t="str">
        <f>IF(F276="cetes",INDEX(Entradas!$F$40:$F$46,MATCH(C276,Entradas!$A$40:$A$46,0)),"")</f>
        <v/>
      </c>
      <c r="H276" s="17" t="str">
        <f>IF(F276="cetes",INDEX(Entradas!$G$40:$G$46,MATCH(C276,Entradas!$A$40:$A$46,0)),"")</f>
        <v/>
      </c>
      <c r="I276" s="14">
        <f>IF(F276="cetes",IF(A276&gt;=G276,0,SUMIFS(Transacciones!$N$5:$N$20,Transacciones!$T$5:$T$20,E276,Transacciones!$F$5:$F$20,"&lt;="&amp;A276)),SUMIFS(Transacciones!$N$5:$N$20,Transacciones!$T$5:$T$20,E276,Transacciones!$F$5:$F$20,"&lt;="&amp;A276))</f>
        <v>100</v>
      </c>
      <c r="J276" s="14">
        <f>_xlfn.MAXIFS(Transacciones!$U$5:$U$20,Transacciones!$T$5:$T$20,E276,Transacciones!$F$5:$F$20,"&lt;="&amp;A276)</f>
        <v>46279006</v>
      </c>
      <c r="K276" s="18">
        <f>IF(I276=0,0,INDEX(Transacciones!$Z$5:$Z$20,MATCH(J276,Transacciones!$U$5:$U$20,0)))</f>
        <v>103.399</v>
      </c>
      <c r="L276" s="17">
        <f t="shared" si="21"/>
        <v>10339.9</v>
      </c>
      <c r="M276" s="15">
        <f>IF(F276="cetes",IF(COUNTIFS(CETES!$A$5:$A$95,A276,CETES!$B$5:$B$95,C276)=0,"",A276),SUMIFS(Precios!$K$5:$K$109,Precios!$I$5:$I$109,A276,Precios!$J$5:$J$109,C276))</f>
        <v>46302</v>
      </c>
      <c r="N276" s="18">
        <f>IF(F276="cetes",IF(COUNTIFS(CETES!$A$5:$A$95,A276,CETES!$B$5:$B$95,C276)=0,"",SUMIFS(CETES!$AF$5:$AF$95,CETES!$A$5:$A$95,A276,CETES!$B$5:$B$95,C276)),SUMIFS(Precios!$L$5:$L$109,Precios!$I$5:$I$109,A276,Precios!$J$5:$J$109,C276))</f>
        <v>104.95</v>
      </c>
      <c r="O276" s="17">
        <f t="shared" si="22"/>
        <v>10495</v>
      </c>
      <c r="P276" s="17">
        <f t="shared" si="23"/>
        <v>155.10000000000036</v>
      </c>
      <c r="Q276" s="17">
        <f>IF(F276="cetes",IF(A276=G276,SUMIFS(Transacciones!$N$5:$N$20,Transacciones!$T$5:$T$20,E276,Transacciones!$F$5:$F$20,"&lt;"&amp;A276)*H276,0),0)</f>
        <v>0</v>
      </c>
      <c r="R276" s="11" t="str">
        <f>IF(COUNTIF(Entradas!$A$14:$A$17,A276)&gt;0,"sí","")</f>
        <v/>
      </c>
      <c r="S276" s="11" t="str">
        <f t="shared" si="24"/>
        <v>46302|Principal|DEMOACC|Casa B</v>
      </c>
    </row>
    <row r="277" spans="1:19" x14ac:dyDescent="0.3">
      <c r="A277" s="20">
        <v>46302</v>
      </c>
      <c r="B277" s="21" t="s">
        <v>94</v>
      </c>
      <c r="C277" s="21" t="s">
        <v>126</v>
      </c>
      <c r="D277" s="21" t="s">
        <v>113</v>
      </c>
      <c r="E277" s="11" t="str">
        <f t="shared" si="20"/>
        <v>Principal|DEMOETF|Casa B</v>
      </c>
      <c r="F277" s="11" t="str">
        <f>INDEX(Entradas!$C$40:$C$46,MATCH(C277,Entradas!$A$40:$A$46,0))</f>
        <v>etf</v>
      </c>
      <c r="G277" s="15" t="str">
        <f>IF(F277="cetes",INDEX(Entradas!$F$40:$F$46,MATCH(C277,Entradas!$A$40:$A$46,0)),"")</f>
        <v/>
      </c>
      <c r="H277" s="17" t="str">
        <f>IF(F277="cetes",INDEX(Entradas!$G$40:$G$46,MATCH(C277,Entradas!$A$40:$A$46,0)),"")</f>
        <v/>
      </c>
      <c r="I277" s="14">
        <f>IF(F277="cetes",IF(A277&gt;=G277,0,SUMIFS(Transacciones!$N$5:$N$20,Transacciones!$T$5:$T$20,E277,Transacciones!$F$5:$F$20,"&lt;="&amp;A277)),SUMIFS(Transacciones!$N$5:$N$20,Transacciones!$T$5:$T$20,E277,Transacciones!$F$5:$F$20,"&lt;="&amp;A277))</f>
        <v>40</v>
      </c>
      <c r="J277" s="14">
        <f>_xlfn.MAXIFS(Transacciones!$U$5:$U$20,Transacciones!$T$5:$T$20,E277,Transacciones!$F$5:$F$20,"&lt;="&amp;A277)</f>
        <v>46290512</v>
      </c>
      <c r="K277" s="18">
        <f>IF(I277=0,0,INDEX(Transacciones!$Z$5:$Z$20,MATCH(J277,Transacciones!$U$5:$U$20,0)))</f>
        <v>49.386499999999998</v>
      </c>
      <c r="L277" s="17">
        <f t="shared" si="21"/>
        <v>1975.46</v>
      </c>
      <c r="M277" s="15">
        <f>IF(F277="cetes",IF(COUNTIFS(CETES!$A$5:$A$95,A277,CETES!$B$5:$B$95,C277)=0,"",A277),SUMIFS(Precios!$K$5:$K$109,Precios!$I$5:$I$109,A277,Precios!$J$5:$J$109,C277))</f>
        <v>46302</v>
      </c>
      <c r="N277" s="18">
        <f>IF(F277="cetes",IF(COUNTIFS(CETES!$A$5:$A$95,A277,CETES!$B$5:$B$95,C277)=0,"",SUMIFS(CETES!$AF$5:$AF$95,CETES!$A$5:$A$95,A277,CETES!$B$5:$B$95,C277)),SUMIFS(Precios!$L$5:$L$109,Precios!$I$5:$I$109,A277,Precios!$J$5:$J$109,C277))</f>
        <v>50.96</v>
      </c>
      <c r="O277" s="17">
        <f t="shared" si="22"/>
        <v>2038.4</v>
      </c>
      <c r="P277" s="17">
        <f t="shared" si="23"/>
        <v>62.940000000000055</v>
      </c>
      <c r="Q277" s="17">
        <f>IF(F277="cetes",IF(A277=G277,SUMIFS(Transacciones!$N$5:$N$20,Transacciones!$T$5:$T$20,E277,Transacciones!$F$5:$F$20,"&lt;"&amp;A277)*H277,0),0)</f>
        <v>0</v>
      </c>
      <c r="R277" s="11" t="str">
        <f>IF(COUNTIF(Entradas!$A$14:$A$17,A277)&gt;0,"sí","")</f>
        <v/>
      </c>
      <c r="S277" s="11" t="str">
        <f t="shared" si="24"/>
        <v>46302|Principal|DEMOETF|Casa B</v>
      </c>
    </row>
    <row r="278" spans="1:19" x14ac:dyDescent="0.3">
      <c r="A278" s="20">
        <v>46302</v>
      </c>
      <c r="B278" s="21" t="s">
        <v>94</v>
      </c>
      <c r="C278" s="21" t="s">
        <v>129</v>
      </c>
      <c r="D278" s="21" t="s">
        <v>112</v>
      </c>
      <c r="E278" s="11" t="str">
        <f t="shared" si="20"/>
        <v>Principal|DEMOFIB|Casa A</v>
      </c>
      <c r="F278" s="11" t="str">
        <f>INDEX(Entradas!$C$40:$C$46,MATCH(C278,Entradas!$A$40:$A$46,0))</f>
        <v>fibra</v>
      </c>
      <c r="G278" s="15" t="str">
        <f>IF(F278="cetes",INDEX(Entradas!$F$40:$F$46,MATCH(C278,Entradas!$A$40:$A$46,0)),"")</f>
        <v/>
      </c>
      <c r="H278" s="17" t="str">
        <f>IF(F278="cetes",INDEX(Entradas!$G$40:$G$46,MATCH(C278,Entradas!$A$40:$A$46,0)),"")</f>
        <v/>
      </c>
      <c r="I278" s="14">
        <f>IF(F278="cetes",IF(A278&gt;=G278,0,SUMIFS(Transacciones!$N$5:$N$20,Transacciones!$T$5:$T$20,E278,Transacciones!$F$5:$F$20,"&lt;="&amp;A278)),SUMIFS(Transacciones!$N$5:$N$20,Transacciones!$T$5:$T$20,E278,Transacciones!$F$5:$F$20,"&lt;="&amp;A278))</f>
        <v>300</v>
      </c>
      <c r="J278" s="14">
        <f>_xlfn.MAXIFS(Transacciones!$U$5:$U$20,Transacciones!$T$5:$T$20,E278,Transacciones!$F$5:$F$20,"&lt;="&amp;A278)</f>
        <v>46300015</v>
      </c>
      <c r="K278" s="18">
        <f>IF(I278=0,0,INDEX(Transacciones!$Z$5:$Z$20,MATCH(J278,Transacciones!$U$5:$U$20,0)))</f>
        <v>24.4833</v>
      </c>
      <c r="L278" s="17">
        <f t="shared" si="21"/>
        <v>7344.99</v>
      </c>
      <c r="M278" s="15">
        <f>IF(F278="cetes",IF(COUNTIFS(CETES!$A$5:$A$95,A278,CETES!$B$5:$B$95,C278)=0,"",A278),SUMIFS(Precios!$K$5:$K$109,Precios!$I$5:$I$109,A278,Precios!$J$5:$J$109,C278))</f>
        <v>46302</v>
      </c>
      <c r="N278" s="18">
        <f>IF(F278="cetes",IF(COUNTIFS(CETES!$A$5:$A$95,A278,CETES!$B$5:$B$95,C278)=0,"",SUMIFS(CETES!$AF$5:$AF$95,CETES!$A$5:$A$95,A278,CETES!$B$5:$B$95,C278)),SUMIFS(Precios!$L$5:$L$109,Precios!$I$5:$I$109,A278,Precios!$J$5:$J$109,C278))</f>
        <v>24.887499999999999</v>
      </c>
      <c r="O278" s="17">
        <f t="shared" si="22"/>
        <v>7466.25</v>
      </c>
      <c r="P278" s="17">
        <f t="shared" si="23"/>
        <v>121.26000000000022</v>
      </c>
      <c r="Q278" s="17">
        <f>IF(F278="cetes",IF(A278=G278,SUMIFS(Transacciones!$N$5:$N$20,Transacciones!$T$5:$T$20,E278,Transacciones!$F$5:$F$20,"&lt;"&amp;A278)*H278,0),0)</f>
        <v>0</v>
      </c>
      <c r="R278" s="11" t="str">
        <f>IF(COUNTIF(Entradas!$A$14:$A$17,A278)&gt;0,"sí","")</f>
        <v/>
      </c>
      <c r="S278" s="11" t="str">
        <f t="shared" si="24"/>
        <v>46302|Principal|DEMOFIB|Casa A</v>
      </c>
    </row>
    <row r="279" spans="1:19" x14ac:dyDescent="0.3">
      <c r="A279" s="20">
        <v>46302</v>
      </c>
      <c r="B279" s="21" t="s">
        <v>94</v>
      </c>
      <c r="C279" s="21" t="s">
        <v>132</v>
      </c>
      <c r="D279" s="21" t="s">
        <v>112</v>
      </c>
      <c r="E279" s="11" t="str">
        <f t="shared" si="20"/>
        <v>Principal|BI261008|Casa A</v>
      </c>
      <c r="F279" s="11" t="str">
        <f>INDEX(Entradas!$C$40:$C$46,MATCH(C279,Entradas!$A$40:$A$46,0))</f>
        <v>cetes</v>
      </c>
      <c r="G279" s="15">
        <f>IF(F279="cetes",INDEX(Entradas!$F$40:$F$46,MATCH(C279,Entradas!$A$40:$A$46,0)),"")</f>
        <v>46303</v>
      </c>
      <c r="H279" s="17">
        <f>IF(F279="cetes",INDEX(Entradas!$G$40:$G$46,MATCH(C279,Entradas!$A$40:$A$46,0)),"")</f>
        <v>10</v>
      </c>
      <c r="I279" s="14">
        <f>IF(F279="cetes",IF(A279&gt;=G279,0,SUMIFS(Transacciones!$N$5:$N$20,Transacciones!$T$5:$T$20,E279,Transacciones!$F$5:$F$20,"&lt;="&amp;A279)),SUMIFS(Transacciones!$N$5:$N$20,Transacciones!$T$5:$T$20,E279,Transacciones!$F$5:$F$20,"&lt;="&amp;A279))</f>
        <v>1000</v>
      </c>
      <c r="J279" s="14">
        <f>_xlfn.MAXIFS(Transacciones!$U$5:$U$20,Transacciones!$T$5:$T$20,E279,Transacciones!$F$5:$F$20,"&lt;="&amp;A279)</f>
        <v>46296513</v>
      </c>
      <c r="K279" s="18">
        <f>IF(I279=0,0,INDEX(Transacciones!$Z$5:$Z$20,MATCH(J279,Transacciones!$U$5:$U$20,0)))</f>
        <v>9.9516240000000007</v>
      </c>
      <c r="L279" s="17">
        <f t="shared" si="21"/>
        <v>9951.6239999999998</v>
      </c>
      <c r="M279" s="15">
        <f>IF(F279="cetes",IF(COUNTIFS(CETES!$A$5:$A$95,A279,CETES!$B$5:$B$95,C279)=0,"",A279),SUMIFS(Precios!$K$5:$K$109,Precios!$I$5:$I$109,A279,Precios!$J$5:$J$109,C279))</f>
        <v>46302</v>
      </c>
      <c r="N279" s="18">
        <f>IF(F279="cetes",IF(COUNTIFS(CETES!$A$5:$A$95,A279,CETES!$B$5:$B$95,C279)=0,"",SUMIFS(CETES!$AF$5:$AF$95,CETES!$A$5:$A$95,A279,CETES!$B$5:$B$95,C279)),SUMIFS(Precios!$L$5:$L$109,Precios!$I$5:$I$109,A279,Precios!$J$5:$J$109,C279))</f>
        <v>9.9983307999999997</v>
      </c>
      <c r="O279" s="17">
        <f t="shared" si="22"/>
        <v>9998.3307999999997</v>
      </c>
      <c r="P279" s="17">
        <f t="shared" si="23"/>
        <v>46.70679999999993</v>
      </c>
      <c r="Q279" s="17">
        <f>IF(F279="cetes",IF(A279=G279,SUMIFS(Transacciones!$N$5:$N$20,Transacciones!$T$5:$T$20,E279,Transacciones!$F$5:$F$20,"&lt;"&amp;A279)*H279,0),0)</f>
        <v>0</v>
      </c>
      <c r="R279" s="11" t="str">
        <f>IF(COUNTIF(Entradas!$A$14:$A$17,A279)&gt;0,"sí","")</f>
        <v/>
      </c>
      <c r="S279" s="11" t="str">
        <f t="shared" si="24"/>
        <v>46302|Principal|BI261008|Casa A</v>
      </c>
    </row>
    <row r="280" spans="1:19" x14ac:dyDescent="0.3">
      <c r="A280" s="20">
        <v>46302</v>
      </c>
      <c r="B280" s="21" t="s">
        <v>94</v>
      </c>
      <c r="C280" s="21" t="s">
        <v>132</v>
      </c>
      <c r="D280" s="21" t="s">
        <v>113</v>
      </c>
      <c r="E280" s="11" t="str">
        <f t="shared" si="20"/>
        <v>Principal|BI261008|Casa B</v>
      </c>
      <c r="F280" s="11" t="str">
        <f>INDEX(Entradas!$C$40:$C$46,MATCH(C280,Entradas!$A$40:$A$46,0))</f>
        <v>cetes</v>
      </c>
      <c r="G280" s="15">
        <f>IF(F280="cetes",INDEX(Entradas!$F$40:$F$46,MATCH(C280,Entradas!$A$40:$A$46,0)),"")</f>
        <v>46303</v>
      </c>
      <c r="H280" s="17">
        <f>IF(F280="cetes",INDEX(Entradas!$G$40:$G$46,MATCH(C280,Entradas!$A$40:$A$46,0)),"")</f>
        <v>10</v>
      </c>
      <c r="I280" s="14">
        <f>IF(F280="cetes",IF(A280&gt;=G280,0,SUMIFS(Transacciones!$N$5:$N$20,Transacciones!$T$5:$T$20,E280,Transacciones!$F$5:$F$20,"&lt;="&amp;A280)),SUMIFS(Transacciones!$N$5:$N$20,Transacciones!$T$5:$T$20,E280,Transacciones!$F$5:$F$20,"&lt;="&amp;A280))</f>
        <v>1000</v>
      </c>
      <c r="J280" s="14">
        <f>_xlfn.MAXIFS(Transacciones!$U$5:$U$20,Transacciones!$T$5:$T$20,E280,Transacciones!$F$5:$F$20,"&lt;="&amp;A280)</f>
        <v>46275004</v>
      </c>
      <c r="K280" s="18">
        <f>IF(I280=0,0,INDEX(Transacciones!$Z$5:$Z$20,MATCH(J280,Transacciones!$U$5:$U$20,0)))</f>
        <v>9.9516239999999989</v>
      </c>
      <c r="L280" s="17">
        <f t="shared" si="21"/>
        <v>9951.6239999999998</v>
      </c>
      <c r="M280" s="15">
        <f>IF(F280="cetes",IF(COUNTIFS(CETES!$A$5:$A$95,A280,CETES!$B$5:$B$95,C280)=0,"",A280),SUMIFS(Precios!$K$5:$K$109,Precios!$I$5:$I$109,A280,Precios!$J$5:$J$109,C280))</f>
        <v>46302</v>
      </c>
      <c r="N280" s="18">
        <f>IF(F280="cetes",IF(COUNTIFS(CETES!$A$5:$A$95,A280,CETES!$B$5:$B$95,C280)=0,"",SUMIFS(CETES!$AF$5:$AF$95,CETES!$A$5:$A$95,A280,CETES!$B$5:$B$95,C280)),SUMIFS(Precios!$L$5:$L$109,Precios!$I$5:$I$109,A280,Precios!$J$5:$J$109,C280))</f>
        <v>9.9983307999999997</v>
      </c>
      <c r="O280" s="17">
        <f t="shared" si="22"/>
        <v>9998.3307999999997</v>
      </c>
      <c r="P280" s="17">
        <f t="shared" si="23"/>
        <v>46.70679999999993</v>
      </c>
      <c r="Q280" s="17">
        <f>IF(F280="cetes",IF(A280=G280,SUMIFS(Transacciones!$N$5:$N$20,Transacciones!$T$5:$T$20,E280,Transacciones!$F$5:$F$20,"&lt;"&amp;A280)*H280,0),0)</f>
        <v>0</v>
      </c>
      <c r="R280" s="11" t="str">
        <f>IF(COUNTIF(Entradas!$A$14:$A$17,A280)&gt;0,"sí","")</f>
        <v/>
      </c>
      <c r="S280" s="11" t="str">
        <f t="shared" si="24"/>
        <v>46302|Principal|BI261008|Casa B</v>
      </c>
    </row>
    <row r="281" spans="1:19" x14ac:dyDescent="0.3">
      <c r="A281" s="20">
        <v>46302</v>
      </c>
      <c r="B281" s="21" t="s">
        <v>94</v>
      </c>
      <c r="C281" s="21" t="s">
        <v>135</v>
      </c>
      <c r="D281" s="21" t="s">
        <v>113</v>
      </c>
      <c r="E281" s="11" t="str">
        <f t="shared" si="20"/>
        <v>Principal|BI261105|Casa B</v>
      </c>
      <c r="F281" s="11" t="str">
        <f>INDEX(Entradas!$C$40:$C$46,MATCH(C281,Entradas!$A$40:$A$46,0))</f>
        <v>cetes</v>
      </c>
      <c r="G281" s="15">
        <f>IF(F281="cetes",INDEX(Entradas!$F$40:$F$46,MATCH(C281,Entradas!$A$40:$A$46,0)),"")</f>
        <v>46331</v>
      </c>
      <c r="H281" s="17">
        <f>IF(F281="cetes",INDEX(Entradas!$G$40:$G$46,MATCH(C281,Entradas!$A$40:$A$46,0)),"")</f>
        <v>10</v>
      </c>
      <c r="I281" s="14">
        <f>IF(F281="cetes",IF(A281&gt;=G281,0,SUMIFS(Transacciones!$N$5:$N$20,Transacciones!$T$5:$T$20,E281,Transacciones!$F$5:$F$20,"&lt;="&amp;A281)),SUMIFS(Transacciones!$N$5:$N$20,Transacciones!$T$5:$T$20,E281,Transacciones!$F$5:$F$20,"&lt;="&amp;A281))</f>
        <v>0</v>
      </c>
      <c r="J281" s="14">
        <f>_xlfn.MAXIFS(Transacciones!$U$5:$U$20,Transacciones!$T$5:$T$20,E281,Transacciones!$F$5:$F$20,"&lt;="&amp;A281)</f>
        <v>0</v>
      </c>
      <c r="K281" s="18">
        <f>IF(I281=0,0,INDEX(Transacciones!$Z$5:$Z$20,MATCH(J281,Transacciones!$U$5:$U$20,0)))</f>
        <v>0</v>
      </c>
      <c r="L281" s="17">
        <f t="shared" si="21"/>
        <v>0</v>
      </c>
      <c r="M281" s="15" t="str">
        <f>IF(F281="cetes",IF(COUNTIFS(CETES!$A$5:$A$95,A281,CETES!$B$5:$B$95,C281)=0,"",A281),SUMIFS(Precios!$K$5:$K$109,Precios!$I$5:$I$109,A281,Precios!$J$5:$J$109,C281))</f>
        <v/>
      </c>
      <c r="N281" s="18" t="str">
        <f>IF(F281="cetes",IF(COUNTIFS(CETES!$A$5:$A$95,A281,CETES!$B$5:$B$95,C281)=0,"",SUMIFS(CETES!$AF$5:$AF$95,CETES!$A$5:$A$95,A281,CETES!$B$5:$B$95,C281)),SUMIFS(Precios!$L$5:$L$109,Precios!$I$5:$I$109,A281,Precios!$J$5:$J$109,C281))</f>
        <v/>
      </c>
      <c r="O281" s="17">
        <f t="shared" si="22"/>
        <v>0</v>
      </c>
      <c r="P281" s="17">
        <f t="shared" si="23"/>
        <v>0</v>
      </c>
      <c r="Q281" s="17">
        <f>IF(F281="cetes",IF(A281=G281,SUMIFS(Transacciones!$N$5:$N$20,Transacciones!$T$5:$T$20,E281,Transacciones!$F$5:$F$20,"&lt;"&amp;A281)*H281,0),0)</f>
        <v>0</v>
      </c>
      <c r="R281" s="11" t="str">
        <f>IF(COUNTIF(Entradas!$A$14:$A$17,A281)&gt;0,"sí","")</f>
        <v/>
      </c>
      <c r="S281" s="11" t="str">
        <f t="shared" si="24"/>
        <v>46302|Principal|BI261105|Casa B</v>
      </c>
    </row>
    <row r="282" spans="1:19" x14ac:dyDescent="0.3">
      <c r="A282" s="20">
        <v>46302</v>
      </c>
      <c r="B282" s="21" t="s">
        <v>94</v>
      </c>
      <c r="C282" s="21" t="s">
        <v>137</v>
      </c>
      <c r="D282" s="21" t="s">
        <v>112</v>
      </c>
      <c r="E282" s="11" t="str">
        <f t="shared" si="20"/>
        <v>Principal|BI261217|Casa A</v>
      </c>
      <c r="F282" s="11" t="str">
        <f>INDEX(Entradas!$C$40:$C$46,MATCH(C282,Entradas!$A$40:$A$46,0))</f>
        <v>cetes</v>
      </c>
      <c r="G282" s="15">
        <f>IF(F282="cetes",INDEX(Entradas!$F$40:$F$46,MATCH(C282,Entradas!$A$40:$A$46,0)),"")</f>
        <v>46373</v>
      </c>
      <c r="H282" s="17">
        <f>IF(F282="cetes",INDEX(Entradas!$G$40:$G$46,MATCH(C282,Entradas!$A$40:$A$46,0)),"")</f>
        <v>10</v>
      </c>
      <c r="I282" s="14">
        <f>IF(F282="cetes",IF(A282&gt;=G282,0,SUMIFS(Transacciones!$N$5:$N$20,Transacciones!$T$5:$T$20,E282,Transacciones!$F$5:$F$20,"&lt;="&amp;A282)),SUMIFS(Transacciones!$N$5:$N$20,Transacciones!$T$5:$T$20,E282,Transacciones!$F$5:$F$20,"&lt;="&amp;A282))</f>
        <v>1000</v>
      </c>
      <c r="J282" s="14">
        <f>_xlfn.MAXIFS(Transacciones!$U$5:$U$20,Transacciones!$T$5:$T$20,E282,Transacciones!$F$5:$F$20,"&lt;="&amp;A282)</f>
        <v>46282008</v>
      </c>
      <c r="K282" s="18">
        <f>IF(I282=0,0,INDEX(Transacciones!$Z$5:$Z$20,MATCH(J282,Transacciones!$U$5:$U$20,0)))</f>
        <v>9.8344372</v>
      </c>
      <c r="L282" s="17">
        <f t="shared" si="21"/>
        <v>9834.4372000000003</v>
      </c>
      <c r="M282" s="15">
        <f>IF(F282="cetes",IF(COUNTIFS(CETES!$A$5:$A$95,A282,CETES!$B$5:$B$95,C282)=0,"",A282),SUMIFS(Precios!$K$5:$K$109,Precios!$I$5:$I$109,A282,Precios!$J$5:$J$109,C282))</f>
        <v>46302</v>
      </c>
      <c r="N282" s="18">
        <f>IF(F282="cetes",IF(COUNTIFS(CETES!$A$5:$A$95,A282,CETES!$B$5:$B$95,C282)=0,"",SUMIFS(CETES!$AF$5:$AF$95,CETES!$A$5:$A$95,A282,CETES!$B$5:$B$95,C282)),SUMIFS(Precios!$L$5:$L$109,Precios!$I$5:$I$109,A282,Precios!$J$5:$J$109,C282))</f>
        <v>9.8734006999999995</v>
      </c>
      <c r="O282" s="17">
        <f t="shared" si="22"/>
        <v>9873.4007000000001</v>
      </c>
      <c r="P282" s="17">
        <f t="shared" si="23"/>
        <v>38.96349999999984</v>
      </c>
      <c r="Q282" s="17">
        <f>IF(F282="cetes",IF(A282=G282,SUMIFS(Transacciones!$N$5:$N$20,Transacciones!$T$5:$T$20,E282,Transacciones!$F$5:$F$20,"&lt;"&amp;A282)*H282,0),0)</f>
        <v>0</v>
      </c>
      <c r="R282" s="11" t="str">
        <f>IF(COUNTIF(Entradas!$A$14:$A$17,A282)&gt;0,"sí","")</f>
        <v/>
      </c>
      <c r="S282" s="11" t="str">
        <f t="shared" si="24"/>
        <v>46302|Principal|BI261217|Casa A</v>
      </c>
    </row>
    <row r="283" spans="1:19" x14ac:dyDescent="0.3">
      <c r="A283" s="20">
        <v>46302</v>
      </c>
      <c r="B283" s="21" t="s">
        <v>94</v>
      </c>
      <c r="C283" s="21" t="s">
        <v>139</v>
      </c>
      <c r="D283" s="21" t="s">
        <v>113</v>
      </c>
      <c r="E283" s="11" t="str">
        <f t="shared" si="20"/>
        <v>Principal|BI270318|Casa B</v>
      </c>
      <c r="F283" s="11" t="str">
        <f>INDEX(Entradas!$C$40:$C$46,MATCH(C283,Entradas!$A$40:$A$46,0))</f>
        <v>cetes</v>
      </c>
      <c r="G283" s="15">
        <f>IF(F283="cetes",INDEX(Entradas!$F$40:$F$46,MATCH(C283,Entradas!$A$40:$A$46,0)),"")</f>
        <v>46464</v>
      </c>
      <c r="H283" s="17">
        <f>IF(F283="cetes",INDEX(Entradas!$G$40:$G$46,MATCH(C283,Entradas!$A$40:$A$46,0)),"")</f>
        <v>10</v>
      </c>
      <c r="I283" s="14">
        <f>IF(F283="cetes",IF(A283&gt;=G283,0,SUMIFS(Transacciones!$N$5:$N$20,Transacciones!$T$5:$T$20,E283,Transacciones!$F$5:$F$20,"&lt;="&amp;A283)),SUMIFS(Transacciones!$N$5:$N$20,Transacciones!$T$5:$T$20,E283,Transacciones!$F$5:$F$20,"&lt;="&amp;A283))</f>
        <v>500</v>
      </c>
      <c r="J283" s="14">
        <f>_xlfn.MAXIFS(Transacciones!$U$5:$U$20,Transacciones!$T$5:$T$20,E283,Transacciones!$F$5:$F$20,"&lt;="&amp;A283)</f>
        <v>46282009</v>
      </c>
      <c r="K283" s="18">
        <f>IF(I283=0,0,INDEX(Transacciones!$Z$5:$Z$20,MATCH(J283,Transacciones!$U$5:$U$20,0)))</f>
        <v>9.6629249999999995</v>
      </c>
      <c r="L283" s="17">
        <f t="shared" si="21"/>
        <v>4831.4624999999996</v>
      </c>
      <c r="M283" s="15">
        <f>IF(F283="cetes",IF(COUNTIFS(CETES!$A$5:$A$95,A283,CETES!$B$5:$B$95,C283)=0,"",A283),SUMIFS(Precios!$K$5:$K$109,Precios!$I$5:$I$109,A283,Precios!$J$5:$J$109,C283))</f>
        <v>46302</v>
      </c>
      <c r="N283" s="18">
        <f>IF(F283="cetes",IF(COUNTIFS(CETES!$A$5:$A$95,A283,CETES!$B$5:$B$95,C283)=0,"",SUMIFS(CETES!$AF$5:$AF$95,CETES!$A$5:$A$95,A283,CETES!$B$5:$B$95,C283)),SUMIFS(Precios!$L$5:$L$109,Precios!$I$5:$I$109,A283,Precios!$J$5:$J$109,C283))</f>
        <v>9.6967996999999997</v>
      </c>
      <c r="O283" s="17">
        <f t="shared" si="22"/>
        <v>4848.3998499999998</v>
      </c>
      <c r="P283" s="17">
        <f t="shared" si="23"/>
        <v>16.937350000000151</v>
      </c>
      <c r="Q283" s="17">
        <f>IF(F283="cetes",IF(A283=G283,SUMIFS(Transacciones!$N$5:$N$20,Transacciones!$T$5:$T$20,E283,Transacciones!$F$5:$F$20,"&lt;"&amp;A283)*H283,0),0)</f>
        <v>0</v>
      </c>
      <c r="R283" s="11" t="str">
        <f>IF(COUNTIF(Entradas!$A$14:$A$17,A283)&gt;0,"sí","")</f>
        <v/>
      </c>
      <c r="S283" s="11" t="str">
        <f t="shared" si="24"/>
        <v>46302|Principal|BI270318|Casa B</v>
      </c>
    </row>
    <row r="284" spans="1:19" x14ac:dyDescent="0.3">
      <c r="A284" s="20">
        <v>46302</v>
      </c>
      <c r="B284" s="21" t="s">
        <v>103</v>
      </c>
      <c r="C284" s="21" t="s">
        <v>123</v>
      </c>
      <c r="D284" s="21" t="s">
        <v>112</v>
      </c>
      <c r="E284" s="11" t="str">
        <f t="shared" si="20"/>
        <v>Secundario|DEMOACC|Casa A</v>
      </c>
      <c r="F284" s="11" t="str">
        <f>INDEX(Entradas!$C$40:$C$46,MATCH(C284,Entradas!$A$40:$A$46,0))</f>
        <v>accion</v>
      </c>
      <c r="G284" s="15" t="str">
        <f>IF(F284="cetes",INDEX(Entradas!$F$40:$F$46,MATCH(C284,Entradas!$A$40:$A$46,0)),"")</f>
        <v/>
      </c>
      <c r="H284" s="17" t="str">
        <f>IF(F284="cetes",INDEX(Entradas!$G$40:$G$46,MATCH(C284,Entradas!$A$40:$A$46,0)),"")</f>
        <v/>
      </c>
      <c r="I284" s="14">
        <f>IF(F284="cetes",IF(A284&gt;=G284,0,SUMIFS(Transacciones!$N$5:$N$20,Transacciones!$T$5:$T$20,E284,Transacciones!$F$5:$F$20,"&lt;="&amp;A284)),SUMIFS(Transacciones!$N$5:$N$20,Transacciones!$T$5:$T$20,E284,Transacciones!$F$5:$F$20,"&lt;="&amp;A284))</f>
        <v>150</v>
      </c>
      <c r="J284" s="14">
        <f>_xlfn.MAXIFS(Transacciones!$U$5:$U$20,Transacciones!$T$5:$T$20,E284,Transacciones!$F$5:$F$20,"&lt;="&amp;A284)</f>
        <v>46279007</v>
      </c>
      <c r="K284" s="18">
        <f>IF(I284=0,0,INDEX(Transacciones!$Z$5:$Z$20,MATCH(J284,Transacciones!$U$5:$U$20,0)))</f>
        <v>103.90046666666666</v>
      </c>
      <c r="L284" s="17">
        <f t="shared" si="21"/>
        <v>15585.07</v>
      </c>
      <c r="M284" s="15">
        <f>IF(F284="cetes",IF(COUNTIFS(CETES!$A$5:$A$95,A284,CETES!$B$5:$B$95,C284)=0,"",A284),SUMIFS(Precios!$K$5:$K$109,Precios!$I$5:$I$109,A284,Precios!$J$5:$J$109,C284))</f>
        <v>46302</v>
      </c>
      <c r="N284" s="18">
        <f>IF(F284="cetes",IF(COUNTIFS(CETES!$A$5:$A$95,A284,CETES!$B$5:$B$95,C284)=0,"",SUMIFS(CETES!$AF$5:$AF$95,CETES!$A$5:$A$95,A284,CETES!$B$5:$B$95,C284)),SUMIFS(Precios!$L$5:$L$109,Precios!$I$5:$I$109,A284,Precios!$J$5:$J$109,C284))</f>
        <v>104.95</v>
      </c>
      <c r="O284" s="17">
        <f t="shared" si="22"/>
        <v>15742.5</v>
      </c>
      <c r="P284" s="17">
        <f t="shared" si="23"/>
        <v>157.43000000000029</v>
      </c>
      <c r="Q284" s="17">
        <f>IF(F284="cetes",IF(A284=G284,SUMIFS(Transacciones!$N$5:$N$20,Transacciones!$T$5:$T$20,E284,Transacciones!$F$5:$F$20,"&lt;"&amp;A284)*H284,0),0)</f>
        <v>0</v>
      </c>
      <c r="R284" s="11" t="str">
        <f>IF(COUNTIF(Entradas!$A$14:$A$17,A284)&gt;0,"sí","")</f>
        <v/>
      </c>
      <c r="S284" s="11" t="str">
        <f t="shared" si="24"/>
        <v>46302|Secundario|DEMOACC|Casa A</v>
      </c>
    </row>
    <row r="285" spans="1:19" x14ac:dyDescent="0.3">
      <c r="A285" s="20">
        <v>46303</v>
      </c>
      <c r="B285" s="21" t="s">
        <v>94</v>
      </c>
      <c r="C285" s="21" t="s">
        <v>123</v>
      </c>
      <c r="D285" s="21" t="s">
        <v>112</v>
      </c>
      <c r="E285" s="11" t="str">
        <f t="shared" si="20"/>
        <v>Principal|DEMOACC|Casa A</v>
      </c>
      <c r="F285" s="11" t="str">
        <f>INDEX(Entradas!$C$40:$C$46,MATCH(C285,Entradas!$A$40:$A$46,0))</f>
        <v>accion</v>
      </c>
      <c r="G285" s="15" t="str">
        <f>IF(F285="cetes",INDEX(Entradas!$F$40:$F$46,MATCH(C285,Entradas!$A$40:$A$46,0)),"")</f>
        <v/>
      </c>
      <c r="H285" s="17" t="str">
        <f>IF(F285="cetes",INDEX(Entradas!$G$40:$G$46,MATCH(C285,Entradas!$A$40:$A$46,0)),"")</f>
        <v/>
      </c>
      <c r="I285" s="14">
        <f>IF(F285="cetes",IF(A285&gt;=G285,0,SUMIFS(Transacciones!$N$5:$N$20,Transacciones!$T$5:$T$20,E285,Transacciones!$F$5:$F$20,"&lt;="&amp;A285)),SUMIFS(Transacciones!$N$5:$N$20,Transacciones!$T$5:$T$20,E285,Transacciones!$F$5:$F$20,"&lt;="&amp;A285))</f>
        <v>120</v>
      </c>
      <c r="J285" s="14">
        <f>_xlfn.MAXIFS(Transacciones!$U$5:$U$20,Transacciones!$T$5:$T$20,E285,Transacciones!$F$5:$F$20,"&lt;="&amp;A285)</f>
        <v>46297514</v>
      </c>
      <c r="K285" s="18">
        <f>IF(I285=0,0,INDEX(Transacciones!$Z$5:$Z$20,MATCH(J285,Transacciones!$U$5:$U$20,0)))</f>
        <v>100.23985</v>
      </c>
      <c r="L285" s="17">
        <f t="shared" si="21"/>
        <v>12028.782000000001</v>
      </c>
      <c r="M285" s="15">
        <f>IF(F285="cetes",IF(COUNTIFS(CETES!$A$5:$A$95,A285,CETES!$B$5:$B$95,C285)=0,"",A285),SUMIFS(Precios!$K$5:$K$109,Precios!$I$5:$I$109,A285,Precios!$J$5:$J$109,C285))</f>
        <v>46303</v>
      </c>
      <c r="N285" s="18">
        <f>IF(F285="cetes",IF(COUNTIFS(CETES!$A$5:$A$95,A285,CETES!$B$5:$B$95,C285)=0,"",SUMIFS(CETES!$AF$5:$AF$95,CETES!$A$5:$A$95,A285,CETES!$B$5:$B$95,C285)),SUMIFS(Precios!$L$5:$L$109,Precios!$I$5:$I$109,A285,Precios!$J$5:$J$109,C285))</f>
        <v>107.4</v>
      </c>
      <c r="O285" s="17">
        <f t="shared" si="22"/>
        <v>12888</v>
      </c>
      <c r="P285" s="17">
        <f t="shared" si="23"/>
        <v>859.21799999999894</v>
      </c>
      <c r="Q285" s="17">
        <f>IF(F285="cetes",IF(A285=G285,SUMIFS(Transacciones!$N$5:$N$20,Transacciones!$T$5:$T$20,E285,Transacciones!$F$5:$F$20,"&lt;"&amp;A285)*H285,0),0)</f>
        <v>0</v>
      </c>
      <c r="R285" s="11" t="str">
        <f>IF(COUNTIF(Entradas!$A$14:$A$17,A285)&gt;0,"sí","")</f>
        <v>sí</v>
      </c>
      <c r="S285" s="11" t="str">
        <f t="shared" si="24"/>
        <v>46303|Principal|DEMOACC|Casa A</v>
      </c>
    </row>
    <row r="286" spans="1:19" x14ac:dyDescent="0.3">
      <c r="A286" s="20">
        <v>46303</v>
      </c>
      <c r="B286" s="21" t="s">
        <v>94</v>
      </c>
      <c r="C286" s="21" t="s">
        <v>123</v>
      </c>
      <c r="D286" s="21" t="s">
        <v>113</v>
      </c>
      <c r="E286" s="11" t="str">
        <f t="shared" si="20"/>
        <v>Principal|DEMOACC|Casa B</v>
      </c>
      <c r="F286" s="11" t="str">
        <f>INDEX(Entradas!$C$40:$C$46,MATCH(C286,Entradas!$A$40:$A$46,0))</f>
        <v>accion</v>
      </c>
      <c r="G286" s="15" t="str">
        <f>IF(F286="cetes",INDEX(Entradas!$F$40:$F$46,MATCH(C286,Entradas!$A$40:$A$46,0)),"")</f>
        <v/>
      </c>
      <c r="H286" s="17" t="str">
        <f>IF(F286="cetes",INDEX(Entradas!$G$40:$G$46,MATCH(C286,Entradas!$A$40:$A$46,0)),"")</f>
        <v/>
      </c>
      <c r="I286" s="14">
        <f>IF(F286="cetes",IF(A286&gt;=G286,0,SUMIFS(Transacciones!$N$5:$N$20,Transacciones!$T$5:$T$20,E286,Transacciones!$F$5:$F$20,"&lt;="&amp;A286)),SUMIFS(Transacciones!$N$5:$N$20,Transacciones!$T$5:$T$20,E286,Transacciones!$F$5:$F$20,"&lt;="&amp;A286))</f>
        <v>100</v>
      </c>
      <c r="J286" s="14">
        <f>_xlfn.MAXIFS(Transacciones!$U$5:$U$20,Transacciones!$T$5:$T$20,E286,Transacciones!$F$5:$F$20,"&lt;="&amp;A286)</f>
        <v>46279006</v>
      </c>
      <c r="K286" s="18">
        <f>IF(I286=0,0,INDEX(Transacciones!$Z$5:$Z$20,MATCH(J286,Transacciones!$U$5:$U$20,0)))</f>
        <v>103.399</v>
      </c>
      <c r="L286" s="17">
        <f t="shared" si="21"/>
        <v>10339.9</v>
      </c>
      <c r="M286" s="15">
        <f>IF(F286="cetes",IF(COUNTIFS(CETES!$A$5:$A$95,A286,CETES!$B$5:$B$95,C286)=0,"",A286),SUMIFS(Precios!$K$5:$K$109,Precios!$I$5:$I$109,A286,Precios!$J$5:$J$109,C286))</f>
        <v>46303</v>
      </c>
      <c r="N286" s="18">
        <f>IF(F286="cetes",IF(COUNTIFS(CETES!$A$5:$A$95,A286,CETES!$B$5:$B$95,C286)=0,"",SUMIFS(CETES!$AF$5:$AF$95,CETES!$A$5:$A$95,A286,CETES!$B$5:$B$95,C286)),SUMIFS(Precios!$L$5:$L$109,Precios!$I$5:$I$109,A286,Precios!$J$5:$J$109,C286))</f>
        <v>107.4</v>
      </c>
      <c r="O286" s="17">
        <f t="shared" si="22"/>
        <v>10740</v>
      </c>
      <c r="P286" s="17">
        <f t="shared" si="23"/>
        <v>400.10000000000036</v>
      </c>
      <c r="Q286" s="17">
        <f>IF(F286="cetes",IF(A286=G286,SUMIFS(Transacciones!$N$5:$N$20,Transacciones!$T$5:$T$20,E286,Transacciones!$F$5:$F$20,"&lt;"&amp;A286)*H286,0),0)</f>
        <v>0</v>
      </c>
      <c r="R286" s="11" t="str">
        <f>IF(COUNTIF(Entradas!$A$14:$A$17,A286)&gt;0,"sí","")</f>
        <v>sí</v>
      </c>
      <c r="S286" s="11" t="str">
        <f t="shared" si="24"/>
        <v>46303|Principal|DEMOACC|Casa B</v>
      </c>
    </row>
    <row r="287" spans="1:19" x14ac:dyDescent="0.3">
      <c r="A287" s="20">
        <v>46303</v>
      </c>
      <c r="B287" s="21" t="s">
        <v>94</v>
      </c>
      <c r="C287" s="21" t="s">
        <v>126</v>
      </c>
      <c r="D287" s="21" t="s">
        <v>113</v>
      </c>
      <c r="E287" s="11" t="str">
        <f t="shared" si="20"/>
        <v>Principal|DEMOETF|Casa B</v>
      </c>
      <c r="F287" s="11" t="str">
        <f>INDEX(Entradas!$C$40:$C$46,MATCH(C287,Entradas!$A$40:$A$46,0))</f>
        <v>etf</v>
      </c>
      <c r="G287" s="15" t="str">
        <f>IF(F287="cetes",INDEX(Entradas!$F$40:$F$46,MATCH(C287,Entradas!$A$40:$A$46,0)),"")</f>
        <v/>
      </c>
      <c r="H287" s="17" t="str">
        <f>IF(F287="cetes",INDEX(Entradas!$G$40:$G$46,MATCH(C287,Entradas!$A$40:$A$46,0)),"")</f>
        <v/>
      </c>
      <c r="I287" s="14">
        <f>IF(F287="cetes",IF(A287&gt;=G287,0,SUMIFS(Transacciones!$N$5:$N$20,Transacciones!$T$5:$T$20,E287,Transacciones!$F$5:$F$20,"&lt;="&amp;A287)),SUMIFS(Transacciones!$N$5:$N$20,Transacciones!$T$5:$T$20,E287,Transacciones!$F$5:$F$20,"&lt;="&amp;A287))</f>
        <v>40</v>
      </c>
      <c r="J287" s="14">
        <f>_xlfn.MAXIFS(Transacciones!$U$5:$U$20,Transacciones!$T$5:$T$20,E287,Transacciones!$F$5:$F$20,"&lt;="&amp;A287)</f>
        <v>46290512</v>
      </c>
      <c r="K287" s="18">
        <f>IF(I287=0,0,INDEX(Transacciones!$Z$5:$Z$20,MATCH(J287,Transacciones!$U$5:$U$20,0)))</f>
        <v>49.386499999999998</v>
      </c>
      <c r="L287" s="17">
        <f t="shared" si="21"/>
        <v>1975.46</v>
      </c>
      <c r="M287" s="15">
        <f>IF(F287="cetes",IF(COUNTIFS(CETES!$A$5:$A$95,A287,CETES!$B$5:$B$95,C287)=0,"",A287),SUMIFS(Precios!$K$5:$K$109,Precios!$I$5:$I$109,A287,Precios!$J$5:$J$109,C287))</f>
        <v>46303</v>
      </c>
      <c r="N287" s="18">
        <f>IF(F287="cetes",IF(COUNTIFS(CETES!$A$5:$A$95,A287,CETES!$B$5:$B$95,C287)=0,"",SUMIFS(CETES!$AF$5:$AF$95,CETES!$A$5:$A$95,A287,CETES!$B$5:$B$95,C287)),SUMIFS(Precios!$L$5:$L$109,Precios!$I$5:$I$109,A287,Precios!$J$5:$J$109,C287))</f>
        <v>51.77</v>
      </c>
      <c r="O287" s="17">
        <f t="shared" si="22"/>
        <v>2070.8000000000002</v>
      </c>
      <c r="P287" s="17">
        <f t="shared" si="23"/>
        <v>95.340000000000146</v>
      </c>
      <c r="Q287" s="17">
        <f>IF(F287="cetes",IF(A287=G287,SUMIFS(Transacciones!$N$5:$N$20,Transacciones!$T$5:$T$20,E287,Transacciones!$F$5:$F$20,"&lt;"&amp;A287)*H287,0),0)</f>
        <v>0</v>
      </c>
      <c r="R287" s="11" t="str">
        <f>IF(COUNTIF(Entradas!$A$14:$A$17,A287)&gt;0,"sí","")</f>
        <v>sí</v>
      </c>
      <c r="S287" s="11" t="str">
        <f t="shared" si="24"/>
        <v>46303|Principal|DEMOETF|Casa B</v>
      </c>
    </row>
    <row r="288" spans="1:19" x14ac:dyDescent="0.3">
      <c r="A288" s="20">
        <v>46303</v>
      </c>
      <c r="B288" s="21" t="s">
        <v>94</v>
      </c>
      <c r="C288" s="21" t="s">
        <v>129</v>
      </c>
      <c r="D288" s="21" t="s">
        <v>112</v>
      </c>
      <c r="E288" s="11" t="str">
        <f t="shared" si="20"/>
        <v>Principal|DEMOFIB|Casa A</v>
      </c>
      <c r="F288" s="11" t="str">
        <f>INDEX(Entradas!$C$40:$C$46,MATCH(C288,Entradas!$A$40:$A$46,0))</f>
        <v>fibra</v>
      </c>
      <c r="G288" s="15" t="str">
        <f>IF(F288="cetes",INDEX(Entradas!$F$40:$F$46,MATCH(C288,Entradas!$A$40:$A$46,0)),"")</f>
        <v/>
      </c>
      <c r="H288" s="17" t="str">
        <f>IF(F288="cetes",INDEX(Entradas!$G$40:$G$46,MATCH(C288,Entradas!$A$40:$A$46,0)),"")</f>
        <v/>
      </c>
      <c r="I288" s="14">
        <f>IF(F288="cetes",IF(A288&gt;=G288,0,SUMIFS(Transacciones!$N$5:$N$20,Transacciones!$T$5:$T$20,E288,Transacciones!$F$5:$F$20,"&lt;="&amp;A288)),SUMIFS(Transacciones!$N$5:$N$20,Transacciones!$T$5:$T$20,E288,Transacciones!$F$5:$F$20,"&lt;="&amp;A288))</f>
        <v>300</v>
      </c>
      <c r="J288" s="14">
        <f>_xlfn.MAXIFS(Transacciones!$U$5:$U$20,Transacciones!$T$5:$T$20,E288,Transacciones!$F$5:$F$20,"&lt;="&amp;A288)</f>
        <v>46300015</v>
      </c>
      <c r="K288" s="18">
        <f>IF(I288=0,0,INDEX(Transacciones!$Z$5:$Z$20,MATCH(J288,Transacciones!$U$5:$U$20,0)))</f>
        <v>24.4833</v>
      </c>
      <c r="L288" s="17">
        <f t="shared" si="21"/>
        <v>7344.99</v>
      </c>
      <c r="M288" s="15">
        <f>IF(F288="cetes",IF(COUNTIFS(CETES!$A$5:$A$95,A288,CETES!$B$5:$B$95,C288)=0,"",A288),SUMIFS(Precios!$K$5:$K$109,Precios!$I$5:$I$109,A288,Precios!$J$5:$J$109,C288))</f>
        <v>46302</v>
      </c>
      <c r="N288" s="18">
        <f>IF(F288="cetes",IF(COUNTIFS(CETES!$A$5:$A$95,A288,CETES!$B$5:$B$95,C288)=0,"",SUMIFS(CETES!$AF$5:$AF$95,CETES!$A$5:$A$95,A288,CETES!$B$5:$B$95,C288)),SUMIFS(Precios!$L$5:$L$109,Precios!$I$5:$I$109,A288,Precios!$J$5:$J$109,C288))</f>
        <v>24.887499999999999</v>
      </c>
      <c r="O288" s="17">
        <f t="shared" si="22"/>
        <v>7466.25</v>
      </c>
      <c r="P288" s="17">
        <f t="shared" si="23"/>
        <v>121.26000000000022</v>
      </c>
      <c r="Q288" s="17">
        <f>IF(F288="cetes",IF(A288=G288,SUMIFS(Transacciones!$N$5:$N$20,Transacciones!$T$5:$T$20,E288,Transacciones!$F$5:$F$20,"&lt;"&amp;A288)*H288,0),0)</f>
        <v>0</v>
      </c>
      <c r="R288" s="11" t="str">
        <f>IF(COUNTIF(Entradas!$A$14:$A$17,A288)&gt;0,"sí","")</f>
        <v>sí</v>
      </c>
      <c r="S288" s="11" t="str">
        <f t="shared" si="24"/>
        <v>46303|Principal|DEMOFIB|Casa A</v>
      </c>
    </row>
    <row r="289" spans="1:19" x14ac:dyDescent="0.3">
      <c r="A289" s="20">
        <v>46303</v>
      </c>
      <c r="B289" s="21" t="s">
        <v>94</v>
      </c>
      <c r="C289" s="21" t="s">
        <v>132</v>
      </c>
      <c r="D289" s="21" t="s">
        <v>112</v>
      </c>
      <c r="E289" s="11" t="str">
        <f t="shared" si="20"/>
        <v>Principal|BI261008|Casa A</v>
      </c>
      <c r="F289" s="11" t="str">
        <f>INDEX(Entradas!$C$40:$C$46,MATCH(C289,Entradas!$A$40:$A$46,0))</f>
        <v>cetes</v>
      </c>
      <c r="G289" s="15">
        <f>IF(F289="cetes",INDEX(Entradas!$F$40:$F$46,MATCH(C289,Entradas!$A$40:$A$46,0)),"")</f>
        <v>46303</v>
      </c>
      <c r="H289" s="17">
        <f>IF(F289="cetes",INDEX(Entradas!$G$40:$G$46,MATCH(C289,Entradas!$A$40:$A$46,0)),"")</f>
        <v>10</v>
      </c>
      <c r="I289" s="14">
        <f>IF(F289="cetes",IF(A289&gt;=G289,0,SUMIFS(Transacciones!$N$5:$N$20,Transacciones!$T$5:$T$20,E289,Transacciones!$F$5:$F$20,"&lt;="&amp;A289)),SUMIFS(Transacciones!$N$5:$N$20,Transacciones!$T$5:$T$20,E289,Transacciones!$F$5:$F$20,"&lt;="&amp;A289))</f>
        <v>0</v>
      </c>
      <c r="J289" s="14">
        <f>_xlfn.MAXIFS(Transacciones!$U$5:$U$20,Transacciones!$T$5:$T$20,E289,Transacciones!$F$5:$F$20,"&lt;="&amp;A289)</f>
        <v>46296513</v>
      </c>
      <c r="K289" s="18">
        <f>IF(I289=0,0,INDEX(Transacciones!$Z$5:$Z$20,MATCH(J289,Transacciones!$U$5:$U$20,0)))</f>
        <v>0</v>
      </c>
      <c r="L289" s="17">
        <f t="shared" si="21"/>
        <v>0</v>
      </c>
      <c r="M289" s="15" t="str">
        <f>IF(F289="cetes",IF(COUNTIFS(CETES!$A$5:$A$95,A289,CETES!$B$5:$B$95,C289)=0,"",A289),SUMIFS(Precios!$K$5:$K$109,Precios!$I$5:$I$109,A289,Precios!$J$5:$J$109,C289))</f>
        <v/>
      </c>
      <c r="N289" s="18" t="str">
        <f>IF(F289="cetes",IF(COUNTIFS(CETES!$A$5:$A$95,A289,CETES!$B$5:$B$95,C289)=0,"",SUMIFS(CETES!$AF$5:$AF$95,CETES!$A$5:$A$95,A289,CETES!$B$5:$B$95,C289)),SUMIFS(Precios!$L$5:$L$109,Precios!$I$5:$I$109,A289,Precios!$J$5:$J$109,C289))</f>
        <v/>
      </c>
      <c r="O289" s="17">
        <f t="shared" si="22"/>
        <v>0</v>
      </c>
      <c r="P289" s="17">
        <f t="shared" si="23"/>
        <v>0</v>
      </c>
      <c r="Q289" s="17">
        <f>IF(F289="cetes",IF(A289=G289,SUMIFS(Transacciones!$N$5:$N$20,Transacciones!$T$5:$T$20,E289,Transacciones!$F$5:$F$20,"&lt;"&amp;A289)*H289,0),0)</f>
        <v>10000</v>
      </c>
      <c r="R289" s="11" t="str">
        <f>IF(COUNTIF(Entradas!$A$14:$A$17,A289)&gt;0,"sí","")</f>
        <v>sí</v>
      </c>
      <c r="S289" s="11" t="str">
        <f t="shared" si="24"/>
        <v>46303|Principal|BI261008|Casa A</v>
      </c>
    </row>
    <row r="290" spans="1:19" x14ac:dyDescent="0.3">
      <c r="A290" s="20">
        <v>46303</v>
      </c>
      <c r="B290" s="21" t="s">
        <v>94</v>
      </c>
      <c r="C290" s="21" t="s">
        <v>132</v>
      </c>
      <c r="D290" s="21" t="s">
        <v>113</v>
      </c>
      <c r="E290" s="11" t="str">
        <f t="shared" si="20"/>
        <v>Principal|BI261008|Casa B</v>
      </c>
      <c r="F290" s="11" t="str">
        <f>INDEX(Entradas!$C$40:$C$46,MATCH(C290,Entradas!$A$40:$A$46,0))</f>
        <v>cetes</v>
      </c>
      <c r="G290" s="15">
        <f>IF(F290="cetes",INDEX(Entradas!$F$40:$F$46,MATCH(C290,Entradas!$A$40:$A$46,0)),"")</f>
        <v>46303</v>
      </c>
      <c r="H290" s="17">
        <f>IF(F290="cetes",INDEX(Entradas!$G$40:$G$46,MATCH(C290,Entradas!$A$40:$A$46,0)),"")</f>
        <v>10</v>
      </c>
      <c r="I290" s="14">
        <f>IF(F290="cetes",IF(A290&gt;=G290,0,SUMIFS(Transacciones!$N$5:$N$20,Transacciones!$T$5:$T$20,E290,Transacciones!$F$5:$F$20,"&lt;="&amp;A290)),SUMIFS(Transacciones!$N$5:$N$20,Transacciones!$T$5:$T$20,E290,Transacciones!$F$5:$F$20,"&lt;="&amp;A290))</f>
        <v>0</v>
      </c>
      <c r="J290" s="14">
        <f>_xlfn.MAXIFS(Transacciones!$U$5:$U$20,Transacciones!$T$5:$T$20,E290,Transacciones!$F$5:$F$20,"&lt;="&amp;A290)</f>
        <v>46275004</v>
      </c>
      <c r="K290" s="18">
        <f>IF(I290=0,0,INDEX(Transacciones!$Z$5:$Z$20,MATCH(J290,Transacciones!$U$5:$U$20,0)))</f>
        <v>0</v>
      </c>
      <c r="L290" s="17">
        <f t="shared" si="21"/>
        <v>0</v>
      </c>
      <c r="M290" s="15" t="str">
        <f>IF(F290="cetes",IF(COUNTIFS(CETES!$A$5:$A$95,A290,CETES!$B$5:$B$95,C290)=0,"",A290),SUMIFS(Precios!$K$5:$K$109,Precios!$I$5:$I$109,A290,Precios!$J$5:$J$109,C290))</f>
        <v/>
      </c>
      <c r="N290" s="18" t="str">
        <f>IF(F290="cetes",IF(COUNTIFS(CETES!$A$5:$A$95,A290,CETES!$B$5:$B$95,C290)=0,"",SUMIFS(CETES!$AF$5:$AF$95,CETES!$A$5:$A$95,A290,CETES!$B$5:$B$95,C290)),SUMIFS(Precios!$L$5:$L$109,Precios!$I$5:$I$109,A290,Precios!$J$5:$J$109,C290))</f>
        <v/>
      </c>
      <c r="O290" s="17">
        <f t="shared" si="22"/>
        <v>0</v>
      </c>
      <c r="P290" s="17">
        <f t="shared" si="23"/>
        <v>0</v>
      </c>
      <c r="Q290" s="17">
        <f>IF(F290="cetes",IF(A290=G290,SUMIFS(Transacciones!$N$5:$N$20,Transacciones!$T$5:$T$20,E290,Transacciones!$F$5:$F$20,"&lt;"&amp;A290)*H290,0),0)</f>
        <v>10000</v>
      </c>
      <c r="R290" s="11" t="str">
        <f>IF(COUNTIF(Entradas!$A$14:$A$17,A290)&gt;0,"sí","")</f>
        <v>sí</v>
      </c>
      <c r="S290" s="11" t="str">
        <f t="shared" si="24"/>
        <v>46303|Principal|BI261008|Casa B</v>
      </c>
    </row>
    <row r="291" spans="1:19" x14ac:dyDescent="0.3">
      <c r="A291" s="20">
        <v>46303</v>
      </c>
      <c r="B291" s="21" t="s">
        <v>94</v>
      </c>
      <c r="C291" s="21" t="s">
        <v>135</v>
      </c>
      <c r="D291" s="21" t="s">
        <v>113</v>
      </c>
      <c r="E291" s="11" t="str">
        <f t="shared" si="20"/>
        <v>Principal|BI261105|Casa B</v>
      </c>
      <c r="F291" s="11" t="str">
        <f>INDEX(Entradas!$C$40:$C$46,MATCH(C291,Entradas!$A$40:$A$46,0))</f>
        <v>cetes</v>
      </c>
      <c r="G291" s="15">
        <f>IF(F291="cetes",INDEX(Entradas!$F$40:$F$46,MATCH(C291,Entradas!$A$40:$A$46,0)),"")</f>
        <v>46331</v>
      </c>
      <c r="H291" s="17">
        <f>IF(F291="cetes",INDEX(Entradas!$G$40:$G$46,MATCH(C291,Entradas!$A$40:$A$46,0)),"")</f>
        <v>10</v>
      </c>
      <c r="I291" s="14">
        <f>IF(F291="cetes",IF(A291&gt;=G291,0,SUMIFS(Transacciones!$N$5:$N$20,Transacciones!$T$5:$T$20,E291,Transacciones!$F$5:$F$20,"&lt;="&amp;A291)),SUMIFS(Transacciones!$N$5:$N$20,Transacciones!$T$5:$T$20,E291,Transacciones!$F$5:$F$20,"&lt;="&amp;A291))</f>
        <v>1000</v>
      </c>
      <c r="J291" s="14">
        <f>_xlfn.MAXIFS(Transacciones!$U$5:$U$20,Transacciones!$T$5:$T$20,E291,Transacciones!$F$5:$F$20,"&lt;="&amp;A291)</f>
        <v>46303016</v>
      </c>
      <c r="K291" s="18">
        <f>IF(I291=0,0,INDEX(Transacciones!$Z$5:$Z$20,MATCH(J291,Transacciones!$U$5:$U$20,0)))</f>
        <v>9.9528566000000005</v>
      </c>
      <c r="L291" s="17">
        <f t="shared" si="21"/>
        <v>9952.856600000001</v>
      </c>
      <c r="M291" s="15">
        <f>IF(F291="cetes",IF(COUNTIFS(CETES!$A$5:$A$95,A291,CETES!$B$5:$B$95,C291)=0,"",A291),SUMIFS(Precios!$K$5:$K$109,Precios!$I$5:$I$109,A291,Precios!$J$5:$J$109,C291))</f>
        <v>46303</v>
      </c>
      <c r="N291" s="18">
        <f>IF(F291="cetes",IF(COUNTIFS(CETES!$A$5:$A$95,A291,CETES!$B$5:$B$95,C291)=0,"",SUMIFS(CETES!$AF$5:$AF$95,CETES!$A$5:$A$95,A291,CETES!$B$5:$B$95,C291)),SUMIFS(Precios!$L$5:$L$109,Precios!$I$5:$I$109,A291,Precios!$J$5:$J$109,C291))</f>
        <v>9.9528566000000005</v>
      </c>
      <c r="O291" s="17">
        <f t="shared" si="22"/>
        <v>9952.856600000001</v>
      </c>
      <c r="P291" s="17">
        <f t="shared" si="23"/>
        <v>0</v>
      </c>
      <c r="Q291" s="17">
        <f>IF(F291="cetes",IF(A291=G291,SUMIFS(Transacciones!$N$5:$N$20,Transacciones!$T$5:$T$20,E291,Transacciones!$F$5:$F$20,"&lt;"&amp;A291)*H291,0),0)</f>
        <v>0</v>
      </c>
      <c r="R291" s="11" t="str">
        <f>IF(COUNTIF(Entradas!$A$14:$A$17,A291)&gt;0,"sí","")</f>
        <v>sí</v>
      </c>
      <c r="S291" s="11" t="str">
        <f t="shared" si="24"/>
        <v>46303|Principal|BI261105|Casa B</v>
      </c>
    </row>
    <row r="292" spans="1:19" x14ac:dyDescent="0.3">
      <c r="A292" s="20">
        <v>46303</v>
      </c>
      <c r="B292" s="21" t="s">
        <v>94</v>
      </c>
      <c r="C292" s="21" t="s">
        <v>137</v>
      </c>
      <c r="D292" s="21" t="s">
        <v>112</v>
      </c>
      <c r="E292" s="11" t="str">
        <f t="shared" si="20"/>
        <v>Principal|BI261217|Casa A</v>
      </c>
      <c r="F292" s="11" t="str">
        <f>INDEX(Entradas!$C$40:$C$46,MATCH(C292,Entradas!$A$40:$A$46,0))</f>
        <v>cetes</v>
      </c>
      <c r="G292" s="15">
        <f>IF(F292="cetes",INDEX(Entradas!$F$40:$F$46,MATCH(C292,Entradas!$A$40:$A$46,0)),"")</f>
        <v>46373</v>
      </c>
      <c r="H292" s="17">
        <f>IF(F292="cetes",INDEX(Entradas!$G$40:$G$46,MATCH(C292,Entradas!$A$40:$A$46,0)),"")</f>
        <v>10</v>
      </c>
      <c r="I292" s="14">
        <f>IF(F292="cetes",IF(A292&gt;=G292,0,SUMIFS(Transacciones!$N$5:$N$20,Transacciones!$T$5:$T$20,E292,Transacciones!$F$5:$F$20,"&lt;="&amp;A292)),SUMIFS(Transacciones!$N$5:$N$20,Transacciones!$T$5:$T$20,E292,Transacciones!$F$5:$F$20,"&lt;="&amp;A292))</f>
        <v>1000</v>
      </c>
      <c r="J292" s="14">
        <f>_xlfn.MAXIFS(Transacciones!$U$5:$U$20,Transacciones!$T$5:$T$20,E292,Transacciones!$F$5:$F$20,"&lt;="&amp;A292)</f>
        <v>46282008</v>
      </c>
      <c r="K292" s="18">
        <f>IF(I292=0,0,INDEX(Transacciones!$Z$5:$Z$20,MATCH(J292,Transacciones!$U$5:$U$20,0)))</f>
        <v>9.8344372</v>
      </c>
      <c r="L292" s="17">
        <f t="shared" si="21"/>
        <v>9834.4372000000003</v>
      </c>
      <c r="M292" s="15">
        <f>IF(F292="cetes",IF(COUNTIFS(CETES!$A$5:$A$95,A292,CETES!$B$5:$B$95,C292)=0,"",A292),SUMIFS(Precios!$K$5:$K$109,Precios!$I$5:$I$109,A292,Precios!$J$5:$J$109,C292))</f>
        <v>46303</v>
      </c>
      <c r="N292" s="18">
        <f>IF(F292="cetes",IF(COUNTIFS(CETES!$A$5:$A$95,A292,CETES!$B$5:$B$95,C292)=0,"",SUMIFS(CETES!$AF$5:$AF$95,CETES!$A$5:$A$95,A292,CETES!$B$5:$B$95,C292)),SUMIFS(Precios!$L$5:$L$109,Precios!$I$5:$I$109,A292,Precios!$J$5:$J$109,C292))</f>
        <v>9.8742406000000003</v>
      </c>
      <c r="O292" s="17">
        <f t="shared" si="22"/>
        <v>9874.240600000001</v>
      </c>
      <c r="P292" s="17">
        <f t="shared" si="23"/>
        <v>39.803400000000693</v>
      </c>
      <c r="Q292" s="17">
        <f>IF(F292="cetes",IF(A292=G292,SUMIFS(Transacciones!$N$5:$N$20,Transacciones!$T$5:$T$20,E292,Transacciones!$F$5:$F$20,"&lt;"&amp;A292)*H292,0),0)</f>
        <v>0</v>
      </c>
      <c r="R292" s="11" t="str">
        <f>IF(COUNTIF(Entradas!$A$14:$A$17,A292)&gt;0,"sí","")</f>
        <v>sí</v>
      </c>
      <c r="S292" s="11" t="str">
        <f t="shared" si="24"/>
        <v>46303|Principal|BI261217|Casa A</v>
      </c>
    </row>
    <row r="293" spans="1:19" x14ac:dyDescent="0.3">
      <c r="A293" s="20">
        <v>46303</v>
      </c>
      <c r="B293" s="21" t="s">
        <v>94</v>
      </c>
      <c r="C293" s="21" t="s">
        <v>139</v>
      </c>
      <c r="D293" s="21" t="s">
        <v>113</v>
      </c>
      <c r="E293" s="11" t="str">
        <f t="shared" si="20"/>
        <v>Principal|BI270318|Casa B</v>
      </c>
      <c r="F293" s="11" t="str">
        <f>INDEX(Entradas!$C$40:$C$46,MATCH(C293,Entradas!$A$40:$A$46,0))</f>
        <v>cetes</v>
      </c>
      <c r="G293" s="15">
        <f>IF(F293="cetes",INDEX(Entradas!$F$40:$F$46,MATCH(C293,Entradas!$A$40:$A$46,0)),"")</f>
        <v>46464</v>
      </c>
      <c r="H293" s="17">
        <f>IF(F293="cetes",INDEX(Entradas!$G$40:$G$46,MATCH(C293,Entradas!$A$40:$A$46,0)),"")</f>
        <v>10</v>
      </c>
      <c r="I293" s="14">
        <f>IF(F293="cetes",IF(A293&gt;=G293,0,SUMIFS(Transacciones!$N$5:$N$20,Transacciones!$T$5:$T$20,E293,Transacciones!$F$5:$F$20,"&lt;="&amp;A293)),SUMIFS(Transacciones!$N$5:$N$20,Transacciones!$T$5:$T$20,E293,Transacciones!$F$5:$F$20,"&lt;="&amp;A293))</f>
        <v>500</v>
      </c>
      <c r="J293" s="14">
        <f>_xlfn.MAXIFS(Transacciones!$U$5:$U$20,Transacciones!$T$5:$T$20,E293,Transacciones!$F$5:$F$20,"&lt;="&amp;A293)</f>
        <v>46282009</v>
      </c>
      <c r="K293" s="18">
        <f>IF(I293=0,0,INDEX(Transacciones!$Z$5:$Z$20,MATCH(J293,Transacciones!$U$5:$U$20,0)))</f>
        <v>9.6629249999999995</v>
      </c>
      <c r="L293" s="17">
        <f t="shared" si="21"/>
        <v>4831.4624999999996</v>
      </c>
      <c r="M293" s="15">
        <f>IF(F293="cetes",IF(COUNTIFS(CETES!$A$5:$A$95,A293,CETES!$B$5:$B$95,C293)=0,"",A293),SUMIFS(Precios!$K$5:$K$109,Precios!$I$5:$I$109,A293,Precios!$J$5:$J$109,C293))</f>
        <v>46303</v>
      </c>
      <c r="N293" s="18">
        <f>IF(F293="cetes",IF(COUNTIFS(CETES!$A$5:$A$95,A293,CETES!$B$5:$B$95,C293)=0,"",SUMIFS(CETES!$AF$5:$AF$95,CETES!$A$5:$A$95,A293,CETES!$B$5:$B$95,C293)),SUMIFS(Precios!$L$5:$L$109,Precios!$I$5:$I$109,A293,Precios!$J$5:$J$109,C293))</f>
        <v>9.7011450000000004</v>
      </c>
      <c r="O293" s="17">
        <f t="shared" si="22"/>
        <v>4850.5725000000002</v>
      </c>
      <c r="P293" s="17">
        <f t="shared" si="23"/>
        <v>19.110000000000582</v>
      </c>
      <c r="Q293" s="17">
        <f>IF(F293="cetes",IF(A293=G293,SUMIFS(Transacciones!$N$5:$N$20,Transacciones!$T$5:$T$20,E293,Transacciones!$F$5:$F$20,"&lt;"&amp;A293)*H293,0),0)</f>
        <v>0</v>
      </c>
      <c r="R293" s="11" t="str">
        <f>IF(COUNTIF(Entradas!$A$14:$A$17,A293)&gt;0,"sí","")</f>
        <v>sí</v>
      </c>
      <c r="S293" s="11" t="str">
        <f t="shared" si="24"/>
        <v>46303|Principal|BI270318|Casa B</v>
      </c>
    </row>
    <row r="294" spans="1:19" x14ac:dyDescent="0.3">
      <c r="A294" s="20">
        <v>46303</v>
      </c>
      <c r="B294" s="21" t="s">
        <v>103</v>
      </c>
      <c r="C294" s="21" t="s">
        <v>123</v>
      </c>
      <c r="D294" s="21" t="s">
        <v>112</v>
      </c>
      <c r="E294" s="11" t="str">
        <f t="shared" si="20"/>
        <v>Secundario|DEMOACC|Casa A</v>
      </c>
      <c r="F294" s="11" t="str">
        <f>INDEX(Entradas!$C$40:$C$46,MATCH(C294,Entradas!$A$40:$A$46,0))</f>
        <v>accion</v>
      </c>
      <c r="G294" s="15" t="str">
        <f>IF(F294="cetes",INDEX(Entradas!$F$40:$F$46,MATCH(C294,Entradas!$A$40:$A$46,0)),"")</f>
        <v/>
      </c>
      <c r="H294" s="17" t="str">
        <f>IF(F294="cetes",INDEX(Entradas!$G$40:$G$46,MATCH(C294,Entradas!$A$40:$A$46,0)),"")</f>
        <v/>
      </c>
      <c r="I294" s="14">
        <f>IF(F294="cetes",IF(A294&gt;=G294,0,SUMIFS(Transacciones!$N$5:$N$20,Transacciones!$T$5:$T$20,E294,Transacciones!$F$5:$F$20,"&lt;="&amp;A294)),SUMIFS(Transacciones!$N$5:$N$20,Transacciones!$T$5:$T$20,E294,Transacciones!$F$5:$F$20,"&lt;="&amp;A294))</f>
        <v>150</v>
      </c>
      <c r="J294" s="14">
        <f>_xlfn.MAXIFS(Transacciones!$U$5:$U$20,Transacciones!$T$5:$T$20,E294,Transacciones!$F$5:$F$20,"&lt;="&amp;A294)</f>
        <v>46279007</v>
      </c>
      <c r="K294" s="18">
        <f>IF(I294=0,0,INDEX(Transacciones!$Z$5:$Z$20,MATCH(J294,Transacciones!$U$5:$U$20,0)))</f>
        <v>103.90046666666666</v>
      </c>
      <c r="L294" s="17">
        <f t="shared" si="21"/>
        <v>15585.07</v>
      </c>
      <c r="M294" s="15">
        <f>IF(F294="cetes",IF(COUNTIFS(CETES!$A$5:$A$95,A294,CETES!$B$5:$B$95,C294)=0,"",A294),SUMIFS(Precios!$K$5:$K$109,Precios!$I$5:$I$109,A294,Precios!$J$5:$J$109,C294))</f>
        <v>46303</v>
      </c>
      <c r="N294" s="18">
        <f>IF(F294="cetes",IF(COUNTIFS(CETES!$A$5:$A$95,A294,CETES!$B$5:$B$95,C294)=0,"",SUMIFS(CETES!$AF$5:$AF$95,CETES!$A$5:$A$95,A294,CETES!$B$5:$B$95,C294)),SUMIFS(Precios!$L$5:$L$109,Precios!$I$5:$I$109,A294,Precios!$J$5:$J$109,C294))</f>
        <v>107.4</v>
      </c>
      <c r="O294" s="17">
        <f t="shared" si="22"/>
        <v>16110</v>
      </c>
      <c r="P294" s="17">
        <f t="shared" si="23"/>
        <v>524.93000000000029</v>
      </c>
      <c r="Q294" s="17">
        <f>IF(F294="cetes",IF(A294=G294,SUMIFS(Transacciones!$N$5:$N$20,Transacciones!$T$5:$T$20,E294,Transacciones!$F$5:$F$20,"&lt;"&amp;A294)*H294,0),0)</f>
        <v>0</v>
      </c>
      <c r="R294" s="11" t="str">
        <f>IF(COUNTIF(Entradas!$A$14:$A$17,A294)&gt;0,"sí","")</f>
        <v>sí</v>
      </c>
      <c r="S294" s="11" t="str">
        <f t="shared" si="24"/>
        <v>46303|Secundario|DEMOACC|Casa A</v>
      </c>
    </row>
    <row r="295" spans="1:19" x14ac:dyDescent="0.3">
      <c r="A295" s="20">
        <v>46304</v>
      </c>
      <c r="B295" s="21" t="s">
        <v>94</v>
      </c>
      <c r="C295" s="21" t="s">
        <v>123</v>
      </c>
      <c r="D295" s="21" t="s">
        <v>112</v>
      </c>
      <c r="E295" s="11" t="str">
        <f t="shared" si="20"/>
        <v>Principal|DEMOACC|Casa A</v>
      </c>
      <c r="F295" s="11" t="str">
        <f>INDEX(Entradas!$C$40:$C$46,MATCH(C295,Entradas!$A$40:$A$46,0))</f>
        <v>accion</v>
      </c>
      <c r="G295" s="15" t="str">
        <f>IF(F295="cetes",INDEX(Entradas!$F$40:$F$46,MATCH(C295,Entradas!$A$40:$A$46,0)),"")</f>
        <v/>
      </c>
      <c r="H295" s="17" t="str">
        <f>IF(F295="cetes",INDEX(Entradas!$G$40:$G$46,MATCH(C295,Entradas!$A$40:$A$46,0)),"")</f>
        <v/>
      </c>
      <c r="I295" s="14">
        <f>IF(F295="cetes",IF(A295&gt;=G295,0,SUMIFS(Transacciones!$N$5:$N$20,Transacciones!$T$5:$T$20,E295,Transacciones!$F$5:$F$20,"&lt;="&amp;A295)),SUMIFS(Transacciones!$N$5:$N$20,Transacciones!$T$5:$T$20,E295,Transacciones!$F$5:$F$20,"&lt;="&amp;A295))</f>
        <v>120</v>
      </c>
      <c r="J295" s="14">
        <f>_xlfn.MAXIFS(Transacciones!$U$5:$U$20,Transacciones!$T$5:$T$20,E295,Transacciones!$F$5:$F$20,"&lt;="&amp;A295)</f>
        <v>46297514</v>
      </c>
      <c r="K295" s="18">
        <f>IF(I295=0,0,INDEX(Transacciones!$Z$5:$Z$20,MATCH(J295,Transacciones!$U$5:$U$20,0)))</f>
        <v>100.23985</v>
      </c>
      <c r="L295" s="17">
        <f t="shared" si="21"/>
        <v>12028.782000000001</v>
      </c>
      <c r="M295" s="15">
        <f>IF(F295="cetes",IF(COUNTIFS(CETES!$A$5:$A$95,A295,CETES!$B$5:$B$95,C295)=0,"",A295),SUMIFS(Precios!$K$5:$K$109,Precios!$I$5:$I$109,A295,Precios!$J$5:$J$109,C295))</f>
        <v>46304</v>
      </c>
      <c r="N295" s="18">
        <f>IF(F295="cetes",IF(COUNTIFS(CETES!$A$5:$A$95,A295,CETES!$B$5:$B$95,C295)=0,"",SUMIFS(CETES!$AF$5:$AF$95,CETES!$A$5:$A$95,A295,CETES!$B$5:$B$95,C295)),SUMIFS(Precios!$L$5:$L$109,Precios!$I$5:$I$109,A295,Precios!$J$5:$J$109,C295))</f>
        <v>109.15</v>
      </c>
      <c r="O295" s="17">
        <f t="shared" si="22"/>
        <v>13098</v>
      </c>
      <c r="P295" s="17">
        <f t="shared" si="23"/>
        <v>1069.2179999999989</v>
      </c>
      <c r="Q295" s="17">
        <f>IF(F295="cetes",IF(A295=G295,SUMIFS(Transacciones!$N$5:$N$20,Transacciones!$T$5:$T$20,E295,Transacciones!$F$5:$F$20,"&lt;"&amp;A295)*H295,0),0)</f>
        <v>0</v>
      </c>
      <c r="R295" s="11" t="str">
        <f>IF(COUNTIF(Entradas!$A$14:$A$17,A295)&gt;0,"sí","")</f>
        <v/>
      </c>
      <c r="S295" s="11" t="str">
        <f t="shared" si="24"/>
        <v>46304|Principal|DEMOACC|Casa A</v>
      </c>
    </row>
    <row r="296" spans="1:19" x14ac:dyDescent="0.3">
      <c r="A296" s="20">
        <v>46304</v>
      </c>
      <c r="B296" s="21" t="s">
        <v>94</v>
      </c>
      <c r="C296" s="21" t="s">
        <v>123</v>
      </c>
      <c r="D296" s="21" t="s">
        <v>113</v>
      </c>
      <c r="E296" s="11" t="str">
        <f t="shared" si="20"/>
        <v>Principal|DEMOACC|Casa B</v>
      </c>
      <c r="F296" s="11" t="str">
        <f>INDEX(Entradas!$C$40:$C$46,MATCH(C296,Entradas!$A$40:$A$46,0))</f>
        <v>accion</v>
      </c>
      <c r="G296" s="15" t="str">
        <f>IF(F296="cetes",INDEX(Entradas!$F$40:$F$46,MATCH(C296,Entradas!$A$40:$A$46,0)),"")</f>
        <v/>
      </c>
      <c r="H296" s="17" t="str">
        <f>IF(F296="cetes",INDEX(Entradas!$G$40:$G$46,MATCH(C296,Entradas!$A$40:$A$46,0)),"")</f>
        <v/>
      </c>
      <c r="I296" s="14">
        <f>IF(F296="cetes",IF(A296&gt;=G296,0,SUMIFS(Transacciones!$N$5:$N$20,Transacciones!$T$5:$T$20,E296,Transacciones!$F$5:$F$20,"&lt;="&amp;A296)),SUMIFS(Transacciones!$N$5:$N$20,Transacciones!$T$5:$T$20,E296,Transacciones!$F$5:$F$20,"&lt;="&amp;A296))</f>
        <v>100</v>
      </c>
      <c r="J296" s="14">
        <f>_xlfn.MAXIFS(Transacciones!$U$5:$U$20,Transacciones!$T$5:$T$20,E296,Transacciones!$F$5:$F$20,"&lt;="&amp;A296)</f>
        <v>46279006</v>
      </c>
      <c r="K296" s="18">
        <f>IF(I296=0,0,INDEX(Transacciones!$Z$5:$Z$20,MATCH(J296,Transacciones!$U$5:$U$20,0)))</f>
        <v>103.399</v>
      </c>
      <c r="L296" s="17">
        <f t="shared" si="21"/>
        <v>10339.9</v>
      </c>
      <c r="M296" s="15">
        <f>IF(F296="cetes",IF(COUNTIFS(CETES!$A$5:$A$95,A296,CETES!$B$5:$B$95,C296)=0,"",A296),SUMIFS(Precios!$K$5:$K$109,Precios!$I$5:$I$109,A296,Precios!$J$5:$J$109,C296))</f>
        <v>46304</v>
      </c>
      <c r="N296" s="18">
        <f>IF(F296="cetes",IF(COUNTIFS(CETES!$A$5:$A$95,A296,CETES!$B$5:$B$95,C296)=0,"",SUMIFS(CETES!$AF$5:$AF$95,CETES!$A$5:$A$95,A296,CETES!$B$5:$B$95,C296)),SUMIFS(Precios!$L$5:$L$109,Precios!$I$5:$I$109,A296,Precios!$J$5:$J$109,C296))</f>
        <v>109.15</v>
      </c>
      <c r="O296" s="17">
        <f t="shared" si="22"/>
        <v>10915</v>
      </c>
      <c r="P296" s="17">
        <f t="shared" si="23"/>
        <v>575.10000000000036</v>
      </c>
      <c r="Q296" s="17">
        <f>IF(F296="cetes",IF(A296=G296,SUMIFS(Transacciones!$N$5:$N$20,Transacciones!$T$5:$T$20,E296,Transacciones!$F$5:$F$20,"&lt;"&amp;A296)*H296,0),0)</f>
        <v>0</v>
      </c>
      <c r="R296" s="11" t="str">
        <f>IF(COUNTIF(Entradas!$A$14:$A$17,A296)&gt;0,"sí","")</f>
        <v/>
      </c>
      <c r="S296" s="11" t="str">
        <f t="shared" si="24"/>
        <v>46304|Principal|DEMOACC|Casa B</v>
      </c>
    </row>
    <row r="297" spans="1:19" x14ac:dyDescent="0.3">
      <c r="A297" s="20">
        <v>46304</v>
      </c>
      <c r="B297" s="21" t="s">
        <v>94</v>
      </c>
      <c r="C297" s="21" t="s">
        <v>126</v>
      </c>
      <c r="D297" s="21" t="s">
        <v>113</v>
      </c>
      <c r="E297" s="11" t="str">
        <f t="shared" si="20"/>
        <v>Principal|DEMOETF|Casa B</v>
      </c>
      <c r="F297" s="11" t="str">
        <f>INDEX(Entradas!$C$40:$C$46,MATCH(C297,Entradas!$A$40:$A$46,0))</f>
        <v>etf</v>
      </c>
      <c r="G297" s="15" t="str">
        <f>IF(F297="cetes",INDEX(Entradas!$F$40:$F$46,MATCH(C297,Entradas!$A$40:$A$46,0)),"")</f>
        <v/>
      </c>
      <c r="H297" s="17" t="str">
        <f>IF(F297="cetes",INDEX(Entradas!$G$40:$G$46,MATCH(C297,Entradas!$A$40:$A$46,0)),"")</f>
        <v/>
      </c>
      <c r="I297" s="14">
        <f>IF(F297="cetes",IF(A297&gt;=G297,0,SUMIFS(Transacciones!$N$5:$N$20,Transacciones!$T$5:$T$20,E297,Transacciones!$F$5:$F$20,"&lt;="&amp;A297)),SUMIFS(Transacciones!$N$5:$N$20,Transacciones!$T$5:$T$20,E297,Transacciones!$F$5:$F$20,"&lt;="&amp;A297))</f>
        <v>40</v>
      </c>
      <c r="J297" s="14">
        <f>_xlfn.MAXIFS(Transacciones!$U$5:$U$20,Transacciones!$T$5:$T$20,E297,Transacciones!$F$5:$F$20,"&lt;="&amp;A297)</f>
        <v>46290512</v>
      </c>
      <c r="K297" s="18">
        <f>IF(I297=0,0,INDEX(Transacciones!$Z$5:$Z$20,MATCH(J297,Transacciones!$U$5:$U$20,0)))</f>
        <v>49.386499999999998</v>
      </c>
      <c r="L297" s="17">
        <f t="shared" si="21"/>
        <v>1975.46</v>
      </c>
      <c r="M297" s="15">
        <f>IF(F297="cetes",IF(COUNTIFS(CETES!$A$5:$A$95,A297,CETES!$B$5:$B$95,C297)=0,"",A297),SUMIFS(Precios!$K$5:$K$109,Precios!$I$5:$I$109,A297,Precios!$J$5:$J$109,C297))</f>
        <v>46304</v>
      </c>
      <c r="N297" s="18">
        <f>IF(F297="cetes",IF(COUNTIFS(CETES!$A$5:$A$95,A297,CETES!$B$5:$B$95,C297)=0,"",SUMIFS(CETES!$AF$5:$AF$95,CETES!$A$5:$A$95,A297,CETES!$B$5:$B$95,C297)),SUMIFS(Precios!$L$5:$L$109,Precios!$I$5:$I$109,A297,Precios!$J$5:$J$109,C297))</f>
        <v>52.31</v>
      </c>
      <c r="O297" s="17">
        <f t="shared" si="22"/>
        <v>2092.4</v>
      </c>
      <c r="P297" s="17">
        <f t="shared" si="23"/>
        <v>116.94000000000005</v>
      </c>
      <c r="Q297" s="17">
        <f>IF(F297="cetes",IF(A297=G297,SUMIFS(Transacciones!$N$5:$N$20,Transacciones!$T$5:$T$20,E297,Transacciones!$F$5:$F$20,"&lt;"&amp;A297)*H297,0),0)</f>
        <v>0</v>
      </c>
      <c r="R297" s="11" t="str">
        <f>IF(COUNTIF(Entradas!$A$14:$A$17,A297)&gt;0,"sí","")</f>
        <v/>
      </c>
      <c r="S297" s="11" t="str">
        <f t="shared" si="24"/>
        <v>46304|Principal|DEMOETF|Casa B</v>
      </c>
    </row>
    <row r="298" spans="1:19" x14ac:dyDescent="0.3">
      <c r="A298" s="20">
        <v>46304</v>
      </c>
      <c r="B298" s="21" t="s">
        <v>94</v>
      </c>
      <c r="C298" s="21" t="s">
        <v>129</v>
      </c>
      <c r="D298" s="21" t="s">
        <v>112</v>
      </c>
      <c r="E298" s="11" t="str">
        <f t="shared" si="20"/>
        <v>Principal|DEMOFIB|Casa A</v>
      </c>
      <c r="F298" s="11" t="str">
        <f>INDEX(Entradas!$C$40:$C$46,MATCH(C298,Entradas!$A$40:$A$46,0))</f>
        <v>fibra</v>
      </c>
      <c r="G298" s="15" t="str">
        <f>IF(F298="cetes",INDEX(Entradas!$F$40:$F$46,MATCH(C298,Entradas!$A$40:$A$46,0)),"")</f>
        <v/>
      </c>
      <c r="H298" s="17" t="str">
        <f>IF(F298="cetes",INDEX(Entradas!$G$40:$G$46,MATCH(C298,Entradas!$A$40:$A$46,0)),"")</f>
        <v/>
      </c>
      <c r="I298" s="14">
        <f>IF(F298="cetes",IF(A298&gt;=G298,0,SUMIFS(Transacciones!$N$5:$N$20,Transacciones!$T$5:$T$20,E298,Transacciones!$F$5:$F$20,"&lt;="&amp;A298)),SUMIFS(Transacciones!$N$5:$N$20,Transacciones!$T$5:$T$20,E298,Transacciones!$F$5:$F$20,"&lt;="&amp;A298))</f>
        <v>300</v>
      </c>
      <c r="J298" s="14">
        <f>_xlfn.MAXIFS(Transacciones!$U$5:$U$20,Transacciones!$T$5:$T$20,E298,Transacciones!$F$5:$F$20,"&lt;="&amp;A298)</f>
        <v>46300015</v>
      </c>
      <c r="K298" s="18">
        <f>IF(I298=0,0,INDEX(Transacciones!$Z$5:$Z$20,MATCH(J298,Transacciones!$U$5:$U$20,0)))</f>
        <v>24.4833</v>
      </c>
      <c r="L298" s="17">
        <f t="shared" si="21"/>
        <v>7344.99</v>
      </c>
      <c r="M298" s="15">
        <f>IF(F298="cetes",IF(COUNTIFS(CETES!$A$5:$A$95,A298,CETES!$B$5:$B$95,C298)=0,"",A298),SUMIFS(Precios!$K$5:$K$109,Precios!$I$5:$I$109,A298,Precios!$J$5:$J$109,C298))</f>
        <v>46304</v>
      </c>
      <c r="N298" s="18">
        <f>IF(F298="cetes",IF(COUNTIFS(CETES!$A$5:$A$95,A298,CETES!$B$5:$B$95,C298)=0,"",SUMIFS(CETES!$AF$5:$AF$95,CETES!$A$5:$A$95,A298,CETES!$B$5:$B$95,C298)),SUMIFS(Precios!$L$5:$L$109,Precios!$I$5:$I$109,A298,Precios!$J$5:$J$109,C298))</f>
        <v>25.24</v>
      </c>
      <c r="O298" s="17">
        <f t="shared" si="22"/>
        <v>7571.9999999999991</v>
      </c>
      <c r="P298" s="17">
        <f t="shared" si="23"/>
        <v>227.00999999999931</v>
      </c>
      <c r="Q298" s="17">
        <f>IF(F298="cetes",IF(A298=G298,SUMIFS(Transacciones!$N$5:$N$20,Transacciones!$T$5:$T$20,E298,Transacciones!$F$5:$F$20,"&lt;"&amp;A298)*H298,0),0)</f>
        <v>0</v>
      </c>
      <c r="R298" s="11" t="str">
        <f>IF(COUNTIF(Entradas!$A$14:$A$17,A298)&gt;0,"sí","")</f>
        <v/>
      </c>
      <c r="S298" s="11" t="str">
        <f t="shared" si="24"/>
        <v>46304|Principal|DEMOFIB|Casa A</v>
      </c>
    </row>
    <row r="299" spans="1:19" x14ac:dyDescent="0.3">
      <c r="A299" s="20">
        <v>46304</v>
      </c>
      <c r="B299" s="21" t="s">
        <v>94</v>
      </c>
      <c r="C299" s="21" t="s">
        <v>132</v>
      </c>
      <c r="D299" s="21" t="s">
        <v>112</v>
      </c>
      <c r="E299" s="11" t="str">
        <f t="shared" si="20"/>
        <v>Principal|BI261008|Casa A</v>
      </c>
      <c r="F299" s="11" t="str">
        <f>INDEX(Entradas!$C$40:$C$46,MATCH(C299,Entradas!$A$40:$A$46,0))</f>
        <v>cetes</v>
      </c>
      <c r="G299" s="15">
        <f>IF(F299="cetes",INDEX(Entradas!$F$40:$F$46,MATCH(C299,Entradas!$A$40:$A$46,0)),"")</f>
        <v>46303</v>
      </c>
      <c r="H299" s="17">
        <f>IF(F299="cetes",INDEX(Entradas!$G$40:$G$46,MATCH(C299,Entradas!$A$40:$A$46,0)),"")</f>
        <v>10</v>
      </c>
      <c r="I299" s="14">
        <f>IF(F299="cetes",IF(A299&gt;=G299,0,SUMIFS(Transacciones!$N$5:$N$20,Transacciones!$T$5:$T$20,E299,Transacciones!$F$5:$F$20,"&lt;="&amp;A299)),SUMIFS(Transacciones!$N$5:$N$20,Transacciones!$T$5:$T$20,E299,Transacciones!$F$5:$F$20,"&lt;="&amp;A299))</f>
        <v>0</v>
      </c>
      <c r="J299" s="14">
        <f>_xlfn.MAXIFS(Transacciones!$U$5:$U$20,Transacciones!$T$5:$T$20,E299,Transacciones!$F$5:$F$20,"&lt;="&amp;A299)</f>
        <v>46296513</v>
      </c>
      <c r="K299" s="18">
        <f>IF(I299=0,0,INDEX(Transacciones!$Z$5:$Z$20,MATCH(J299,Transacciones!$U$5:$U$20,0)))</f>
        <v>0</v>
      </c>
      <c r="L299" s="17">
        <f t="shared" si="21"/>
        <v>0</v>
      </c>
      <c r="M299" s="15" t="str">
        <f>IF(F299="cetes",IF(COUNTIFS(CETES!$A$5:$A$95,A299,CETES!$B$5:$B$95,C299)=0,"",A299),SUMIFS(Precios!$K$5:$K$109,Precios!$I$5:$I$109,A299,Precios!$J$5:$J$109,C299))</f>
        <v/>
      </c>
      <c r="N299" s="18" t="str">
        <f>IF(F299="cetes",IF(COUNTIFS(CETES!$A$5:$A$95,A299,CETES!$B$5:$B$95,C299)=0,"",SUMIFS(CETES!$AF$5:$AF$95,CETES!$A$5:$A$95,A299,CETES!$B$5:$B$95,C299)),SUMIFS(Precios!$L$5:$L$109,Precios!$I$5:$I$109,A299,Precios!$J$5:$J$109,C299))</f>
        <v/>
      </c>
      <c r="O299" s="17">
        <f t="shared" si="22"/>
        <v>0</v>
      </c>
      <c r="P299" s="17">
        <f t="shared" si="23"/>
        <v>0</v>
      </c>
      <c r="Q299" s="17">
        <f>IF(F299="cetes",IF(A299=G299,SUMIFS(Transacciones!$N$5:$N$20,Transacciones!$T$5:$T$20,E299,Transacciones!$F$5:$F$20,"&lt;"&amp;A299)*H299,0),0)</f>
        <v>0</v>
      </c>
      <c r="R299" s="11" t="str">
        <f>IF(COUNTIF(Entradas!$A$14:$A$17,A299)&gt;0,"sí","")</f>
        <v/>
      </c>
      <c r="S299" s="11" t="str">
        <f t="shared" si="24"/>
        <v>46304|Principal|BI261008|Casa A</v>
      </c>
    </row>
    <row r="300" spans="1:19" x14ac:dyDescent="0.3">
      <c r="A300" s="20">
        <v>46304</v>
      </c>
      <c r="B300" s="21" t="s">
        <v>94</v>
      </c>
      <c r="C300" s="21" t="s">
        <v>132</v>
      </c>
      <c r="D300" s="21" t="s">
        <v>113</v>
      </c>
      <c r="E300" s="11" t="str">
        <f t="shared" si="20"/>
        <v>Principal|BI261008|Casa B</v>
      </c>
      <c r="F300" s="11" t="str">
        <f>INDEX(Entradas!$C$40:$C$46,MATCH(C300,Entradas!$A$40:$A$46,0))</f>
        <v>cetes</v>
      </c>
      <c r="G300" s="15">
        <f>IF(F300="cetes",INDEX(Entradas!$F$40:$F$46,MATCH(C300,Entradas!$A$40:$A$46,0)),"")</f>
        <v>46303</v>
      </c>
      <c r="H300" s="17">
        <f>IF(F300="cetes",INDEX(Entradas!$G$40:$G$46,MATCH(C300,Entradas!$A$40:$A$46,0)),"")</f>
        <v>10</v>
      </c>
      <c r="I300" s="14">
        <f>IF(F300="cetes",IF(A300&gt;=G300,0,SUMIFS(Transacciones!$N$5:$N$20,Transacciones!$T$5:$T$20,E300,Transacciones!$F$5:$F$20,"&lt;="&amp;A300)),SUMIFS(Transacciones!$N$5:$N$20,Transacciones!$T$5:$T$20,E300,Transacciones!$F$5:$F$20,"&lt;="&amp;A300))</f>
        <v>0</v>
      </c>
      <c r="J300" s="14">
        <f>_xlfn.MAXIFS(Transacciones!$U$5:$U$20,Transacciones!$T$5:$T$20,E300,Transacciones!$F$5:$F$20,"&lt;="&amp;A300)</f>
        <v>46275004</v>
      </c>
      <c r="K300" s="18">
        <f>IF(I300=0,0,INDEX(Transacciones!$Z$5:$Z$20,MATCH(J300,Transacciones!$U$5:$U$20,0)))</f>
        <v>0</v>
      </c>
      <c r="L300" s="17">
        <f t="shared" si="21"/>
        <v>0</v>
      </c>
      <c r="M300" s="15" t="str">
        <f>IF(F300="cetes",IF(COUNTIFS(CETES!$A$5:$A$95,A300,CETES!$B$5:$B$95,C300)=0,"",A300),SUMIFS(Precios!$K$5:$K$109,Precios!$I$5:$I$109,A300,Precios!$J$5:$J$109,C300))</f>
        <v/>
      </c>
      <c r="N300" s="18" t="str">
        <f>IF(F300="cetes",IF(COUNTIFS(CETES!$A$5:$A$95,A300,CETES!$B$5:$B$95,C300)=0,"",SUMIFS(CETES!$AF$5:$AF$95,CETES!$A$5:$A$95,A300,CETES!$B$5:$B$95,C300)),SUMIFS(Precios!$L$5:$L$109,Precios!$I$5:$I$109,A300,Precios!$J$5:$J$109,C300))</f>
        <v/>
      </c>
      <c r="O300" s="17">
        <f t="shared" si="22"/>
        <v>0</v>
      </c>
      <c r="P300" s="17">
        <f t="shared" si="23"/>
        <v>0</v>
      </c>
      <c r="Q300" s="17">
        <f>IF(F300="cetes",IF(A300=G300,SUMIFS(Transacciones!$N$5:$N$20,Transacciones!$T$5:$T$20,E300,Transacciones!$F$5:$F$20,"&lt;"&amp;A300)*H300,0),0)</f>
        <v>0</v>
      </c>
      <c r="R300" s="11" t="str">
        <f>IF(COUNTIF(Entradas!$A$14:$A$17,A300)&gt;0,"sí","")</f>
        <v/>
      </c>
      <c r="S300" s="11" t="str">
        <f t="shared" si="24"/>
        <v>46304|Principal|BI261008|Casa B</v>
      </c>
    </row>
    <row r="301" spans="1:19" x14ac:dyDescent="0.3">
      <c r="A301" s="20">
        <v>46304</v>
      </c>
      <c r="B301" s="21" t="s">
        <v>94</v>
      </c>
      <c r="C301" s="21" t="s">
        <v>135</v>
      </c>
      <c r="D301" s="21" t="s">
        <v>113</v>
      </c>
      <c r="E301" s="11" t="str">
        <f t="shared" si="20"/>
        <v>Principal|BI261105|Casa B</v>
      </c>
      <c r="F301" s="11" t="str">
        <f>INDEX(Entradas!$C$40:$C$46,MATCH(C301,Entradas!$A$40:$A$46,0))</f>
        <v>cetes</v>
      </c>
      <c r="G301" s="15">
        <f>IF(F301="cetes",INDEX(Entradas!$F$40:$F$46,MATCH(C301,Entradas!$A$40:$A$46,0)),"")</f>
        <v>46331</v>
      </c>
      <c r="H301" s="17">
        <f>IF(F301="cetes",INDEX(Entradas!$G$40:$G$46,MATCH(C301,Entradas!$A$40:$A$46,0)),"")</f>
        <v>10</v>
      </c>
      <c r="I301" s="14">
        <f>IF(F301="cetes",IF(A301&gt;=G301,0,SUMIFS(Transacciones!$N$5:$N$20,Transacciones!$T$5:$T$20,E301,Transacciones!$F$5:$F$20,"&lt;="&amp;A301)),SUMIFS(Transacciones!$N$5:$N$20,Transacciones!$T$5:$T$20,E301,Transacciones!$F$5:$F$20,"&lt;="&amp;A301))</f>
        <v>1000</v>
      </c>
      <c r="J301" s="14">
        <f>_xlfn.MAXIFS(Transacciones!$U$5:$U$20,Transacciones!$T$5:$T$20,E301,Transacciones!$F$5:$F$20,"&lt;="&amp;A301)</f>
        <v>46303016</v>
      </c>
      <c r="K301" s="18">
        <f>IF(I301=0,0,INDEX(Transacciones!$Z$5:$Z$20,MATCH(J301,Transacciones!$U$5:$U$20,0)))</f>
        <v>9.9528566000000005</v>
      </c>
      <c r="L301" s="17">
        <f t="shared" si="21"/>
        <v>9952.856600000001</v>
      </c>
      <c r="M301" s="15">
        <f>IF(F301="cetes",IF(COUNTIFS(CETES!$A$5:$A$95,A301,CETES!$B$5:$B$95,C301)=0,"",A301),SUMIFS(Precios!$K$5:$K$109,Precios!$I$5:$I$109,A301,Precios!$J$5:$J$109,C301))</f>
        <v>46304</v>
      </c>
      <c r="N301" s="18">
        <f>IF(F301="cetes",IF(COUNTIFS(CETES!$A$5:$A$95,A301,CETES!$B$5:$B$95,C301)=0,"",SUMIFS(CETES!$AF$5:$AF$95,CETES!$A$5:$A$95,A301,CETES!$B$5:$B$95,C301)),SUMIFS(Precios!$L$5:$L$109,Precios!$I$5:$I$109,A301,Precios!$J$5:$J$109,C301))</f>
        <v>9.9545326999999997</v>
      </c>
      <c r="O301" s="17">
        <f t="shared" si="22"/>
        <v>9954.5326999999997</v>
      </c>
      <c r="P301" s="17">
        <f t="shared" si="23"/>
        <v>1.6760999999987689</v>
      </c>
      <c r="Q301" s="17">
        <f>IF(F301="cetes",IF(A301=G301,SUMIFS(Transacciones!$N$5:$N$20,Transacciones!$T$5:$T$20,E301,Transacciones!$F$5:$F$20,"&lt;"&amp;A301)*H301,0),0)</f>
        <v>0</v>
      </c>
      <c r="R301" s="11" t="str">
        <f>IF(COUNTIF(Entradas!$A$14:$A$17,A301)&gt;0,"sí","")</f>
        <v/>
      </c>
      <c r="S301" s="11" t="str">
        <f t="shared" si="24"/>
        <v>46304|Principal|BI261105|Casa B</v>
      </c>
    </row>
    <row r="302" spans="1:19" x14ac:dyDescent="0.3">
      <c r="A302" s="20">
        <v>46304</v>
      </c>
      <c r="B302" s="21" t="s">
        <v>94</v>
      </c>
      <c r="C302" s="21" t="s">
        <v>137</v>
      </c>
      <c r="D302" s="21" t="s">
        <v>112</v>
      </c>
      <c r="E302" s="11" t="str">
        <f t="shared" si="20"/>
        <v>Principal|BI261217|Casa A</v>
      </c>
      <c r="F302" s="11" t="str">
        <f>INDEX(Entradas!$C$40:$C$46,MATCH(C302,Entradas!$A$40:$A$46,0))</f>
        <v>cetes</v>
      </c>
      <c r="G302" s="15">
        <f>IF(F302="cetes",INDEX(Entradas!$F$40:$F$46,MATCH(C302,Entradas!$A$40:$A$46,0)),"")</f>
        <v>46373</v>
      </c>
      <c r="H302" s="17">
        <f>IF(F302="cetes",INDEX(Entradas!$G$40:$G$46,MATCH(C302,Entradas!$A$40:$A$46,0)),"")</f>
        <v>10</v>
      </c>
      <c r="I302" s="14">
        <f>IF(F302="cetes",IF(A302&gt;=G302,0,SUMIFS(Transacciones!$N$5:$N$20,Transacciones!$T$5:$T$20,E302,Transacciones!$F$5:$F$20,"&lt;="&amp;A302)),SUMIFS(Transacciones!$N$5:$N$20,Transacciones!$T$5:$T$20,E302,Transacciones!$F$5:$F$20,"&lt;="&amp;A302))</f>
        <v>1000</v>
      </c>
      <c r="J302" s="14">
        <f>_xlfn.MAXIFS(Transacciones!$U$5:$U$20,Transacciones!$T$5:$T$20,E302,Transacciones!$F$5:$F$20,"&lt;="&amp;A302)</f>
        <v>46282008</v>
      </c>
      <c r="K302" s="18">
        <f>IF(I302=0,0,INDEX(Transacciones!$Z$5:$Z$20,MATCH(J302,Transacciones!$U$5:$U$20,0)))</f>
        <v>9.8344372</v>
      </c>
      <c r="L302" s="17">
        <f t="shared" si="21"/>
        <v>9834.4372000000003</v>
      </c>
      <c r="M302" s="15">
        <f>IF(F302="cetes",IF(COUNTIFS(CETES!$A$5:$A$95,A302,CETES!$B$5:$B$95,C302)=0,"",A302),SUMIFS(Precios!$K$5:$K$109,Precios!$I$5:$I$109,A302,Precios!$J$5:$J$109,C302))</f>
        <v>46304</v>
      </c>
      <c r="N302" s="18">
        <f>IF(F302="cetes",IF(COUNTIFS(CETES!$A$5:$A$95,A302,CETES!$B$5:$B$95,C302)=0,"",SUMIFS(CETES!$AF$5:$AF$95,CETES!$A$5:$A$95,A302,CETES!$B$5:$B$95,C302)),SUMIFS(Precios!$L$5:$L$109,Precios!$I$5:$I$109,A302,Precios!$J$5:$J$109,C302))</f>
        <v>9.8762196000000007</v>
      </c>
      <c r="O302" s="17">
        <f t="shared" si="22"/>
        <v>9876.2196000000004</v>
      </c>
      <c r="P302" s="17">
        <f t="shared" si="23"/>
        <v>41.782400000000052</v>
      </c>
      <c r="Q302" s="17">
        <f>IF(F302="cetes",IF(A302=G302,SUMIFS(Transacciones!$N$5:$N$20,Transacciones!$T$5:$T$20,E302,Transacciones!$F$5:$F$20,"&lt;"&amp;A302)*H302,0),0)</f>
        <v>0</v>
      </c>
      <c r="R302" s="11" t="str">
        <f>IF(COUNTIF(Entradas!$A$14:$A$17,A302)&gt;0,"sí","")</f>
        <v/>
      </c>
      <c r="S302" s="11" t="str">
        <f t="shared" si="24"/>
        <v>46304|Principal|BI261217|Casa A</v>
      </c>
    </row>
    <row r="303" spans="1:19" x14ac:dyDescent="0.3">
      <c r="A303" s="20">
        <v>46304</v>
      </c>
      <c r="B303" s="21" t="s">
        <v>94</v>
      </c>
      <c r="C303" s="21" t="s">
        <v>139</v>
      </c>
      <c r="D303" s="21" t="s">
        <v>113</v>
      </c>
      <c r="E303" s="11" t="str">
        <f t="shared" si="20"/>
        <v>Principal|BI270318|Casa B</v>
      </c>
      <c r="F303" s="11" t="str">
        <f>INDEX(Entradas!$C$40:$C$46,MATCH(C303,Entradas!$A$40:$A$46,0))</f>
        <v>cetes</v>
      </c>
      <c r="G303" s="15">
        <f>IF(F303="cetes",INDEX(Entradas!$F$40:$F$46,MATCH(C303,Entradas!$A$40:$A$46,0)),"")</f>
        <v>46464</v>
      </c>
      <c r="H303" s="17">
        <f>IF(F303="cetes",INDEX(Entradas!$G$40:$G$46,MATCH(C303,Entradas!$A$40:$A$46,0)),"")</f>
        <v>10</v>
      </c>
      <c r="I303" s="14">
        <f>IF(F303="cetes",IF(A303&gt;=G303,0,SUMIFS(Transacciones!$N$5:$N$20,Transacciones!$T$5:$T$20,E303,Transacciones!$F$5:$F$20,"&lt;="&amp;A303)),SUMIFS(Transacciones!$N$5:$N$20,Transacciones!$T$5:$T$20,E303,Transacciones!$F$5:$F$20,"&lt;="&amp;A303))</f>
        <v>500</v>
      </c>
      <c r="J303" s="14">
        <f>_xlfn.MAXIFS(Transacciones!$U$5:$U$20,Transacciones!$T$5:$T$20,E303,Transacciones!$F$5:$F$20,"&lt;="&amp;A303)</f>
        <v>46282009</v>
      </c>
      <c r="K303" s="18">
        <f>IF(I303=0,0,INDEX(Transacciones!$Z$5:$Z$20,MATCH(J303,Transacciones!$U$5:$U$20,0)))</f>
        <v>9.6629249999999995</v>
      </c>
      <c r="L303" s="17">
        <f t="shared" si="21"/>
        <v>4831.4624999999996</v>
      </c>
      <c r="M303" s="15">
        <f>IF(F303="cetes",IF(COUNTIFS(CETES!$A$5:$A$95,A303,CETES!$B$5:$B$95,C303)=0,"",A303),SUMIFS(Precios!$K$5:$K$109,Precios!$I$5:$I$109,A303,Precios!$J$5:$J$109,C303))</f>
        <v>46304</v>
      </c>
      <c r="N303" s="18">
        <f>IF(F303="cetes",IF(COUNTIFS(CETES!$A$5:$A$95,A303,CETES!$B$5:$B$95,C303)=0,"",SUMIFS(CETES!$AF$5:$AF$95,CETES!$A$5:$A$95,A303,CETES!$B$5:$B$95,C303)),SUMIFS(Precios!$L$5:$L$109,Precios!$I$5:$I$109,A303,Precios!$J$5:$J$109,C303))</f>
        <v>9.7030109000000007</v>
      </c>
      <c r="O303" s="17">
        <f t="shared" si="22"/>
        <v>4851.5054500000006</v>
      </c>
      <c r="P303" s="17">
        <f t="shared" si="23"/>
        <v>20.042950000000928</v>
      </c>
      <c r="Q303" s="17">
        <f>IF(F303="cetes",IF(A303=G303,SUMIFS(Transacciones!$N$5:$N$20,Transacciones!$T$5:$T$20,E303,Transacciones!$F$5:$F$20,"&lt;"&amp;A303)*H303,0),0)</f>
        <v>0</v>
      </c>
      <c r="R303" s="11" t="str">
        <f>IF(COUNTIF(Entradas!$A$14:$A$17,A303)&gt;0,"sí","")</f>
        <v/>
      </c>
      <c r="S303" s="11" t="str">
        <f t="shared" si="24"/>
        <v>46304|Principal|BI270318|Casa B</v>
      </c>
    </row>
    <row r="304" spans="1:19" x14ac:dyDescent="0.3">
      <c r="A304" s="20">
        <v>46304</v>
      </c>
      <c r="B304" s="21" t="s">
        <v>103</v>
      </c>
      <c r="C304" s="21" t="s">
        <v>123</v>
      </c>
      <c r="D304" s="21" t="s">
        <v>112</v>
      </c>
      <c r="E304" s="11" t="str">
        <f t="shared" si="20"/>
        <v>Secundario|DEMOACC|Casa A</v>
      </c>
      <c r="F304" s="11" t="str">
        <f>INDEX(Entradas!$C$40:$C$46,MATCH(C304,Entradas!$A$40:$A$46,0))</f>
        <v>accion</v>
      </c>
      <c r="G304" s="15" t="str">
        <f>IF(F304="cetes",INDEX(Entradas!$F$40:$F$46,MATCH(C304,Entradas!$A$40:$A$46,0)),"")</f>
        <v/>
      </c>
      <c r="H304" s="17" t="str">
        <f>IF(F304="cetes",INDEX(Entradas!$G$40:$G$46,MATCH(C304,Entradas!$A$40:$A$46,0)),"")</f>
        <v/>
      </c>
      <c r="I304" s="14">
        <f>IF(F304="cetes",IF(A304&gt;=G304,0,SUMIFS(Transacciones!$N$5:$N$20,Transacciones!$T$5:$T$20,E304,Transacciones!$F$5:$F$20,"&lt;="&amp;A304)),SUMIFS(Transacciones!$N$5:$N$20,Transacciones!$T$5:$T$20,E304,Transacciones!$F$5:$F$20,"&lt;="&amp;A304))</f>
        <v>150</v>
      </c>
      <c r="J304" s="14">
        <f>_xlfn.MAXIFS(Transacciones!$U$5:$U$20,Transacciones!$T$5:$T$20,E304,Transacciones!$F$5:$F$20,"&lt;="&amp;A304)</f>
        <v>46279007</v>
      </c>
      <c r="K304" s="18">
        <f>IF(I304=0,0,INDEX(Transacciones!$Z$5:$Z$20,MATCH(J304,Transacciones!$U$5:$U$20,0)))</f>
        <v>103.90046666666666</v>
      </c>
      <c r="L304" s="17">
        <f t="shared" si="21"/>
        <v>15585.07</v>
      </c>
      <c r="M304" s="15">
        <f>IF(F304="cetes",IF(COUNTIFS(CETES!$A$5:$A$95,A304,CETES!$B$5:$B$95,C304)=0,"",A304),SUMIFS(Precios!$K$5:$K$109,Precios!$I$5:$I$109,A304,Precios!$J$5:$J$109,C304))</f>
        <v>46304</v>
      </c>
      <c r="N304" s="18">
        <f>IF(F304="cetes",IF(COUNTIFS(CETES!$A$5:$A$95,A304,CETES!$B$5:$B$95,C304)=0,"",SUMIFS(CETES!$AF$5:$AF$95,CETES!$A$5:$A$95,A304,CETES!$B$5:$B$95,C304)),SUMIFS(Precios!$L$5:$L$109,Precios!$I$5:$I$109,A304,Precios!$J$5:$J$109,C304))</f>
        <v>109.15</v>
      </c>
      <c r="O304" s="17">
        <f t="shared" si="22"/>
        <v>16372.5</v>
      </c>
      <c r="P304" s="17">
        <f t="shared" si="23"/>
        <v>787.43000000000029</v>
      </c>
      <c r="Q304" s="17">
        <f>IF(F304="cetes",IF(A304=G304,SUMIFS(Transacciones!$N$5:$N$20,Transacciones!$T$5:$T$20,E304,Transacciones!$F$5:$F$20,"&lt;"&amp;A304)*H304,0),0)</f>
        <v>0</v>
      </c>
      <c r="R304" s="11" t="str">
        <f>IF(COUNTIF(Entradas!$A$14:$A$17,A304)&gt;0,"sí","")</f>
        <v/>
      </c>
      <c r="S304" s="11" t="str">
        <f t="shared" si="24"/>
        <v>46304|Secundario|DEMOACC|Casa A</v>
      </c>
    </row>
    <row r="305" spans="1:19" x14ac:dyDescent="0.3">
      <c r="A305" s="20">
        <v>46305</v>
      </c>
      <c r="B305" s="21" t="s">
        <v>94</v>
      </c>
      <c r="C305" s="21" t="s">
        <v>123</v>
      </c>
      <c r="D305" s="21" t="s">
        <v>112</v>
      </c>
      <c r="E305" s="11" t="str">
        <f t="shared" si="20"/>
        <v>Principal|DEMOACC|Casa A</v>
      </c>
      <c r="F305" s="11" t="str">
        <f>INDEX(Entradas!$C$40:$C$46,MATCH(C305,Entradas!$A$40:$A$46,0))</f>
        <v>accion</v>
      </c>
      <c r="G305" s="15" t="str">
        <f>IF(F305="cetes",INDEX(Entradas!$F$40:$F$46,MATCH(C305,Entradas!$A$40:$A$46,0)),"")</f>
        <v/>
      </c>
      <c r="H305" s="17" t="str">
        <f>IF(F305="cetes",INDEX(Entradas!$G$40:$G$46,MATCH(C305,Entradas!$A$40:$A$46,0)),"")</f>
        <v/>
      </c>
      <c r="I305" s="14">
        <f>IF(F305="cetes",IF(A305&gt;=G305,0,SUMIFS(Transacciones!$N$5:$N$20,Transacciones!$T$5:$T$20,E305,Transacciones!$F$5:$F$20,"&lt;="&amp;A305)),SUMIFS(Transacciones!$N$5:$N$20,Transacciones!$T$5:$T$20,E305,Transacciones!$F$5:$F$20,"&lt;="&amp;A305))</f>
        <v>120</v>
      </c>
      <c r="J305" s="14">
        <f>_xlfn.MAXIFS(Transacciones!$U$5:$U$20,Transacciones!$T$5:$T$20,E305,Transacciones!$F$5:$F$20,"&lt;="&amp;A305)</f>
        <v>46297514</v>
      </c>
      <c r="K305" s="18">
        <f>IF(I305=0,0,INDEX(Transacciones!$Z$5:$Z$20,MATCH(J305,Transacciones!$U$5:$U$20,0)))</f>
        <v>100.23985</v>
      </c>
      <c r="L305" s="17">
        <f t="shared" si="21"/>
        <v>12028.782000000001</v>
      </c>
      <c r="M305" s="15">
        <f>IF(F305="cetes",IF(COUNTIFS(CETES!$A$5:$A$95,A305,CETES!$B$5:$B$95,C305)=0,"",A305),SUMIFS(Precios!$K$5:$K$109,Precios!$I$5:$I$109,A305,Precios!$J$5:$J$109,C305))</f>
        <v>46304</v>
      </c>
      <c r="N305" s="18">
        <f>IF(F305="cetes",IF(COUNTIFS(CETES!$A$5:$A$95,A305,CETES!$B$5:$B$95,C305)=0,"",SUMIFS(CETES!$AF$5:$AF$95,CETES!$A$5:$A$95,A305,CETES!$B$5:$B$95,C305)),SUMIFS(Precios!$L$5:$L$109,Precios!$I$5:$I$109,A305,Precios!$J$5:$J$109,C305))</f>
        <v>109.15</v>
      </c>
      <c r="O305" s="17">
        <f t="shared" si="22"/>
        <v>13098</v>
      </c>
      <c r="P305" s="17">
        <f t="shared" si="23"/>
        <v>1069.2179999999989</v>
      </c>
      <c r="Q305" s="17">
        <f>IF(F305="cetes",IF(A305=G305,SUMIFS(Transacciones!$N$5:$N$20,Transacciones!$T$5:$T$20,E305,Transacciones!$F$5:$F$20,"&lt;"&amp;A305)*H305,0),0)</f>
        <v>0</v>
      </c>
      <c r="R305" s="11" t="str">
        <f>IF(COUNTIF(Entradas!$A$14:$A$17,A305)&gt;0,"sí","")</f>
        <v/>
      </c>
      <c r="S305" s="11" t="str">
        <f t="shared" si="24"/>
        <v>46305|Principal|DEMOACC|Casa A</v>
      </c>
    </row>
    <row r="306" spans="1:19" x14ac:dyDescent="0.3">
      <c r="A306" s="20">
        <v>46305</v>
      </c>
      <c r="B306" s="21" t="s">
        <v>94</v>
      </c>
      <c r="C306" s="21" t="s">
        <v>123</v>
      </c>
      <c r="D306" s="21" t="s">
        <v>113</v>
      </c>
      <c r="E306" s="11" t="str">
        <f t="shared" si="20"/>
        <v>Principal|DEMOACC|Casa B</v>
      </c>
      <c r="F306" s="11" t="str">
        <f>INDEX(Entradas!$C$40:$C$46,MATCH(C306,Entradas!$A$40:$A$46,0))</f>
        <v>accion</v>
      </c>
      <c r="G306" s="15" t="str">
        <f>IF(F306="cetes",INDEX(Entradas!$F$40:$F$46,MATCH(C306,Entradas!$A$40:$A$46,0)),"")</f>
        <v/>
      </c>
      <c r="H306" s="17" t="str">
        <f>IF(F306="cetes",INDEX(Entradas!$G$40:$G$46,MATCH(C306,Entradas!$A$40:$A$46,0)),"")</f>
        <v/>
      </c>
      <c r="I306" s="14">
        <f>IF(F306="cetes",IF(A306&gt;=G306,0,SUMIFS(Transacciones!$N$5:$N$20,Transacciones!$T$5:$T$20,E306,Transacciones!$F$5:$F$20,"&lt;="&amp;A306)),SUMIFS(Transacciones!$N$5:$N$20,Transacciones!$T$5:$T$20,E306,Transacciones!$F$5:$F$20,"&lt;="&amp;A306))</f>
        <v>100</v>
      </c>
      <c r="J306" s="14">
        <f>_xlfn.MAXIFS(Transacciones!$U$5:$U$20,Transacciones!$T$5:$T$20,E306,Transacciones!$F$5:$F$20,"&lt;="&amp;A306)</f>
        <v>46279006</v>
      </c>
      <c r="K306" s="18">
        <f>IF(I306=0,0,INDEX(Transacciones!$Z$5:$Z$20,MATCH(J306,Transacciones!$U$5:$U$20,0)))</f>
        <v>103.399</v>
      </c>
      <c r="L306" s="17">
        <f t="shared" si="21"/>
        <v>10339.9</v>
      </c>
      <c r="M306" s="15">
        <f>IF(F306="cetes",IF(COUNTIFS(CETES!$A$5:$A$95,A306,CETES!$B$5:$B$95,C306)=0,"",A306),SUMIFS(Precios!$K$5:$K$109,Precios!$I$5:$I$109,A306,Precios!$J$5:$J$109,C306))</f>
        <v>46304</v>
      </c>
      <c r="N306" s="18">
        <f>IF(F306="cetes",IF(COUNTIFS(CETES!$A$5:$A$95,A306,CETES!$B$5:$B$95,C306)=0,"",SUMIFS(CETES!$AF$5:$AF$95,CETES!$A$5:$A$95,A306,CETES!$B$5:$B$95,C306)),SUMIFS(Precios!$L$5:$L$109,Precios!$I$5:$I$109,A306,Precios!$J$5:$J$109,C306))</f>
        <v>109.15</v>
      </c>
      <c r="O306" s="17">
        <f t="shared" si="22"/>
        <v>10915</v>
      </c>
      <c r="P306" s="17">
        <f t="shared" si="23"/>
        <v>575.10000000000036</v>
      </c>
      <c r="Q306" s="17">
        <f>IF(F306="cetes",IF(A306=G306,SUMIFS(Transacciones!$N$5:$N$20,Transacciones!$T$5:$T$20,E306,Transacciones!$F$5:$F$20,"&lt;"&amp;A306)*H306,0),0)</f>
        <v>0</v>
      </c>
      <c r="R306" s="11" t="str">
        <f>IF(COUNTIF(Entradas!$A$14:$A$17,A306)&gt;0,"sí","")</f>
        <v/>
      </c>
      <c r="S306" s="11" t="str">
        <f t="shared" si="24"/>
        <v>46305|Principal|DEMOACC|Casa B</v>
      </c>
    </row>
    <row r="307" spans="1:19" x14ac:dyDescent="0.3">
      <c r="A307" s="20">
        <v>46305</v>
      </c>
      <c r="B307" s="21" t="s">
        <v>94</v>
      </c>
      <c r="C307" s="21" t="s">
        <v>126</v>
      </c>
      <c r="D307" s="21" t="s">
        <v>113</v>
      </c>
      <c r="E307" s="11" t="str">
        <f t="shared" si="20"/>
        <v>Principal|DEMOETF|Casa B</v>
      </c>
      <c r="F307" s="11" t="str">
        <f>INDEX(Entradas!$C$40:$C$46,MATCH(C307,Entradas!$A$40:$A$46,0))</f>
        <v>etf</v>
      </c>
      <c r="G307" s="15" t="str">
        <f>IF(F307="cetes",INDEX(Entradas!$F$40:$F$46,MATCH(C307,Entradas!$A$40:$A$46,0)),"")</f>
        <v/>
      </c>
      <c r="H307" s="17" t="str">
        <f>IF(F307="cetes",INDEX(Entradas!$G$40:$G$46,MATCH(C307,Entradas!$A$40:$A$46,0)),"")</f>
        <v/>
      </c>
      <c r="I307" s="14">
        <f>IF(F307="cetes",IF(A307&gt;=G307,0,SUMIFS(Transacciones!$N$5:$N$20,Transacciones!$T$5:$T$20,E307,Transacciones!$F$5:$F$20,"&lt;="&amp;A307)),SUMIFS(Transacciones!$N$5:$N$20,Transacciones!$T$5:$T$20,E307,Transacciones!$F$5:$F$20,"&lt;="&amp;A307))</f>
        <v>40</v>
      </c>
      <c r="J307" s="14">
        <f>_xlfn.MAXIFS(Transacciones!$U$5:$U$20,Transacciones!$T$5:$T$20,E307,Transacciones!$F$5:$F$20,"&lt;="&amp;A307)</f>
        <v>46290512</v>
      </c>
      <c r="K307" s="18">
        <f>IF(I307=0,0,INDEX(Transacciones!$Z$5:$Z$20,MATCH(J307,Transacciones!$U$5:$U$20,0)))</f>
        <v>49.386499999999998</v>
      </c>
      <c r="L307" s="17">
        <f t="shared" si="21"/>
        <v>1975.46</v>
      </c>
      <c r="M307" s="15">
        <f>IF(F307="cetes",IF(COUNTIFS(CETES!$A$5:$A$95,A307,CETES!$B$5:$B$95,C307)=0,"",A307),SUMIFS(Precios!$K$5:$K$109,Precios!$I$5:$I$109,A307,Precios!$J$5:$J$109,C307))</f>
        <v>46304</v>
      </c>
      <c r="N307" s="18">
        <f>IF(F307="cetes",IF(COUNTIFS(CETES!$A$5:$A$95,A307,CETES!$B$5:$B$95,C307)=0,"",SUMIFS(CETES!$AF$5:$AF$95,CETES!$A$5:$A$95,A307,CETES!$B$5:$B$95,C307)),SUMIFS(Precios!$L$5:$L$109,Precios!$I$5:$I$109,A307,Precios!$J$5:$J$109,C307))</f>
        <v>52.31</v>
      </c>
      <c r="O307" s="17">
        <f t="shared" si="22"/>
        <v>2092.4</v>
      </c>
      <c r="P307" s="17">
        <f t="shared" si="23"/>
        <v>116.94000000000005</v>
      </c>
      <c r="Q307" s="17">
        <f>IF(F307="cetes",IF(A307=G307,SUMIFS(Transacciones!$N$5:$N$20,Transacciones!$T$5:$T$20,E307,Transacciones!$F$5:$F$20,"&lt;"&amp;A307)*H307,0),0)</f>
        <v>0</v>
      </c>
      <c r="R307" s="11" t="str">
        <f>IF(COUNTIF(Entradas!$A$14:$A$17,A307)&gt;0,"sí","")</f>
        <v/>
      </c>
      <c r="S307" s="11" t="str">
        <f t="shared" si="24"/>
        <v>46305|Principal|DEMOETF|Casa B</v>
      </c>
    </row>
    <row r="308" spans="1:19" x14ac:dyDescent="0.3">
      <c r="A308" s="20">
        <v>46305</v>
      </c>
      <c r="B308" s="21" t="s">
        <v>94</v>
      </c>
      <c r="C308" s="21" t="s">
        <v>129</v>
      </c>
      <c r="D308" s="21" t="s">
        <v>112</v>
      </c>
      <c r="E308" s="11" t="str">
        <f t="shared" si="20"/>
        <v>Principal|DEMOFIB|Casa A</v>
      </c>
      <c r="F308" s="11" t="str">
        <f>INDEX(Entradas!$C$40:$C$46,MATCH(C308,Entradas!$A$40:$A$46,0))</f>
        <v>fibra</v>
      </c>
      <c r="G308" s="15" t="str">
        <f>IF(F308="cetes",INDEX(Entradas!$F$40:$F$46,MATCH(C308,Entradas!$A$40:$A$46,0)),"")</f>
        <v/>
      </c>
      <c r="H308" s="17" t="str">
        <f>IF(F308="cetes",INDEX(Entradas!$G$40:$G$46,MATCH(C308,Entradas!$A$40:$A$46,0)),"")</f>
        <v/>
      </c>
      <c r="I308" s="14">
        <f>IF(F308="cetes",IF(A308&gt;=G308,0,SUMIFS(Transacciones!$N$5:$N$20,Transacciones!$T$5:$T$20,E308,Transacciones!$F$5:$F$20,"&lt;="&amp;A308)),SUMIFS(Transacciones!$N$5:$N$20,Transacciones!$T$5:$T$20,E308,Transacciones!$F$5:$F$20,"&lt;="&amp;A308))</f>
        <v>300</v>
      </c>
      <c r="J308" s="14">
        <f>_xlfn.MAXIFS(Transacciones!$U$5:$U$20,Transacciones!$T$5:$T$20,E308,Transacciones!$F$5:$F$20,"&lt;="&amp;A308)</f>
        <v>46300015</v>
      </c>
      <c r="K308" s="18">
        <f>IF(I308=0,0,INDEX(Transacciones!$Z$5:$Z$20,MATCH(J308,Transacciones!$U$5:$U$20,0)))</f>
        <v>24.4833</v>
      </c>
      <c r="L308" s="17">
        <f t="shared" si="21"/>
        <v>7344.99</v>
      </c>
      <c r="M308" s="15">
        <f>IF(F308="cetes",IF(COUNTIFS(CETES!$A$5:$A$95,A308,CETES!$B$5:$B$95,C308)=0,"",A308),SUMIFS(Precios!$K$5:$K$109,Precios!$I$5:$I$109,A308,Precios!$J$5:$J$109,C308))</f>
        <v>46304</v>
      </c>
      <c r="N308" s="18">
        <f>IF(F308="cetes",IF(COUNTIFS(CETES!$A$5:$A$95,A308,CETES!$B$5:$B$95,C308)=0,"",SUMIFS(CETES!$AF$5:$AF$95,CETES!$A$5:$A$95,A308,CETES!$B$5:$B$95,C308)),SUMIFS(Precios!$L$5:$L$109,Precios!$I$5:$I$109,A308,Precios!$J$5:$J$109,C308))</f>
        <v>25.24</v>
      </c>
      <c r="O308" s="17">
        <f t="shared" si="22"/>
        <v>7571.9999999999991</v>
      </c>
      <c r="P308" s="17">
        <f t="shared" si="23"/>
        <v>227.00999999999931</v>
      </c>
      <c r="Q308" s="17">
        <f>IF(F308="cetes",IF(A308=G308,SUMIFS(Transacciones!$N$5:$N$20,Transacciones!$T$5:$T$20,E308,Transacciones!$F$5:$F$20,"&lt;"&amp;A308)*H308,0),0)</f>
        <v>0</v>
      </c>
      <c r="R308" s="11" t="str">
        <f>IF(COUNTIF(Entradas!$A$14:$A$17,A308)&gt;0,"sí","")</f>
        <v/>
      </c>
      <c r="S308" s="11" t="str">
        <f t="shared" si="24"/>
        <v>46305|Principal|DEMOFIB|Casa A</v>
      </c>
    </row>
    <row r="309" spans="1:19" x14ac:dyDescent="0.3">
      <c r="A309" s="20">
        <v>46305</v>
      </c>
      <c r="B309" s="21" t="s">
        <v>94</v>
      </c>
      <c r="C309" s="21" t="s">
        <v>132</v>
      </c>
      <c r="D309" s="21" t="s">
        <v>112</v>
      </c>
      <c r="E309" s="11" t="str">
        <f t="shared" si="20"/>
        <v>Principal|BI261008|Casa A</v>
      </c>
      <c r="F309" s="11" t="str">
        <f>INDEX(Entradas!$C$40:$C$46,MATCH(C309,Entradas!$A$40:$A$46,0))</f>
        <v>cetes</v>
      </c>
      <c r="G309" s="15">
        <f>IF(F309="cetes",INDEX(Entradas!$F$40:$F$46,MATCH(C309,Entradas!$A$40:$A$46,0)),"")</f>
        <v>46303</v>
      </c>
      <c r="H309" s="17">
        <f>IF(F309="cetes",INDEX(Entradas!$G$40:$G$46,MATCH(C309,Entradas!$A$40:$A$46,0)),"")</f>
        <v>10</v>
      </c>
      <c r="I309" s="14">
        <f>IF(F309="cetes",IF(A309&gt;=G309,0,SUMIFS(Transacciones!$N$5:$N$20,Transacciones!$T$5:$T$20,E309,Transacciones!$F$5:$F$20,"&lt;="&amp;A309)),SUMIFS(Transacciones!$N$5:$N$20,Transacciones!$T$5:$T$20,E309,Transacciones!$F$5:$F$20,"&lt;="&amp;A309))</f>
        <v>0</v>
      </c>
      <c r="J309" s="14">
        <f>_xlfn.MAXIFS(Transacciones!$U$5:$U$20,Transacciones!$T$5:$T$20,E309,Transacciones!$F$5:$F$20,"&lt;="&amp;A309)</f>
        <v>46296513</v>
      </c>
      <c r="K309" s="18">
        <f>IF(I309=0,0,INDEX(Transacciones!$Z$5:$Z$20,MATCH(J309,Transacciones!$U$5:$U$20,0)))</f>
        <v>0</v>
      </c>
      <c r="L309" s="17">
        <f t="shared" si="21"/>
        <v>0</v>
      </c>
      <c r="M309" s="15" t="str">
        <f>IF(F309="cetes",IF(COUNTIFS(CETES!$A$5:$A$95,A309,CETES!$B$5:$B$95,C309)=0,"",A309),SUMIFS(Precios!$K$5:$K$109,Precios!$I$5:$I$109,A309,Precios!$J$5:$J$109,C309))</f>
        <v/>
      </c>
      <c r="N309" s="18" t="str">
        <f>IF(F309="cetes",IF(COUNTIFS(CETES!$A$5:$A$95,A309,CETES!$B$5:$B$95,C309)=0,"",SUMIFS(CETES!$AF$5:$AF$95,CETES!$A$5:$A$95,A309,CETES!$B$5:$B$95,C309)),SUMIFS(Precios!$L$5:$L$109,Precios!$I$5:$I$109,A309,Precios!$J$5:$J$109,C309))</f>
        <v/>
      </c>
      <c r="O309" s="17">
        <f t="shared" si="22"/>
        <v>0</v>
      </c>
      <c r="P309" s="17">
        <f t="shared" si="23"/>
        <v>0</v>
      </c>
      <c r="Q309" s="17">
        <f>IF(F309="cetes",IF(A309=G309,SUMIFS(Transacciones!$N$5:$N$20,Transacciones!$T$5:$T$20,E309,Transacciones!$F$5:$F$20,"&lt;"&amp;A309)*H309,0),0)</f>
        <v>0</v>
      </c>
      <c r="R309" s="11" t="str">
        <f>IF(COUNTIF(Entradas!$A$14:$A$17,A309)&gt;0,"sí","")</f>
        <v/>
      </c>
      <c r="S309" s="11" t="str">
        <f t="shared" si="24"/>
        <v>46305|Principal|BI261008|Casa A</v>
      </c>
    </row>
    <row r="310" spans="1:19" x14ac:dyDescent="0.3">
      <c r="A310" s="20">
        <v>46305</v>
      </c>
      <c r="B310" s="21" t="s">
        <v>94</v>
      </c>
      <c r="C310" s="21" t="s">
        <v>132</v>
      </c>
      <c r="D310" s="21" t="s">
        <v>113</v>
      </c>
      <c r="E310" s="11" t="str">
        <f t="shared" si="20"/>
        <v>Principal|BI261008|Casa B</v>
      </c>
      <c r="F310" s="11" t="str">
        <f>INDEX(Entradas!$C$40:$C$46,MATCH(C310,Entradas!$A$40:$A$46,0))</f>
        <v>cetes</v>
      </c>
      <c r="G310" s="15">
        <f>IF(F310="cetes",INDEX(Entradas!$F$40:$F$46,MATCH(C310,Entradas!$A$40:$A$46,0)),"")</f>
        <v>46303</v>
      </c>
      <c r="H310" s="17">
        <f>IF(F310="cetes",INDEX(Entradas!$G$40:$G$46,MATCH(C310,Entradas!$A$40:$A$46,0)),"")</f>
        <v>10</v>
      </c>
      <c r="I310" s="14">
        <f>IF(F310="cetes",IF(A310&gt;=G310,0,SUMIFS(Transacciones!$N$5:$N$20,Transacciones!$T$5:$T$20,E310,Transacciones!$F$5:$F$20,"&lt;="&amp;A310)),SUMIFS(Transacciones!$N$5:$N$20,Transacciones!$T$5:$T$20,E310,Transacciones!$F$5:$F$20,"&lt;="&amp;A310))</f>
        <v>0</v>
      </c>
      <c r="J310" s="14">
        <f>_xlfn.MAXIFS(Transacciones!$U$5:$U$20,Transacciones!$T$5:$T$20,E310,Transacciones!$F$5:$F$20,"&lt;="&amp;A310)</f>
        <v>46275004</v>
      </c>
      <c r="K310" s="18">
        <f>IF(I310=0,0,INDEX(Transacciones!$Z$5:$Z$20,MATCH(J310,Transacciones!$U$5:$U$20,0)))</f>
        <v>0</v>
      </c>
      <c r="L310" s="17">
        <f t="shared" si="21"/>
        <v>0</v>
      </c>
      <c r="M310" s="15" t="str">
        <f>IF(F310="cetes",IF(COUNTIFS(CETES!$A$5:$A$95,A310,CETES!$B$5:$B$95,C310)=0,"",A310),SUMIFS(Precios!$K$5:$K$109,Precios!$I$5:$I$109,A310,Precios!$J$5:$J$109,C310))</f>
        <v/>
      </c>
      <c r="N310" s="18" t="str">
        <f>IF(F310="cetes",IF(COUNTIFS(CETES!$A$5:$A$95,A310,CETES!$B$5:$B$95,C310)=0,"",SUMIFS(CETES!$AF$5:$AF$95,CETES!$A$5:$A$95,A310,CETES!$B$5:$B$95,C310)),SUMIFS(Precios!$L$5:$L$109,Precios!$I$5:$I$109,A310,Precios!$J$5:$J$109,C310))</f>
        <v/>
      </c>
      <c r="O310" s="17">
        <f t="shared" si="22"/>
        <v>0</v>
      </c>
      <c r="P310" s="17">
        <f t="shared" si="23"/>
        <v>0</v>
      </c>
      <c r="Q310" s="17">
        <f>IF(F310="cetes",IF(A310=G310,SUMIFS(Transacciones!$N$5:$N$20,Transacciones!$T$5:$T$20,E310,Transacciones!$F$5:$F$20,"&lt;"&amp;A310)*H310,0),0)</f>
        <v>0</v>
      </c>
      <c r="R310" s="11" t="str">
        <f>IF(COUNTIF(Entradas!$A$14:$A$17,A310)&gt;0,"sí","")</f>
        <v/>
      </c>
      <c r="S310" s="11" t="str">
        <f t="shared" si="24"/>
        <v>46305|Principal|BI261008|Casa B</v>
      </c>
    </row>
    <row r="311" spans="1:19" x14ac:dyDescent="0.3">
      <c r="A311" s="20">
        <v>46305</v>
      </c>
      <c r="B311" s="21" t="s">
        <v>94</v>
      </c>
      <c r="C311" s="21" t="s">
        <v>135</v>
      </c>
      <c r="D311" s="21" t="s">
        <v>113</v>
      </c>
      <c r="E311" s="11" t="str">
        <f t="shared" si="20"/>
        <v>Principal|BI261105|Casa B</v>
      </c>
      <c r="F311" s="11" t="str">
        <f>INDEX(Entradas!$C$40:$C$46,MATCH(C311,Entradas!$A$40:$A$46,0))</f>
        <v>cetes</v>
      </c>
      <c r="G311" s="15">
        <f>IF(F311="cetes",INDEX(Entradas!$F$40:$F$46,MATCH(C311,Entradas!$A$40:$A$46,0)),"")</f>
        <v>46331</v>
      </c>
      <c r="H311" s="17">
        <f>IF(F311="cetes",INDEX(Entradas!$G$40:$G$46,MATCH(C311,Entradas!$A$40:$A$46,0)),"")</f>
        <v>10</v>
      </c>
      <c r="I311" s="14">
        <f>IF(F311="cetes",IF(A311&gt;=G311,0,SUMIFS(Transacciones!$N$5:$N$20,Transacciones!$T$5:$T$20,E311,Transacciones!$F$5:$F$20,"&lt;="&amp;A311)),SUMIFS(Transacciones!$N$5:$N$20,Transacciones!$T$5:$T$20,E311,Transacciones!$F$5:$F$20,"&lt;="&amp;A311))</f>
        <v>1000</v>
      </c>
      <c r="J311" s="14">
        <f>_xlfn.MAXIFS(Transacciones!$U$5:$U$20,Transacciones!$T$5:$T$20,E311,Transacciones!$F$5:$F$20,"&lt;="&amp;A311)</f>
        <v>46303016</v>
      </c>
      <c r="K311" s="18">
        <f>IF(I311=0,0,INDEX(Transacciones!$Z$5:$Z$20,MATCH(J311,Transacciones!$U$5:$U$20,0)))</f>
        <v>9.9528566000000005</v>
      </c>
      <c r="L311" s="17">
        <f t="shared" si="21"/>
        <v>9952.856600000001</v>
      </c>
      <c r="M311" s="15">
        <f>IF(F311="cetes",IF(COUNTIFS(CETES!$A$5:$A$95,A311,CETES!$B$5:$B$95,C311)=0,"",A311),SUMIFS(Precios!$K$5:$K$109,Precios!$I$5:$I$109,A311,Precios!$J$5:$J$109,C311))</f>
        <v>46305</v>
      </c>
      <c r="N311" s="18">
        <f>IF(F311="cetes",IF(COUNTIFS(CETES!$A$5:$A$95,A311,CETES!$B$5:$B$95,C311)=0,"",SUMIFS(CETES!$AF$5:$AF$95,CETES!$A$5:$A$95,A311,CETES!$B$5:$B$95,C311)),SUMIFS(Precios!$L$5:$L$109,Precios!$I$5:$I$109,A311,Precios!$J$5:$J$109,C311))</f>
        <v>9.9562092999999994</v>
      </c>
      <c r="O311" s="17">
        <f t="shared" si="22"/>
        <v>9956.2092999999986</v>
      </c>
      <c r="P311" s="17">
        <f t="shared" si="23"/>
        <v>3.3526999999976397</v>
      </c>
      <c r="Q311" s="17">
        <f>IF(F311="cetes",IF(A311=G311,SUMIFS(Transacciones!$N$5:$N$20,Transacciones!$T$5:$T$20,E311,Transacciones!$F$5:$F$20,"&lt;"&amp;A311)*H311,0),0)</f>
        <v>0</v>
      </c>
      <c r="R311" s="11" t="str">
        <f>IF(COUNTIF(Entradas!$A$14:$A$17,A311)&gt;0,"sí","")</f>
        <v/>
      </c>
      <c r="S311" s="11" t="str">
        <f t="shared" si="24"/>
        <v>46305|Principal|BI261105|Casa B</v>
      </c>
    </row>
    <row r="312" spans="1:19" x14ac:dyDescent="0.3">
      <c r="A312" s="20">
        <v>46305</v>
      </c>
      <c r="B312" s="21" t="s">
        <v>94</v>
      </c>
      <c r="C312" s="21" t="s">
        <v>137</v>
      </c>
      <c r="D312" s="21" t="s">
        <v>112</v>
      </c>
      <c r="E312" s="11" t="str">
        <f t="shared" si="20"/>
        <v>Principal|BI261217|Casa A</v>
      </c>
      <c r="F312" s="11" t="str">
        <f>INDEX(Entradas!$C$40:$C$46,MATCH(C312,Entradas!$A$40:$A$46,0))</f>
        <v>cetes</v>
      </c>
      <c r="G312" s="15">
        <f>IF(F312="cetes",INDEX(Entradas!$F$40:$F$46,MATCH(C312,Entradas!$A$40:$A$46,0)),"")</f>
        <v>46373</v>
      </c>
      <c r="H312" s="17">
        <f>IF(F312="cetes",INDEX(Entradas!$G$40:$G$46,MATCH(C312,Entradas!$A$40:$A$46,0)),"")</f>
        <v>10</v>
      </c>
      <c r="I312" s="14">
        <f>IF(F312="cetes",IF(A312&gt;=G312,0,SUMIFS(Transacciones!$N$5:$N$20,Transacciones!$T$5:$T$20,E312,Transacciones!$F$5:$F$20,"&lt;="&amp;A312)),SUMIFS(Transacciones!$N$5:$N$20,Transacciones!$T$5:$T$20,E312,Transacciones!$F$5:$F$20,"&lt;="&amp;A312))</f>
        <v>1000</v>
      </c>
      <c r="J312" s="14">
        <f>_xlfn.MAXIFS(Transacciones!$U$5:$U$20,Transacciones!$T$5:$T$20,E312,Transacciones!$F$5:$F$20,"&lt;="&amp;A312)</f>
        <v>46282008</v>
      </c>
      <c r="K312" s="18">
        <f>IF(I312=0,0,INDEX(Transacciones!$Z$5:$Z$20,MATCH(J312,Transacciones!$U$5:$U$20,0)))</f>
        <v>9.8344372</v>
      </c>
      <c r="L312" s="17">
        <f t="shared" si="21"/>
        <v>9834.4372000000003</v>
      </c>
      <c r="M312" s="15">
        <f>IF(F312="cetes",IF(COUNTIFS(CETES!$A$5:$A$95,A312,CETES!$B$5:$B$95,C312)=0,"",A312),SUMIFS(Precios!$K$5:$K$109,Precios!$I$5:$I$109,A312,Precios!$J$5:$J$109,C312))</f>
        <v>46305</v>
      </c>
      <c r="N312" s="18">
        <f>IF(F312="cetes",IF(COUNTIFS(CETES!$A$5:$A$95,A312,CETES!$B$5:$B$95,C312)=0,"",SUMIFS(CETES!$AF$5:$AF$95,CETES!$A$5:$A$95,A312,CETES!$B$5:$B$95,C312)),SUMIFS(Precios!$L$5:$L$109,Precios!$I$5:$I$109,A312,Precios!$J$5:$J$109,C312))</f>
        <v>9.8781935000000001</v>
      </c>
      <c r="O312" s="17">
        <f t="shared" si="22"/>
        <v>9878.1934999999994</v>
      </c>
      <c r="P312" s="17">
        <f t="shared" si="23"/>
        <v>43.756299999999101</v>
      </c>
      <c r="Q312" s="17">
        <f>IF(F312="cetes",IF(A312=G312,SUMIFS(Transacciones!$N$5:$N$20,Transacciones!$T$5:$T$20,E312,Transacciones!$F$5:$F$20,"&lt;"&amp;A312)*H312,0),0)</f>
        <v>0</v>
      </c>
      <c r="R312" s="11" t="str">
        <f>IF(COUNTIF(Entradas!$A$14:$A$17,A312)&gt;0,"sí","")</f>
        <v/>
      </c>
      <c r="S312" s="11" t="str">
        <f t="shared" si="24"/>
        <v>46305|Principal|BI261217|Casa A</v>
      </c>
    </row>
    <row r="313" spans="1:19" x14ac:dyDescent="0.3">
      <c r="A313" s="20">
        <v>46305</v>
      </c>
      <c r="B313" s="21" t="s">
        <v>94</v>
      </c>
      <c r="C313" s="21" t="s">
        <v>139</v>
      </c>
      <c r="D313" s="21" t="s">
        <v>113</v>
      </c>
      <c r="E313" s="11" t="str">
        <f t="shared" si="20"/>
        <v>Principal|BI270318|Casa B</v>
      </c>
      <c r="F313" s="11" t="str">
        <f>INDEX(Entradas!$C$40:$C$46,MATCH(C313,Entradas!$A$40:$A$46,0))</f>
        <v>cetes</v>
      </c>
      <c r="G313" s="15">
        <f>IF(F313="cetes",INDEX(Entradas!$F$40:$F$46,MATCH(C313,Entradas!$A$40:$A$46,0)),"")</f>
        <v>46464</v>
      </c>
      <c r="H313" s="17">
        <f>IF(F313="cetes",INDEX(Entradas!$G$40:$G$46,MATCH(C313,Entradas!$A$40:$A$46,0)),"")</f>
        <v>10</v>
      </c>
      <c r="I313" s="14">
        <f>IF(F313="cetes",IF(A313&gt;=G313,0,SUMIFS(Transacciones!$N$5:$N$20,Transacciones!$T$5:$T$20,E313,Transacciones!$F$5:$F$20,"&lt;="&amp;A313)),SUMIFS(Transacciones!$N$5:$N$20,Transacciones!$T$5:$T$20,E313,Transacciones!$F$5:$F$20,"&lt;="&amp;A313))</f>
        <v>500</v>
      </c>
      <c r="J313" s="14">
        <f>_xlfn.MAXIFS(Transacciones!$U$5:$U$20,Transacciones!$T$5:$T$20,E313,Transacciones!$F$5:$F$20,"&lt;="&amp;A313)</f>
        <v>46282009</v>
      </c>
      <c r="K313" s="18">
        <f>IF(I313=0,0,INDEX(Transacciones!$Z$5:$Z$20,MATCH(J313,Transacciones!$U$5:$U$20,0)))</f>
        <v>9.6629249999999995</v>
      </c>
      <c r="L313" s="17">
        <f t="shared" si="21"/>
        <v>4831.4624999999996</v>
      </c>
      <c r="M313" s="15">
        <f>IF(F313="cetes",IF(COUNTIFS(CETES!$A$5:$A$95,A313,CETES!$B$5:$B$95,C313)=0,"",A313),SUMIFS(Precios!$K$5:$K$109,Precios!$I$5:$I$109,A313,Precios!$J$5:$J$109,C313))</f>
        <v>46305</v>
      </c>
      <c r="N313" s="18">
        <f>IF(F313="cetes",IF(COUNTIFS(CETES!$A$5:$A$95,A313,CETES!$B$5:$B$95,C313)=0,"",SUMIFS(CETES!$AF$5:$AF$95,CETES!$A$5:$A$95,A313,CETES!$B$5:$B$95,C313)),SUMIFS(Precios!$L$5:$L$109,Precios!$I$5:$I$109,A313,Precios!$J$5:$J$109,C313))</f>
        <v>9.7048766000000004</v>
      </c>
      <c r="O313" s="17">
        <f t="shared" si="22"/>
        <v>4852.4382999999998</v>
      </c>
      <c r="P313" s="17">
        <f t="shared" si="23"/>
        <v>20.975800000000163</v>
      </c>
      <c r="Q313" s="17">
        <f>IF(F313="cetes",IF(A313=G313,SUMIFS(Transacciones!$N$5:$N$20,Transacciones!$T$5:$T$20,E313,Transacciones!$F$5:$F$20,"&lt;"&amp;A313)*H313,0),0)</f>
        <v>0</v>
      </c>
      <c r="R313" s="11" t="str">
        <f>IF(COUNTIF(Entradas!$A$14:$A$17,A313)&gt;0,"sí","")</f>
        <v/>
      </c>
      <c r="S313" s="11" t="str">
        <f t="shared" si="24"/>
        <v>46305|Principal|BI270318|Casa B</v>
      </c>
    </row>
    <row r="314" spans="1:19" x14ac:dyDescent="0.3">
      <c r="A314" s="20">
        <v>46305</v>
      </c>
      <c r="B314" s="21" t="s">
        <v>103</v>
      </c>
      <c r="C314" s="21" t="s">
        <v>123</v>
      </c>
      <c r="D314" s="21" t="s">
        <v>112</v>
      </c>
      <c r="E314" s="11" t="str">
        <f t="shared" si="20"/>
        <v>Secundario|DEMOACC|Casa A</v>
      </c>
      <c r="F314" s="11" t="str">
        <f>INDEX(Entradas!$C$40:$C$46,MATCH(C314,Entradas!$A$40:$A$46,0))</f>
        <v>accion</v>
      </c>
      <c r="G314" s="15" t="str">
        <f>IF(F314="cetes",INDEX(Entradas!$F$40:$F$46,MATCH(C314,Entradas!$A$40:$A$46,0)),"")</f>
        <v/>
      </c>
      <c r="H314" s="17" t="str">
        <f>IF(F314="cetes",INDEX(Entradas!$G$40:$G$46,MATCH(C314,Entradas!$A$40:$A$46,0)),"")</f>
        <v/>
      </c>
      <c r="I314" s="14">
        <f>IF(F314="cetes",IF(A314&gt;=G314,0,SUMIFS(Transacciones!$N$5:$N$20,Transacciones!$T$5:$T$20,E314,Transacciones!$F$5:$F$20,"&lt;="&amp;A314)),SUMIFS(Transacciones!$N$5:$N$20,Transacciones!$T$5:$T$20,E314,Transacciones!$F$5:$F$20,"&lt;="&amp;A314))</f>
        <v>150</v>
      </c>
      <c r="J314" s="14">
        <f>_xlfn.MAXIFS(Transacciones!$U$5:$U$20,Transacciones!$T$5:$T$20,E314,Transacciones!$F$5:$F$20,"&lt;="&amp;A314)</f>
        <v>46279007</v>
      </c>
      <c r="K314" s="18">
        <f>IF(I314=0,0,INDEX(Transacciones!$Z$5:$Z$20,MATCH(J314,Transacciones!$U$5:$U$20,0)))</f>
        <v>103.90046666666666</v>
      </c>
      <c r="L314" s="17">
        <f t="shared" si="21"/>
        <v>15585.07</v>
      </c>
      <c r="M314" s="15">
        <f>IF(F314="cetes",IF(COUNTIFS(CETES!$A$5:$A$95,A314,CETES!$B$5:$B$95,C314)=0,"",A314),SUMIFS(Precios!$K$5:$K$109,Precios!$I$5:$I$109,A314,Precios!$J$5:$J$109,C314))</f>
        <v>46304</v>
      </c>
      <c r="N314" s="18">
        <f>IF(F314="cetes",IF(COUNTIFS(CETES!$A$5:$A$95,A314,CETES!$B$5:$B$95,C314)=0,"",SUMIFS(CETES!$AF$5:$AF$95,CETES!$A$5:$A$95,A314,CETES!$B$5:$B$95,C314)),SUMIFS(Precios!$L$5:$L$109,Precios!$I$5:$I$109,A314,Precios!$J$5:$J$109,C314))</f>
        <v>109.15</v>
      </c>
      <c r="O314" s="17">
        <f t="shared" si="22"/>
        <v>16372.5</v>
      </c>
      <c r="P314" s="17">
        <f t="shared" si="23"/>
        <v>787.43000000000029</v>
      </c>
      <c r="Q314" s="17">
        <f>IF(F314="cetes",IF(A314=G314,SUMIFS(Transacciones!$N$5:$N$20,Transacciones!$T$5:$T$20,E314,Transacciones!$F$5:$F$20,"&lt;"&amp;A314)*H314,0),0)</f>
        <v>0</v>
      </c>
      <c r="R314" s="11" t="str">
        <f>IF(COUNTIF(Entradas!$A$14:$A$17,A314)&gt;0,"sí","")</f>
        <v/>
      </c>
      <c r="S314" s="11" t="str">
        <f t="shared" si="24"/>
        <v>46305|Secundario|DEMOACC|Casa A</v>
      </c>
    </row>
    <row r="315" spans="1:19" x14ac:dyDescent="0.3">
      <c r="A315" s="20">
        <v>46306</v>
      </c>
      <c r="B315" s="21" t="s">
        <v>94</v>
      </c>
      <c r="C315" s="21" t="s">
        <v>123</v>
      </c>
      <c r="D315" s="21" t="s">
        <v>112</v>
      </c>
      <c r="E315" s="11" t="str">
        <f t="shared" si="20"/>
        <v>Principal|DEMOACC|Casa A</v>
      </c>
      <c r="F315" s="11" t="str">
        <f>INDEX(Entradas!$C$40:$C$46,MATCH(C315,Entradas!$A$40:$A$46,0))</f>
        <v>accion</v>
      </c>
      <c r="G315" s="15" t="str">
        <f>IF(F315="cetes",INDEX(Entradas!$F$40:$F$46,MATCH(C315,Entradas!$A$40:$A$46,0)),"")</f>
        <v/>
      </c>
      <c r="H315" s="17" t="str">
        <f>IF(F315="cetes",INDEX(Entradas!$G$40:$G$46,MATCH(C315,Entradas!$A$40:$A$46,0)),"")</f>
        <v/>
      </c>
      <c r="I315" s="14">
        <f>IF(F315="cetes",IF(A315&gt;=G315,0,SUMIFS(Transacciones!$N$5:$N$20,Transacciones!$T$5:$T$20,E315,Transacciones!$F$5:$F$20,"&lt;="&amp;A315)),SUMIFS(Transacciones!$N$5:$N$20,Transacciones!$T$5:$T$20,E315,Transacciones!$F$5:$F$20,"&lt;="&amp;A315))</f>
        <v>120</v>
      </c>
      <c r="J315" s="14">
        <f>_xlfn.MAXIFS(Transacciones!$U$5:$U$20,Transacciones!$T$5:$T$20,E315,Transacciones!$F$5:$F$20,"&lt;="&amp;A315)</f>
        <v>46297514</v>
      </c>
      <c r="K315" s="18">
        <f>IF(I315=0,0,INDEX(Transacciones!$Z$5:$Z$20,MATCH(J315,Transacciones!$U$5:$U$20,0)))</f>
        <v>100.23985</v>
      </c>
      <c r="L315" s="17">
        <f t="shared" si="21"/>
        <v>12028.782000000001</v>
      </c>
      <c r="M315" s="15">
        <f>IF(F315="cetes",IF(COUNTIFS(CETES!$A$5:$A$95,A315,CETES!$B$5:$B$95,C315)=0,"",A315),SUMIFS(Precios!$K$5:$K$109,Precios!$I$5:$I$109,A315,Precios!$J$5:$J$109,C315))</f>
        <v>46304</v>
      </c>
      <c r="N315" s="18">
        <f>IF(F315="cetes",IF(COUNTIFS(CETES!$A$5:$A$95,A315,CETES!$B$5:$B$95,C315)=0,"",SUMIFS(CETES!$AF$5:$AF$95,CETES!$A$5:$A$95,A315,CETES!$B$5:$B$95,C315)),SUMIFS(Precios!$L$5:$L$109,Precios!$I$5:$I$109,A315,Precios!$J$5:$J$109,C315))</f>
        <v>109.15</v>
      </c>
      <c r="O315" s="17">
        <f t="shared" si="22"/>
        <v>13098</v>
      </c>
      <c r="P315" s="17">
        <f t="shared" si="23"/>
        <v>1069.2179999999989</v>
      </c>
      <c r="Q315" s="17">
        <f>IF(F315="cetes",IF(A315=G315,SUMIFS(Transacciones!$N$5:$N$20,Transacciones!$T$5:$T$20,E315,Transacciones!$F$5:$F$20,"&lt;"&amp;A315)*H315,0),0)</f>
        <v>0</v>
      </c>
      <c r="R315" s="11" t="str">
        <f>IF(COUNTIF(Entradas!$A$14:$A$17,A315)&gt;0,"sí","")</f>
        <v/>
      </c>
      <c r="S315" s="11" t="str">
        <f t="shared" si="24"/>
        <v>46306|Principal|DEMOACC|Casa A</v>
      </c>
    </row>
    <row r="316" spans="1:19" x14ac:dyDescent="0.3">
      <c r="A316" s="20">
        <v>46306</v>
      </c>
      <c r="B316" s="21" t="s">
        <v>94</v>
      </c>
      <c r="C316" s="21" t="s">
        <v>123</v>
      </c>
      <c r="D316" s="21" t="s">
        <v>113</v>
      </c>
      <c r="E316" s="11" t="str">
        <f t="shared" si="20"/>
        <v>Principal|DEMOACC|Casa B</v>
      </c>
      <c r="F316" s="11" t="str">
        <f>INDEX(Entradas!$C$40:$C$46,MATCH(C316,Entradas!$A$40:$A$46,0))</f>
        <v>accion</v>
      </c>
      <c r="G316" s="15" t="str">
        <f>IF(F316="cetes",INDEX(Entradas!$F$40:$F$46,MATCH(C316,Entradas!$A$40:$A$46,0)),"")</f>
        <v/>
      </c>
      <c r="H316" s="17" t="str">
        <f>IF(F316="cetes",INDEX(Entradas!$G$40:$G$46,MATCH(C316,Entradas!$A$40:$A$46,0)),"")</f>
        <v/>
      </c>
      <c r="I316" s="14">
        <f>IF(F316="cetes",IF(A316&gt;=G316,0,SUMIFS(Transacciones!$N$5:$N$20,Transacciones!$T$5:$T$20,E316,Transacciones!$F$5:$F$20,"&lt;="&amp;A316)),SUMIFS(Transacciones!$N$5:$N$20,Transacciones!$T$5:$T$20,E316,Transacciones!$F$5:$F$20,"&lt;="&amp;A316))</f>
        <v>100</v>
      </c>
      <c r="J316" s="14">
        <f>_xlfn.MAXIFS(Transacciones!$U$5:$U$20,Transacciones!$T$5:$T$20,E316,Transacciones!$F$5:$F$20,"&lt;="&amp;A316)</f>
        <v>46279006</v>
      </c>
      <c r="K316" s="18">
        <f>IF(I316=0,0,INDEX(Transacciones!$Z$5:$Z$20,MATCH(J316,Transacciones!$U$5:$U$20,0)))</f>
        <v>103.399</v>
      </c>
      <c r="L316" s="17">
        <f t="shared" si="21"/>
        <v>10339.9</v>
      </c>
      <c r="M316" s="15">
        <f>IF(F316="cetes",IF(COUNTIFS(CETES!$A$5:$A$95,A316,CETES!$B$5:$B$95,C316)=0,"",A316),SUMIFS(Precios!$K$5:$K$109,Precios!$I$5:$I$109,A316,Precios!$J$5:$J$109,C316))</f>
        <v>46304</v>
      </c>
      <c r="N316" s="18">
        <f>IF(F316="cetes",IF(COUNTIFS(CETES!$A$5:$A$95,A316,CETES!$B$5:$B$95,C316)=0,"",SUMIFS(CETES!$AF$5:$AF$95,CETES!$A$5:$A$95,A316,CETES!$B$5:$B$95,C316)),SUMIFS(Precios!$L$5:$L$109,Precios!$I$5:$I$109,A316,Precios!$J$5:$J$109,C316))</f>
        <v>109.15</v>
      </c>
      <c r="O316" s="17">
        <f t="shared" si="22"/>
        <v>10915</v>
      </c>
      <c r="P316" s="17">
        <f t="shared" si="23"/>
        <v>575.10000000000036</v>
      </c>
      <c r="Q316" s="17">
        <f>IF(F316="cetes",IF(A316=G316,SUMIFS(Transacciones!$N$5:$N$20,Transacciones!$T$5:$T$20,E316,Transacciones!$F$5:$F$20,"&lt;"&amp;A316)*H316,0),0)</f>
        <v>0</v>
      </c>
      <c r="R316" s="11" t="str">
        <f>IF(COUNTIF(Entradas!$A$14:$A$17,A316)&gt;0,"sí","")</f>
        <v/>
      </c>
      <c r="S316" s="11" t="str">
        <f t="shared" si="24"/>
        <v>46306|Principal|DEMOACC|Casa B</v>
      </c>
    </row>
    <row r="317" spans="1:19" x14ac:dyDescent="0.3">
      <c r="A317" s="20">
        <v>46306</v>
      </c>
      <c r="B317" s="21" t="s">
        <v>94</v>
      </c>
      <c r="C317" s="21" t="s">
        <v>126</v>
      </c>
      <c r="D317" s="21" t="s">
        <v>113</v>
      </c>
      <c r="E317" s="11" t="str">
        <f t="shared" si="20"/>
        <v>Principal|DEMOETF|Casa B</v>
      </c>
      <c r="F317" s="11" t="str">
        <f>INDEX(Entradas!$C$40:$C$46,MATCH(C317,Entradas!$A$40:$A$46,0))</f>
        <v>etf</v>
      </c>
      <c r="G317" s="15" t="str">
        <f>IF(F317="cetes",INDEX(Entradas!$F$40:$F$46,MATCH(C317,Entradas!$A$40:$A$46,0)),"")</f>
        <v/>
      </c>
      <c r="H317" s="17" t="str">
        <f>IF(F317="cetes",INDEX(Entradas!$G$40:$G$46,MATCH(C317,Entradas!$A$40:$A$46,0)),"")</f>
        <v/>
      </c>
      <c r="I317" s="14">
        <f>IF(F317="cetes",IF(A317&gt;=G317,0,SUMIFS(Transacciones!$N$5:$N$20,Transacciones!$T$5:$T$20,E317,Transacciones!$F$5:$F$20,"&lt;="&amp;A317)),SUMIFS(Transacciones!$N$5:$N$20,Transacciones!$T$5:$T$20,E317,Transacciones!$F$5:$F$20,"&lt;="&amp;A317))</f>
        <v>40</v>
      </c>
      <c r="J317" s="14">
        <f>_xlfn.MAXIFS(Transacciones!$U$5:$U$20,Transacciones!$T$5:$T$20,E317,Transacciones!$F$5:$F$20,"&lt;="&amp;A317)</f>
        <v>46290512</v>
      </c>
      <c r="K317" s="18">
        <f>IF(I317=0,0,INDEX(Transacciones!$Z$5:$Z$20,MATCH(J317,Transacciones!$U$5:$U$20,0)))</f>
        <v>49.386499999999998</v>
      </c>
      <c r="L317" s="17">
        <f t="shared" si="21"/>
        <v>1975.46</v>
      </c>
      <c r="M317" s="15">
        <f>IF(F317="cetes",IF(COUNTIFS(CETES!$A$5:$A$95,A317,CETES!$B$5:$B$95,C317)=0,"",A317),SUMIFS(Precios!$K$5:$K$109,Precios!$I$5:$I$109,A317,Precios!$J$5:$J$109,C317))</f>
        <v>46304</v>
      </c>
      <c r="N317" s="18">
        <f>IF(F317="cetes",IF(COUNTIFS(CETES!$A$5:$A$95,A317,CETES!$B$5:$B$95,C317)=0,"",SUMIFS(CETES!$AF$5:$AF$95,CETES!$A$5:$A$95,A317,CETES!$B$5:$B$95,C317)),SUMIFS(Precios!$L$5:$L$109,Precios!$I$5:$I$109,A317,Precios!$J$5:$J$109,C317))</f>
        <v>52.31</v>
      </c>
      <c r="O317" s="17">
        <f t="shared" si="22"/>
        <v>2092.4</v>
      </c>
      <c r="P317" s="17">
        <f t="shared" si="23"/>
        <v>116.94000000000005</v>
      </c>
      <c r="Q317" s="17">
        <f>IF(F317="cetes",IF(A317=G317,SUMIFS(Transacciones!$N$5:$N$20,Transacciones!$T$5:$T$20,E317,Transacciones!$F$5:$F$20,"&lt;"&amp;A317)*H317,0),0)</f>
        <v>0</v>
      </c>
      <c r="R317" s="11" t="str">
        <f>IF(COUNTIF(Entradas!$A$14:$A$17,A317)&gt;0,"sí","")</f>
        <v/>
      </c>
      <c r="S317" s="11" t="str">
        <f t="shared" si="24"/>
        <v>46306|Principal|DEMOETF|Casa B</v>
      </c>
    </row>
    <row r="318" spans="1:19" x14ac:dyDescent="0.3">
      <c r="A318" s="20">
        <v>46306</v>
      </c>
      <c r="B318" s="21" t="s">
        <v>94</v>
      </c>
      <c r="C318" s="21" t="s">
        <v>129</v>
      </c>
      <c r="D318" s="21" t="s">
        <v>112</v>
      </c>
      <c r="E318" s="11" t="str">
        <f t="shared" si="20"/>
        <v>Principal|DEMOFIB|Casa A</v>
      </c>
      <c r="F318" s="11" t="str">
        <f>INDEX(Entradas!$C$40:$C$46,MATCH(C318,Entradas!$A$40:$A$46,0))</f>
        <v>fibra</v>
      </c>
      <c r="G318" s="15" t="str">
        <f>IF(F318="cetes",INDEX(Entradas!$F$40:$F$46,MATCH(C318,Entradas!$A$40:$A$46,0)),"")</f>
        <v/>
      </c>
      <c r="H318" s="17" t="str">
        <f>IF(F318="cetes",INDEX(Entradas!$G$40:$G$46,MATCH(C318,Entradas!$A$40:$A$46,0)),"")</f>
        <v/>
      </c>
      <c r="I318" s="14">
        <f>IF(F318="cetes",IF(A318&gt;=G318,0,SUMIFS(Transacciones!$N$5:$N$20,Transacciones!$T$5:$T$20,E318,Transacciones!$F$5:$F$20,"&lt;="&amp;A318)),SUMIFS(Transacciones!$N$5:$N$20,Transacciones!$T$5:$T$20,E318,Transacciones!$F$5:$F$20,"&lt;="&amp;A318))</f>
        <v>300</v>
      </c>
      <c r="J318" s="14">
        <f>_xlfn.MAXIFS(Transacciones!$U$5:$U$20,Transacciones!$T$5:$T$20,E318,Transacciones!$F$5:$F$20,"&lt;="&amp;A318)</f>
        <v>46300015</v>
      </c>
      <c r="K318" s="18">
        <f>IF(I318=0,0,INDEX(Transacciones!$Z$5:$Z$20,MATCH(J318,Transacciones!$U$5:$U$20,0)))</f>
        <v>24.4833</v>
      </c>
      <c r="L318" s="17">
        <f t="shared" si="21"/>
        <v>7344.99</v>
      </c>
      <c r="M318" s="15">
        <f>IF(F318="cetes",IF(COUNTIFS(CETES!$A$5:$A$95,A318,CETES!$B$5:$B$95,C318)=0,"",A318),SUMIFS(Precios!$K$5:$K$109,Precios!$I$5:$I$109,A318,Precios!$J$5:$J$109,C318))</f>
        <v>46304</v>
      </c>
      <c r="N318" s="18">
        <f>IF(F318="cetes",IF(COUNTIFS(CETES!$A$5:$A$95,A318,CETES!$B$5:$B$95,C318)=0,"",SUMIFS(CETES!$AF$5:$AF$95,CETES!$A$5:$A$95,A318,CETES!$B$5:$B$95,C318)),SUMIFS(Precios!$L$5:$L$109,Precios!$I$5:$I$109,A318,Precios!$J$5:$J$109,C318))</f>
        <v>25.24</v>
      </c>
      <c r="O318" s="17">
        <f t="shared" si="22"/>
        <v>7571.9999999999991</v>
      </c>
      <c r="P318" s="17">
        <f t="shared" si="23"/>
        <v>227.00999999999931</v>
      </c>
      <c r="Q318" s="17">
        <f>IF(F318="cetes",IF(A318=G318,SUMIFS(Transacciones!$N$5:$N$20,Transacciones!$T$5:$T$20,E318,Transacciones!$F$5:$F$20,"&lt;"&amp;A318)*H318,0),0)</f>
        <v>0</v>
      </c>
      <c r="R318" s="11" t="str">
        <f>IF(COUNTIF(Entradas!$A$14:$A$17,A318)&gt;0,"sí","")</f>
        <v/>
      </c>
      <c r="S318" s="11" t="str">
        <f t="shared" si="24"/>
        <v>46306|Principal|DEMOFIB|Casa A</v>
      </c>
    </row>
    <row r="319" spans="1:19" x14ac:dyDescent="0.3">
      <c r="A319" s="20">
        <v>46306</v>
      </c>
      <c r="B319" s="21" t="s">
        <v>94</v>
      </c>
      <c r="C319" s="21" t="s">
        <v>132</v>
      </c>
      <c r="D319" s="21" t="s">
        <v>112</v>
      </c>
      <c r="E319" s="11" t="str">
        <f t="shared" si="20"/>
        <v>Principal|BI261008|Casa A</v>
      </c>
      <c r="F319" s="11" t="str">
        <f>INDEX(Entradas!$C$40:$C$46,MATCH(C319,Entradas!$A$40:$A$46,0))</f>
        <v>cetes</v>
      </c>
      <c r="G319" s="15">
        <f>IF(F319="cetes",INDEX(Entradas!$F$40:$F$46,MATCH(C319,Entradas!$A$40:$A$46,0)),"")</f>
        <v>46303</v>
      </c>
      <c r="H319" s="17">
        <f>IF(F319="cetes",INDEX(Entradas!$G$40:$G$46,MATCH(C319,Entradas!$A$40:$A$46,0)),"")</f>
        <v>10</v>
      </c>
      <c r="I319" s="14">
        <f>IF(F319="cetes",IF(A319&gt;=G319,0,SUMIFS(Transacciones!$N$5:$N$20,Transacciones!$T$5:$T$20,E319,Transacciones!$F$5:$F$20,"&lt;="&amp;A319)),SUMIFS(Transacciones!$N$5:$N$20,Transacciones!$T$5:$T$20,E319,Transacciones!$F$5:$F$20,"&lt;="&amp;A319))</f>
        <v>0</v>
      </c>
      <c r="J319" s="14">
        <f>_xlfn.MAXIFS(Transacciones!$U$5:$U$20,Transacciones!$T$5:$T$20,E319,Transacciones!$F$5:$F$20,"&lt;="&amp;A319)</f>
        <v>46296513</v>
      </c>
      <c r="K319" s="18">
        <f>IF(I319=0,0,INDEX(Transacciones!$Z$5:$Z$20,MATCH(J319,Transacciones!$U$5:$U$20,0)))</f>
        <v>0</v>
      </c>
      <c r="L319" s="17">
        <f t="shared" si="21"/>
        <v>0</v>
      </c>
      <c r="M319" s="15" t="str">
        <f>IF(F319="cetes",IF(COUNTIFS(CETES!$A$5:$A$95,A319,CETES!$B$5:$B$95,C319)=0,"",A319),SUMIFS(Precios!$K$5:$K$109,Precios!$I$5:$I$109,A319,Precios!$J$5:$J$109,C319))</f>
        <v/>
      </c>
      <c r="N319" s="18" t="str">
        <f>IF(F319="cetes",IF(COUNTIFS(CETES!$A$5:$A$95,A319,CETES!$B$5:$B$95,C319)=0,"",SUMIFS(CETES!$AF$5:$AF$95,CETES!$A$5:$A$95,A319,CETES!$B$5:$B$95,C319)),SUMIFS(Precios!$L$5:$L$109,Precios!$I$5:$I$109,A319,Precios!$J$5:$J$109,C319))</f>
        <v/>
      </c>
      <c r="O319" s="17">
        <f t="shared" si="22"/>
        <v>0</v>
      </c>
      <c r="P319" s="17">
        <f t="shared" si="23"/>
        <v>0</v>
      </c>
      <c r="Q319" s="17">
        <f>IF(F319="cetes",IF(A319=G319,SUMIFS(Transacciones!$N$5:$N$20,Transacciones!$T$5:$T$20,E319,Transacciones!$F$5:$F$20,"&lt;"&amp;A319)*H319,0),0)</f>
        <v>0</v>
      </c>
      <c r="R319" s="11" t="str">
        <f>IF(COUNTIF(Entradas!$A$14:$A$17,A319)&gt;0,"sí","")</f>
        <v/>
      </c>
      <c r="S319" s="11" t="str">
        <f t="shared" si="24"/>
        <v>46306|Principal|BI261008|Casa A</v>
      </c>
    </row>
    <row r="320" spans="1:19" x14ac:dyDescent="0.3">
      <c r="A320" s="20">
        <v>46306</v>
      </c>
      <c r="B320" s="21" t="s">
        <v>94</v>
      </c>
      <c r="C320" s="21" t="s">
        <v>132</v>
      </c>
      <c r="D320" s="21" t="s">
        <v>113</v>
      </c>
      <c r="E320" s="11" t="str">
        <f t="shared" si="20"/>
        <v>Principal|BI261008|Casa B</v>
      </c>
      <c r="F320" s="11" t="str">
        <f>INDEX(Entradas!$C$40:$C$46,MATCH(C320,Entradas!$A$40:$A$46,0))</f>
        <v>cetes</v>
      </c>
      <c r="G320" s="15">
        <f>IF(F320="cetes",INDEX(Entradas!$F$40:$F$46,MATCH(C320,Entradas!$A$40:$A$46,0)),"")</f>
        <v>46303</v>
      </c>
      <c r="H320" s="17">
        <f>IF(F320="cetes",INDEX(Entradas!$G$40:$G$46,MATCH(C320,Entradas!$A$40:$A$46,0)),"")</f>
        <v>10</v>
      </c>
      <c r="I320" s="14">
        <f>IF(F320="cetes",IF(A320&gt;=G320,0,SUMIFS(Transacciones!$N$5:$N$20,Transacciones!$T$5:$T$20,E320,Transacciones!$F$5:$F$20,"&lt;="&amp;A320)),SUMIFS(Transacciones!$N$5:$N$20,Transacciones!$T$5:$T$20,E320,Transacciones!$F$5:$F$20,"&lt;="&amp;A320))</f>
        <v>0</v>
      </c>
      <c r="J320" s="14">
        <f>_xlfn.MAXIFS(Transacciones!$U$5:$U$20,Transacciones!$T$5:$T$20,E320,Transacciones!$F$5:$F$20,"&lt;="&amp;A320)</f>
        <v>46275004</v>
      </c>
      <c r="K320" s="18">
        <f>IF(I320=0,0,INDEX(Transacciones!$Z$5:$Z$20,MATCH(J320,Transacciones!$U$5:$U$20,0)))</f>
        <v>0</v>
      </c>
      <c r="L320" s="17">
        <f t="shared" si="21"/>
        <v>0</v>
      </c>
      <c r="M320" s="15" t="str">
        <f>IF(F320="cetes",IF(COUNTIFS(CETES!$A$5:$A$95,A320,CETES!$B$5:$B$95,C320)=0,"",A320),SUMIFS(Precios!$K$5:$K$109,Precios!$I$5:$I$109,A320,Precios!$J$5:$J$109,C320))</f>
        <v/>
      </c>
      <c r="N320" s="18" t="str">
        <f>IF(F320="cetes",IF(COUNTIFS(CETES!$A$5:$A$95,A320,CETES!$B$5:$B$95,C320)=0,"",SUMIFS(CETES!$AF$5:$AF$95,CETES!$A$5:$A$95,A320,CETES!$B$5:$B$95,C320)),SUMIFS(Precios!$L$5:$L$109,Precios!$I$5:$I$109,A320,Precios!$J$5:$J$109,C320))</f>
        <v/>
      </c>
      <c r="O320" s="17">
        <f t="shared" si="22"/>
        <v>0</v>
      </c>
      <c r="P320" s="17">
        <f t="shared" si="23"/>
        <v>0</v>
      </c>
      <c r="Q320" s="17">
        <f>IF(F320="cetes",IF(A320=G320,SUMIFS(Transacciones!$N$5:$N$20,Transacciones!$T$5:$T$20,E320,Transacciones!$F$5:$F$20,"&lt;"&amp;A320)*H320,0),0)</f>
        <v>0</v>
      </c>
      <c r="R320" s="11" t="str">
        <f>IF(COUNTIF(Entradas!$A$14:$A$17,A320)&gt;0,"sí","")</f>
        <v/>
      </c>
      <c r="S320" s="11" t="str">
        <f t="shared" si="24"/>
        <v>46306|Principal|BI261008|Casa B</v>
      </c>
    </row>
    <row r="321" spans="1:19" x14ac:dyDescent="0.3">
      <c r="A321" s="20">
        <v>46306</v>
      </c>
      <c r="B321" s="21" t="s">
        <v>94</v>
      </c>
      <c r="C321" s="21" t="s">
        <v>135</v>
      </c>
      <c r="D321" s="21" t="s">
        <v>113</v>
      </c>
      <c r="E321" s="11" t="str">
        <f t="shared" si="20"/>
        <v>Principal|BI261105|Casa B</v>
      </c>
      <c r="F321" s="11" t="str">
        <f>INDEX(Entradas!$C$40:$C$46,MATCH(C321,Entradas!$A$40:$A$46,0))</f>
        <v>cetes</v>
      </c>
      <c r="G321" s="15">
        <f>IF(F321="cetes",INDEX(Entradas!$F$40:$F$46,MATCH(C321,Entradas!$A$40:$A$46,0)),"")</f>
        <v>46331</v>
      </c>
      <c r="H321" s="17">
        <f>IF(F321="cetes",INDEX(Entradas!$G$40:$G$46,MATCH(C321,Entradas!$A$40:$A$46,0)),"")</f>
        <v>10</v>
      </c>
      <c r="I321" s="14">
        <f>IF(F321="cetes",IF(A321&gt;=G321,0,SUMIFS(Transacciones!$N$5:$N$20,Transacciones!$T$5:$T$20,E321,Transacciones!$F$5:$F$20,"&lt;="&amp;A321)),SUMIFS(Transacciones!$N$5:$N$20,Transacciones!$T$5:$T$20,E321,Transacciones!$F$5:$F$20,"&lt;="&amp;A321))</f>
        <v>1000</v>
      </c>
      <c r="J321" s="14">
        <f>_xlfn.MAXIFS(Transacciones!$U$5:$U$20,Transacciones!$T$5:$T$20,E321,Transacciones!$F$5:$F$20,"&lt;="&amp;A321)</f>
        <v>46303016</v>
      </c>
      <c r="K321" s="18">
        <f>IF(I321=0,0,INDEX(Transacciones!$Z$5:$Z$20,MATCH(J321,Transacciones!$U$5:$U$20,0)))</f>
        <v>9.9528566000000005</v>
      </c>
      <c r="L321" s="17">
        <f t="shared" si="21"/>
        <v>9952.856600000001</v>
      </c>
      <c r="M321" s="15">
        <f>IF(F321="cetes",IF(COUNTIFS(CETES!$A$5:$A$95,A321,CETES!$B$5:$B$95,C321)=0,"",A321),SUMIFS(Precios!$K$5:$K$109,Precios!$I$5:$I$109,A321,Precios!$J$5:$J$109,C321))</f>
        <v>46306</v>
      </c>
      <c r="N321" s="18">
        <f>IF(F321="cetes",IF(COUNTIFS(CETES!$A$5:$A$95,A321,CETES!$B$5:$B$95,C321)=0,"",SUMIFS(CETES!$AF$5:$AF$95,CETES!$A$5:$A$95,A321,CETES!$B$5:$B$95,C321)),SUMIFS(Precios!$L$5:$L$109,Precios!$I$5:$I$109,A321,Precios!$J$5:$J$109,C321))</f>
        <v>9.9578863999999996</v>
      </c>
      <c r="O321" s="17">
        <f t="shared" si="22"/>
        <v>9957.8863999999994</v>
      </c>
      <c r="P321" s="17">
        <f t="shared" si="23"/>
        <v>5.0297999999984313</v>
      </c>
      <c r="Q321" s="17">
        <f>IF(F321="cetes",IF(A321=G321,SUMIFS(Transacciones!$N$5:$N$20,Transacciones!$T$5:$T$20,E321,Transacciones!$F$5:$F$20,"&lt;"&amp;A321)*H321,0),0)</f>
        <v>0</v>
      </c>
      <c r="R321" s="11" t="str">
        <f>IF(COUNTIF(Entradas!$A$14:$A$17,A321)&gt;0,"sí","")</f>
        <v/>
      </c>
      <c r="S321" s="11" t="str">
        <f t="shared" si="24"/>
        <v>46306|Principal|BI261105|Casa B</v>
      </c>
    </row>
    <row r="322" spans="1:19" x14ac:dyDescent="0.3">
      <c r="A322" s="20">
        <v>46306</v>
      </c>
      <c r="B322" s="21" t="s">
        <v>94</v>
      </c>
      <c r="C322" s="21" t="s">
        <v>137</v>
      </c>
      <c r="D322" s="21" t="s">
        <v>112</v>
      </c>
      <c r="E322" s="11" t="str">
        <f t="shared" si="20"/>
        <v>Principal|BI261217|Casa A</v>
      </c>
      <c r="F322" s="11" t="str">
        <f>INDEX(Entradas!$C$40:$C$46,MATCH(C322,Entradas!$A$40:$A$46,0))</f>
        <v>cetes</v>
      </c>
      <c r="G322" s="15">
        <f>IF(F322="cetes",INDEX(Entradas!$F$40:$F$46,MATCH(C322,Entradas!$A$40:$A$46,0)),"")</f>
        <v>46373</v>
      </c>
      <c r="H322" s="17">
        <f>IF(F322="cetes",INDEX(Entradas!$G$40:$G$46,MATCH(C322,Entradas!$A$40:$A$46,0)),"")</f>
        <v>10</v>
      </c>
      <c r="I322" s="14">
        <f>IF(F322="cetes",IF(A322&gt;=G322,0,SUMIFS(Transacciones!$N$5:$N$20,Transacciones!$T$5:$T$20,E322,Transacciones!$F$5:$F$20,"&lt;="&amp;A322)),SUMIFS(Transacciones!$N$5:$N$20,Transacciones!$T$5:$T$20,E322,Transacciones!$F$5:$F$20,"&lt;="&amp;A322))</f>
        <v>1000</v>
      </c>
      <c r="J322" s="14">
        <f>_xlfn.MAXIFS(Transacciones!$U$5:$U$20,Transacciones!$T$5:$T$20,E322,Transacciones!$F$5:$F$20,"&lt;="&amp;A322)</f>
        <v>46282008</v>
      </c>
      <c r="K322" s="18">
        <f>IF(I322=0,0,INDEX(Transacciones!$Z$5:$Z$20,MATCH(J322,Transacciones!$U$5:$U$20,0)))</f>
        <v>9.8344372</v>
      </c>
      <c r="L322" s="17">
        <f t="shared" si="21"/>
        <v>9834.4372000000003</v>
      </c>
      <c r="M322" s="15">
        <f>IF(F322="cetes",IF(COUNTIFS(CETES!$A$5:$A$95,A322,CETES!$B$5:$B$95,C322)=0,"",A322),SUMIFS(Precios!$K$5:$K$109,Precios!$I$5:$I$109,A322,Precios!$J$5:$J$109,C322))</f>
        <v>46306</v>
      </c>
      <c r="N322" s="18">
        <f>IF(F322="cetes",IF(COUNTIFS(CETES!$A$5:$A$95,A322,CETES!$B$5:$B$95,C322)=0,"",SUMIFS(CETES!$AF$5:$AF$95,CETES!$A$5:$A$95,A322,CETES!$B$5:$B$95,C322)),SUMIFS(Precios!$L$5:$L$109,Precios!$I$5:$I$109,A322,Precios!$J$5:$J$109,C322))</f>
        <v>9.8801623000000003</v>
      </c>
      <c r="O322" s="17">
        <f t="shared" si="22"/>
        <v>9880.1623</v>
      </c>
      <c r="P322" s="17">
        <f t="shared" si="23"/>
        <v>45.725099999999657</v>
      </c>
      <c r="Q322" s="17">
        <f>IF(F322="cetes",IF(A322=G322,SUMIFS(Transacciones!$N$5:$N$20,Transacciones!$T$5:$T$20,E322,Transacciones!$F$5:$F$20,"&lt;"&amp;A322)*H322,0),0)</f>
        <v>0</v>
      </c>
      <c r="R322" s="11" t="str">
        <f>IF(COUNTIF(Entradas!$A$14:$A$17,A322)&gt;0,"sí","")</f>
        <v/>
      </c>
      <c r="S322" s="11" t="str">
        <f t="shared" si="24"/>
        <v>46306|Principal|BI261217|Casa A</v>
      </c>
    </row>
    <row r="323" spans="1:19" x14ac:dyDescent="0.3">
      <c r="A323" s="20">
        <v>46306</v>
      </c>
      <c r="B323" s="21" t="s">
        <v>94</v>
      </c>
      <c r="C323" s="21" t="s">
        <v>139</v>
      </c>
      <c r="D323" s="21" t="s">
        <v>113</v>
      </c>
      <c r="E323" s="11" t="str">
        <f t="shared" si="20"/>
        <v>Principal|BI270318|Casa B</v>
      </c>
      <c r="F323" s="11" t="str">
        <f>INDEX(Entradas!$C$40:$C$46,MATCH(C323,Entradas!$A$40:$A$46,0))</f>
        <v>cetes</v>
      </c>
      <c r="G323" s="15">
        <f>IF(F323="cetes",INDEX(Entradas!$F$40:$F$46,MATCH(C323,Entradas!$A$40:$A$46,0)),"")</f>
        <v>46464</v>
      </c>
      <c r="H323" s="17">
        <f>IF(F323="cetes",INDEX(Entradas!$G$40:$G$46,MATCH(C323,Entradas!$A$40:$A$46,0)),"")</f>
        <v>10</v>
      </c>
      <c r="I323" s="14">
        <f>IF(F323="cetes",IF(A323&gt;=G323,0,SUMIFS(Transacciones!$N$5:$N$20,Transacciones!$T$5:$T$20,E323,Transacciones!$F$5:$F$20,"&lt;="&amp;A323)),SUMIFS(Transacciones!$N$5:$N$20,Transacciones!$T$5:$T$20,E323,Transacciones!$F$5:$F$20,"&lt;="&amp;A323))</f>
        <v>500</v>
      </c>
      <c r="J323" s="14">
        <f>_xlfn.MAXIFS(Transacciones!$U$5:$U$20,Transacciones!$T$5:$T$20,E323,Transacciones!$F$5:$F$20,"&lt;="&amp;A323)</f>
        <v>46282009</v>
      </c>
      <c r="K323" s="18">
        <f>IF(I323=0,0,INDEX(Transacciones!$Z$5:$Z$20,MATCH(J323,Transacciones!$U$5:$U$20,0)))</f>
        <v>9.6629249999999995</v>
      </c>
      <c r="L323" s="17">
        <f t="shared" si="21"/>
        <v>4831.4624999999996</v>
      </c>
      <c r="M323" s="15">
        <f>IF(F323="cetes",IF(COUNTIFS(CETES!$A$5:$A$95,A323,CETES!$B$5:$B$95,C323)=0,"",A323),SUMIFS(Precios!$K$5:$K$109,Precios!$I$5:$I$109,A323,Precios!$J$5:$J$109,C323))</f>
        <v>46306</v>
      </c>
      <c r="N323" s="18">
        <f>IF(F323="cetes",IF(COUNTIFS(CETES!$A$5:$A$95,A323,CETES!$B$5:$B$95,C323)=0,"",SUMIFS(CETES!$AF$5:$AF$95,CETES!$A$5:$A$95,A323,CETES!$B$5:$B$95,C323)),SUMIFS(Precios!$L$5:$L$109,Precios!$I$5:$I$109,A323,Precios!$J$5:$J$109,C323))</f>
        <v>9.7067423000000002</v>
      </c>
      <c r="O323" s="17">
        <f t="shared" si="22"/>
        <v>4853.3711499999999</v>
      </c>
      <c r="P323" s="17">
        <f t="shared" si="23"/>
        <v>21.908650000000307</v>
      </c>
      <c r="Q323" s="17">
        <f>IF(F323="cetes",IF(A323=G323,SUMIFS(Transacciones!$N$5:$N$20,Transacciones!$T$5:$T$20,E323,Transacciones!$F$5:$F$20,"&lt;"&amp;A323)*H323,0),0)</f>
        <v>0</v>
      </c>
      <c r="R323" s="11" t="str">
        <f>IF(COUNTIF(Entradas!$A$14:$A$17,A323)&gt;0,"sí","")</f>
        <v/>
      </c>
      <c r="S323" s="11" t="str">
        <f t="shared" si="24"/>
        <v>46306|Principal|BI270318|Casa B</v>
      </c>
    </row>
    <row r="324" spans="1:19" x14ac:dyDescent="0.3">
      <c r="A324" s="20">
        <v>46306</v>
      </c>
      <c r="B324" s="21" t="s">
        <v>103</v>
      </c>
      <c r="C324" s="21" t="s">
        <v>123</v>
      </c>
      <c r="D324" s="21" t="s">
        <v>112</v>
      </c>
      <c r="E324" s="11" t="str">
        <f t="shared" si="20"/>
        <v>Secundario|DEMOACC|Casa A</v>
      </c>
      <c r="F324" s="11" t="str">
        <f>INDEX(Entradas!$C$40:$C$46,MATCH(C324,Entradas!$A$40:$A$46,0))</f>
        <v>accion</v>
      </c>
      <c r="G324" s="15" t="str">
        <f>IF(F324="cetes",INDEX(Entradas!$F$40:$F$46,MATCH(C324,Entradas!$A$40:$A$46,0)),"")</f>
        <v/>
      </c>
      <c r="H324" s="17" t="str">
        <f>IF(F324="cetes",INDEX(Entradas!$G$40:$G$46,MATCH(C324,Entradas!$A$40:$A$46,0)),"")</f>
        <v/>
      </c>
      <c r="I324" s="14">
        <f>IF(F324="cetes",IF(A324&gt;=G324,0,SUMIFS(Transacciones!$N$5:$N$20,Transacciones!$T$5:$T$20,E324,Transacciones!$F$5:$F$20,"&lt;="&amp;A324)),SUMIFS(Transacciones!$N$5:$N$20,Transacciones!$T$5:$T$20,E324,Transacciones!$F$5:$F$20,"&lt;="&amp;A324))</f>
        <v>150</v>
      </c>
      <c r="J324" s="14">
        <f>_xlfn.MAXIFS(Transacciones!$U$5:$U$20,Transacciones!$T$5:$T$20,E324,Transacciones!$F$5:$F$20,"&lt;="&amp;A324)</f>
        <v>46279007</v>
      </c>
      <c r="K324" s="18">
        <f>IF(I324=0,0,INDEX(Transacciones!$Z$5:$Z$20,MATCH(J324,Transacciones!$U$5:$U$20,0)))</f>
        <v>103.90046666666666</v>
      </c>
      <c r="L324" s="17">
        <f t="shared" si="21"/>
        <v>15585.07</v>
      </c>
      <c r="M324" s="15">
        <f>IF(F324="cetes",IF(COUNTIFS(CETES!$A$5:$A$95,A324,CETES!$B$5:$B$95,C324)=0,"",A324),SUMIFS(Precios!$K$5:$K$109,Precios!$I$5:$I$109,A324,Precios!$J$5:$J$109,C324))</f>
        <v>46304</v>
      </c>
      <c r="N324" s="18">
        <f>IF(F324="cetes",IF(COUNTIFS(CETES!$A$5:$A$95,A324,CETES!$B$5:$B$95,C324)=0,"",SUMIFS(CETES!$AF$5:$AF$95,CETES!$A$5:$A$95,A324,CETES!$B$5:$B$95,C324)),SUMIFS(Precios!$L$5:$L$109,Precios!$I$5:$I$109,A324,Precios!$J$5:$J$109,C324))</f>
        <v>109.15</v>
      </c>
      <c r="O324" s="17">
        <f t="shared" si="22"/>
        <v>16372.5</v>
      </c>
      <c r="P324" s="17">
        <f t="shared" si="23"/>
        <v>787.43000000000029</v>
      </c>
      <c r="Q324" s="17">
        <f>IF(F324="cetes",IF(A324=G324,SUMIFS(Transacciones!$N$5:$N$20,Transacciones!$T$5:$T$20,E324,Transacciones!$F$5:$F$20,"&lt;"&amp;A324)*H324,0),0)</f>
        <v>0</v>
      </c>
      <c r="R324" s="11" t="str">
        <f>IF(COUNTIF(Entradas!$A$14:$A$17,A324)&gt;0,"sí","")</f>
        <v/>
      </c>
      <c r="S324" s="11" t="str">
        <f t="shared" si="24"/>
        <v>46306|Secundario|DEMOACC|Casa A</v>
      </c>
    </row>
    <row r="325" spans="1:19" x14ac:dyDescent="0.3">
      <c r="A325" s="20">
        <v>46307</v>
      </c>
      <c r="B325" s="21" t="s">
        <v>94</v>
      </c>
      <c r="C325" s="21" t="s">
        <v>123</v>
      </c>
      <c r="D325" s="21" t="s">
        <v>112</v>
      </c>
      <c r="E325" s="11" t="str">
        <f t="shared" ref="E325:E354" si="25">B325&amp;"|"&amp;C325&amp;"|"&amp;D325</f>
        <v>Principal|DEMOACC|Casa A</v>
      </c>
      <c r="F325" s="11" t="str">
        <f>INDEX(Entradas!$C$40:$C$46,MATCH(C325,Entradas!$A$40:$A$46,0))</f>
        <v>accion</v>
      </c>
      <c r="G325" s="15" t="str">
        <f>IF(F325="cetes",INDEX(Entradas!$F$40:$F$46,MATCH(C325,Entradas!$A$40:$A$46,0)),"")</f>
        <v/>
      </c>
      <c r="H325" s="17" t="str">
        <f>IF(F325="cetes",INDEX(Entradas!$G$40:$G$46,MATCH(C325,Entradas!$A$40:$A$46,0)),"")</f>
        <v/>
      </c>
      <c r="I325" s="14">
        <f>IF(F325="cetes",IF(A325&gt;=G325,0,SUMIFS(Transacciones!$N$5:$N$20,Transacciones!$T$5:$T$20,E325,Transacciones!$F$5:$F$20,"&lt;="&amp;A325)),SUMIFS(Transacciones!$N$5:$N$20,Transacciones!$T$5:$T$20,E325,Transacciones!$F$5:$F$20,"&lt;="&amp;A325))</f>
        <v>120</v>
      </c>
      <c r="J325" s="14">
        <f>_xlfn.MAXIFS(Transacciones!$U$5:$U$20,Transacciones!$T$5:$T$20,E325,Transacciones!$F$5:$F$20,"&lt;="&amp;A325)</f>
        <v>46297514</v>
      </c>
      <c r="K325" s="18">
        <f>IF(I325=0,0,INDEX(Transacciones!$Z$5:$Z$20,MATCH(J325,Transacciones!$U$5:$U$20,0)))</f>
        <v>100.23985</v>
      </c>
      <c r="L325" s="17">
        <f t="shared" ref="L325:L354" si="26">I325*K325</f>
        <v>12028.782000000001</v>
      </c>
      <c r="M325" s="15">
        <f>IF(F325="cetes",IF(COUNTIFS(CETES!$A$5:$A$95,A325,CETES!$B$5:$B$95,C325)=0,"",A325),SUMIFS(Precios!$K$5:$K$109,Precios!$I$5:$I$109,A325,Precios!$J$5:$J$109,C325))</f>
        <v>46307</v>
      </c>
      <c r="N325" s="18">
        <f>IF(F325="cetes",IF(COUNTIFS(CETES!$A$5:$A$95,A325,CETES!$B$5:$B$95,C325)=0,"",SUMIFS(CETES!$AF$5:$AF$95,CETES!$A$5:$A$95,A325,CETES!$B$5:$B$95,C325)),SUMIFS(Precios!$L$5:$L$109,Precios!$I$5:$I$109,A325,Precios!$J$5:$J$109,C325))</f>
        <v>110.3</v>
      </c>
      <c r="O325" s="17">
        <f t="shared" ref="O325:O354" si="27">IF(I325=0,0,I325*N325)</f>
        <v>13236</v>
      </c>
      <c r="P325" s="17">
        <f t="shared" ref="P325:P354" si="28">O325-L325</f>
        <v>1207.2179999999989</v>
      </c>
      <c r="Q325" s="17">
        <f>IF(F325="cetes",IF(A325=G325,SUMIFS(Transacciones!$N$5:$N$20,Transacciones!$T$5:$T$20,E325,Transacciones!$F$5:$F$20,"&lt;"&amp;A325)*H325,0),0)</f>
        <v>0</v>
      </c>
      <c r="R325" s="11" t="str">
        <f>IF(COUNTIF(Entradas!$A$14:$A$17,A325)&gt;0,"sí","")</f>
        <v/>
      </c>
      <c r="S325" s="11" t="str">
        <f t="shared" ref="S325:S354" si="29">A325&amp;"|"&amp;E325</f>
        <v>46307|Principal|DEMOACC|Casa A</v>
      </c>
    </row>
    <row r="326" spans="1:19" x14ac:dyDescent="0.3">
      <c r="A326" s="20">
        <v>46307</v>
      </c>
      <c r="B326" s="21" t="s">
        <v>94</v>
      </c>
      <c r="C326" s="21" t="s">
        <v>123</v>
      </c>
      <c r="D326" s="21" t="s">
        <v>113</v>
      </c>
      <c r="E326" s="11" t="str">
        <f t="shared" si="25"/>
        <v>Principal|DEMOACC|Casa B</v>
      </c>
      <c r="F326" s="11" t="str">
        <f>INDEX(Entradas!$C$40:$C$46,MATCH(C326,Entradas!$A$40:$A$46,0))</f>
        <v>accion</v>
      </c>
      <c r="G326" s="15" t="str">
        <f>IF(F326="cetes",INDEX(Entradas!$F$40:$F$46,MATCH(C326,Entradas!$A$40:$A$46,0)),"")</f>
        <v/>
      </c>
      <c r="H326" s="17" t="str">
        <f>IF(F326="cetes",INDEX(Entradas!$G$40:$G$46,MATCH(C326,Entradas!$A$40:$A$46,0)),"")</f>
        <v/>
      </c>
      <c r="I326" s="14">
        <f>IF(F326="cetes",IF(A326&gt;=G326,0,SUMIFS(Transacciones!$N$5:$N$20,Transacciones!$T$5:$T$20,E326,Transacciones!$F$5:$F$20,"&lt;="&amp;A326)),SUMIFS(Transacciones!$N$5:$N$20,Transacciones!$T$5:$T$20,E326,Transacciones!$F$5:$F$20,"&lt;="&amp;A326))</f>
        <v>100</v>
      </c>
      <c r="J326" s="14">
        <f>_xlfn.MAXIFS(Transacciones!$U$5:$U$20,Transacciones!$T$5:$T$20,E326,Transacciones!$F$5:$F$20,"&lt;="&amp;A326)</f>
        <v>46279006</v>
      </c>
      <c r="K326" s="18">
        <f>IF(I326=0,0,INDEX(Transacciones!$Z$5:$Z$20,MATCH(J326,Transacciones!$U$5:$U$20,0)))</f>
        <v>103.399</v>
      </c>
      <c r="L326" s="17">
        <f t="shared" si="26"/>
        <v>10339.9</v>
      </c>
      <c r="M326" s="15">
        <f>IF(F326="cetes",IF(COUNTIFS(CETES!$A$5:$A$95,A326,CETES!$B$5:$B$95,C326)=0,"",A326),SUMIFS(Precios!$K$5:$K$109,Precios!$I$5:$I$109,A326,Precios!$J$5:$J$109,C326))</f>
        <v>46307</v>
      </c>
      <c r="N326" s="18">
        <f>IF(F326="cetes",IF(COUNTIFS(CETES!$A$5:$A$95,A326,CETES!$B$5:$B$95,C326)=0,"",SUMIFS(CETES!$AF$5:$AF$95,CETES!$A$5:$A$95,A326,CETES!$B$5:$B$95,C326)),SUMIFS(Precios!$L$5:$L$109,Precios!$I$5:$I$109,A326,Precios!$J$5:$J$109,C326))</f>
        <v>110.3</v>
      </c>
      <c r="O326" s="17">
        <f t="shared" si="27"/>
        <v>11030</v>
      </c>
      <c r="P326" s="17">
        <f t="shared" si="28"/>
        <v>690.10000000000036</v>
      </c>
      <c r="Q326" s="17">
        <f>IF(F326="cetes",IF(A326=G326,SUMIFS(Transacciones!$N$5:$N$20,Transacciones!$T$5:$T$20,E326,Transacciones!$F$5:$F$20,"&lt;"&amp;A326)*H326,0),0)</f>
        <v>0</v>
      </c>
      <c r="R326" s="11" t="str">
        <f>IF(COUNTIF(Entradas!$A$14:$A$17,A326)&gt;0,"sí","")</f>
        <v/>
      </c>
      <c r="S326" s="11" t="str">
        <f t="shared" si="29"/>
        <v>46307|Principal|DEMOACC|Casa B</v>
      </c>
    </row>
    <row r="327" spans="1:19" x14ac:dyDescent="0.3">
      <c r="A327" s="20">
        <v>46307</v>
      </c>
      <c r="B327" s="21" t="s">
        <v>94</v>
      </c>
      <c r="C327" s="21" t="s">
        <v>126</v>
      </c>
      <c r="D327" s="21" t="s">
        <v>113</v>
      </c>
      <c r="E327" s="11" t="str">
        <f t="shared" si="25"/>
        <v>Principal|DEMOETF|Casa B</v>
      </c>
      <c r="F327" s="11" t="str">
        <f>INDEX(Entradas!$C$40:$C$46,MATCH(C327,Entradas!$A$40:$A$46,0))</f>
        <v>etf</v>
      </c>
      <c r="G327" s="15" t="str">
        <f>IF(F327="cetes",INDEX(Entradas!$F$40:$F$46,MATCH(C327,Entradas!$A$40:$A$46,0)),"")</f>
        <v/>
      </c>
      <c r="H327" s="17" t="str">
        <f>IF(F327="cetes",INDEX(Entradas!$G$40:$G$46,MATCH(C327,Entradas!$A$40:$A$46,0)),"")</f>
        <v/>
      </c>
      <c r="I327" s="14">
        <f>IF(F327="cetes",IF(A327&gt;=G327,0,SUMIFS(Transacciones!$N$5:$N$20,Transacciones!$T$5:$T$20,E327,Transacciones!$F$5:$F$20,"&lt;="&amp;A327)),SUMIFS(Transacciones!$N$5:$N$20,Transacciones!$T$5:$T$20,E327,Transacciones!$F$5:$F$20,"&lt;="&amp;A327))</f>
        <v>40</v>
      </c>
      <c r="J327" s="14">
        <f>_xlfn.MAXIFS(Transacciones!$U$5:$U$20,Transacciones!$T$5:$T$20,E327,Transacciones!$F$5:$F$20,"&lt;="&amp;A327)</f>
        <v>46290512</v>
      </c>
      <c r="K327" s="18">
        <f>IF(I327=0,0,INDEX(Transacciones!$Z$5:$Z$20,MATCH(J327,Transacciones!$U$5:$U$20,0)))</f>
        <v>49.386499999999998</v>
      </c>
      <c r="L327" s="17">
        <f t="shared" si="26"/>
        <v>1975.46</v>
      </c>
      <c r="M327" s="15">
        <f>IF(F327="cetes",IF(COUNTIFS(CETES!$A$5:$A$95,A327,CETES!$B$5:$B$95,C327)=0,"",A327),SUMIFS(Precios!$K$5:$K$109,Precios!$I$5:$I$109,A327,Precios!$J$5:$J$109,C327))</f>
        <v>46307</v>
      </c>
      <c r="N327" s="18">
        <f>IF(F327="cetes",IF(COUNTIFS(CETES!$A$5:$A$95,A327,CETES!$B$5:$B$95,C327)=0,"",SUMIFS(CETES!$AF$5:$AF$95,CETES!$A$5:$A$95,A327,CETES!$B$5:$B$95,C327)),SUMIFS(Precios!$L$5:$L$109,Precios!$I$5:$I$109,A327,Precios!$J$5:$J$109,C327))</f>
        <v>52.68</v>
      </c>
      <c r="O327" s="17">
        <f t="shared" si="27"/>
        <v>2107.1999999999998</v>
      </c>
      <c r="P327" s="17">
        <f t="shared" si="28"/>
        <v>131.73999999999978</v>
      </c>
      <c r="Q327" s="17">
        <f>IF(F327="cetes",IF(A327=G327,SUMIFS(Transacciones!$N$5:$N$20,Transacciones!$T$5:$T$20,E327,Transacciones!$F$5:$F$20,"&lt;"&amp;A327)*H327,0),0)</f>
        <v>0</v>
      </c>
      <c r="R327" s="11" t="str">
        <f>IF(COUNTIF(Entradas!$A$14:$A$17,A327)&gt;0,"sí","")</f>
        <v/>
      </c>
      <c r="S327" s="11" t="str">
        <f t="shared" si="29"/>
        <v>46307|Principal|DEMOETF|Casa B</v>
      </c>
    </row>
    <row r="328" spans="1:19" x14ac:dyDescent="0.3">
      <c r="A328" s="20">
        <v>46307</v>
      </c>
      <c r="B328" s="21" t="s">
        <v>94</v>
      </c>
      <c r="C328" s="21" t="s">
        <v>129</v>
      </c>
      <c r="D328" s="21" t="s">
        <v>112</v>
      </c>
      <c r="E328" s="11" t="str">
        <f t="shared" si="25"/>
        <v>Principal|DEMOFIB|Casa A</v>
      </c>
      <c r="F328" s="11" t="str">
        <f>INDEX(Entradas!$C$40:$C$46,MATCH(C328,Entradas!$A$40:$A$46,0))</f>
        <v>fibra</v>
      </c>
      <c r="G328" s="15" t="str">
        <f>IF(F328="cetes",INDEX(Entradas!$F$40:$F$46,MATCH(C328,Entradas!$A$40:$A$46,0)),"")</f>
        <v/>
      </c>
      <c r="H328" s="17" t="str">
        <f>IF(F328="cetes",INDEX(Entradas!$G$40:$G$46,MATCH(C328,Entradas!$A$40:$A$46,0)),"")</f>
        <v/>
      </c>
      <c r="I328" s="14">
        <f>IF(F328="cetes",IF(A328&gt;=G328,0,SUMIFS(Transacciones!$N$5:$N$20,Transacciones!$T$5:$T$20,E328,Transacciones!$F$5:$F$20,"&lt;="&amp;A328)),SUMIFS(Transacciones!$N$5:$N$20,Transacciones!$T$5:$T$20,E328,Transacciones!$F$5:$F$20,"&lt;="&amp;A328))</f>
        <v>300</v>
      </c>
      <c r="J328" s="14">
        <f>_xlfn.MAXIFS(Transacciones!$U$5:$U$20,Transacciones!$T$5:$T$20,E328,Transacciones!$F$5:$F$20,"&lt;="&amp;A328)</f>
        <v>46300015</v>
      </c>
      <c r="K328" s="18">
        <f>IF(I328=0,0,INDEX(Transacciones!$Z$5:$Z$20,MATCH(J328,Transacciones!$U$5:$U$20,0)))</f>
        <v>24.4833</v>
      </c>
      <c r="L328" s="17">
        <f t="shared" si="26"/>
        <v>7344.99</v>
      </c>
      <c r="M328" s="15">
        <f>IF(F328="cetes",IF(COUNTIFS(CETES!$A$5:$A$95,A328,CETES!$B$5:$B$95,C328)=0,"",A328),SUMIFS(Precios!$K$5:$K$109,Precios!$I$5:$I$109,A328,Precios!$J$5:$J$109,C328))</f>
        <v>46307</v>
      </c>
      <c r="N328" s="18">
        <f>IF(F328="cetes",IF(COUNTIFS(CETES!$A$5:$A$95,A328,CETES!$B$5:$B$95,C328)=0,"",SUMIFS(CETES!$AF$5:$AF$95,CETES!$A$5:$A$95,A328,CETES!$B$5:$B$95,C328)),SUMIFS(Precios!$L$5:$L$109,Precios!$I$5:$I$109,A328,Precios!$J$5:$J$109,C328))</f>
        <v>25.465</v>
      </c>
      <c r="O328" s="17">
        <f t="shared" si="27"/>
        <v>7639.5</v>
      </c>
      <c r="P328" s="17">
        <f t="shared" si="28"/>
        <v>294.51000000000022</v>
      </c>
      <c r="Q328" s="17">
        <f>IF(F328="cetes",IF(A328=G328,SUMIFS(Transacciones!$N$5:$N$20,Transacciones!$T$5:$T$20,E328,Transacciones!$F$5:$F$20,"&lt;"&amp;A328)*H328,0),0)</f>
        <v>0</v>
      </c>
      <c r="R328" s="11" t="str">
        <f>IF(COUNTIF(Entradas!$A$14:$A$17,A328)&gt;0,"sí","")</f>
        <v/>
      </c>
      <c r="S328" s="11" t="str">
        <f t="shared" si="29"/>
        <v>46307|Principal|DEMOFIB|Casa A</v>
      </c>
    </row>
    <row r="329" spans="1:19" x14ac:dyDescent="0.3">
      <c r="A329" s="20">
        <v>46307</v>
      </c>
      <c r="B329" s="21" t="s">
        <v>94</v>
      </c>
      <c r="C329" s="21" t="s">
        <v>132</v>
      </c>
      <c r="D329" s="21" t="s">
        <v>112</v>
      </c>
      <c r="E329" s="11" t="str">
        <f t="shared" si="25"/>
        <v>Principal|BI261008|Casa A</v>
      </c>
      <c r="F329" s="11" t="str">
        <f>INDEX(Entradas!$C$40:$C$46,MATCH(C329,Entradas!$A$40:$A$46,0))</f>
        <v>cetes</v>
      </c>
      <c r="G329" s="15">
        <f>IF(F329="cetes",INDEX(Entradas!$F$40:$F$46,MATCH(C329,Entradas!$A$40:$A$46,0)),"")</f>
        <v>46303</v>
      </c>
      <c r="H329" s="17">
        <f>IF(F329="cetes",INDEX(Entradas!$G$40:$G$46,MATCH(C329,Entradas!$A$40:$A$46,0)),"")</f>
        <v>10</v>
      </c>
      <c r="I329" s="14">
        <f>IF(F329="cetes",IF(A329&gt;=G329,0,SUMIFS(Transacciones!$N$5:$N$20,Transacciones!$T$5:$T$20,E329,Transacciones!$F$5:$F$20,"&lt;="&amp;A329)),SUMIFS(Transacciones!$N$5:$N$20,Transacciones!$T$5:$T$20,E329,Transacciones!$F$5:$F$20,"&lt;="&amp;A329))</f>
        <v>0</v>
      </c>
      <c r="J329" s="14">
        <f>_xlfn.MAXIFS(Transacciones!$U$5:$U$20,Transacciones!$T$5:$T$20,E329,Transacciones!$F$5:$F$20,"&lt;="&amp;A329)</f>
        <v>46296513</v>
      </c>
      <c r="K329" s="18">
        <f>IF(I329=0,0,INDEX(Transacciones!$Z$5:$Z$20,MATCH(J329,Transacciones!$U$5:$U$20,0)))</f>
        <v>0</v>
      </c>
      <c r="L329" s="17">
        <f t="shared" si="26"/>
        <v>0</v>
      </c>
      <c r="M329" s="15" t="str">
        <f>IF(F329="cetes",IF(COUNTIFS(CETES!$A$5:$A$95,A329,CETES!$B$5:$B$95,C329)=0,"",A329),SUMIFS(Precios!$K$5:$K$109,Precios!$I$5:$I$109,A329,Precios!$J$5:$J$109,C329))</f>
        <v/>
      </c>
      <c r="N329" s="18" t="str">
        <f>IF(F329="cetes",IF(COUNTIFS(CETES!$A$5:$A$95,A329,CETES!$B$5:$B$95,C329)=0,"",SUMIFS(CETES!$AF$5:$AF$95,CETES!$A$5:$A$95,A329,CETES!$B$5:$B$95,C329)),SUMIFS(Precios!$L$5:$L$109,Precios!$I$5:$I$109,A329,Precios!$J$5:$J$109,C329))</f>
        <v/>
      </c>
      <c r="O329" s="17">
        <f t="shared" si="27"/>
        <v>0</v>
      </c>
      <c r="P329" s="17">
        <f t="shared" si="28"/>
        <v>0</v>
      </c>
      <c r="Q329" s="17">
        <f>IF(F329="cetes",IF(A329=G329,SUMIFS(Transacciones!$N$5:$N$20,Transacciones!$T$5:$T$20,E329,Transacciones!$F$5:$F$20,"&lt;"&amp;A329)*H329,0),0)</f>
        <v>0</v>
      </c>
      <c r="R329" s="11" t="str">
        <f>IF(COUNTIF(Entradas!$A$14:$A$17,A329)&gt;0,"sí","")</f>
        <v/>
      </c>
      <c r="S329" s="11" t="str">
        <f t="shared" si="29"/>
        <v>46307|Principal|BI261008|Casa A</v>
      </c>
    </row>
    <row r="330" spans="1:19" x14ac:dyDescent="0.3">
      <c r="A330" s="20">
        <v>46307</v>
      </c>
      <c r="B330" s="21" t="s">
        <v>94</v>
      </c>
      <c r="C330" s="21" t="s">
        <v>132</v>
      </c>
      <c r="D330" s="21" t="s">
        <v>113</v>
      </c>
      <c r="E330" s="11" t="str">
        <f t="shared" si="25"/>
        <v>Principal|BI261008|Casa B</v>
      </c>
      <c r="F330" s="11" t="str">
        <f>INDEX(Entradas!$C$40:$C$46,MATCH(C330,Entradas!$A$40:$A$46,0))</f>
        <v>cetes</v>
      </c>
      <c r="G330" s="15">
        <f>IF(F330="cetes",INDEX(Entradas!$F$40:$F$46,MATCH(C330,Entradas!$A$40:$A$46,0)),"")</f>
        <v>46303</v>
      </c>
      <c r="H330" s="17">
        <f>IF(F330="cetes",INDEX(Entradas!$G$40:$G$46,MATCH(C330,Entradas!$A$40:$A$46,0)),"")</f>
        <v>10</v>
      </c>
      <c r="I330" s="14">
        <f>IF(F330="cetes",IF(A330&gt;=G330,0,SUMIFS(Transacciones!$N$5:$N$20,Transacciones!$T$5:$T$20,E330,Transacciones!$F$5:$F$20,"&lt;="&amp;A330)),SUMIFS(Transacciones!$N$5:$N$20,Transacciones!$T$5:$T$20,E330,Transacciones!$F$5:$F$20,"&lt;="&amp;A330))</f>
        <v>0</v>
      </c>
      <c r="J330" s="14">
        <f>_xlfn.MAXIFS(Transacciones!$U$5:$U$20,Transacciones!$T$5:$T$20,E330,Transacciones!$F$5:$F$20,"&lt;="&amp;A330)</f>
        <v>46275004</v>
      </c>
      <c r="K330" s="18">
        <f>IF(I330=0,0,INDEX(Transacciones!$Z$5:$Z$20,MATCH(J330,Transacciones!$U$5:$U$20,0)))</f>
        <v>0</v>
      </c>
      <c r="L330" s="17">
        <f t="shared" si="26"/>
        <v>0</v>
      </c>
      <c r="M330" s="15" t="str">
        <f>IF(F330="cetes",IF(COUNTIFS(CETES!$A$5:$A$95,A330,CETES!$B$5:$B$95,C330)=0,"",A330),SUMIFS(Precios!$K$5:$K$109,Precios!$I$5:$I$109,A330,Precios!$J$5:$J$109,C330))</f>
        <v/>
      </c>
      <c r="N330" s="18" t="str">
        <f>IF(F330="cetes",IF(COUNTIFS(CETES!$A$5:$A$95,A330,CETES!$B$5:$B$95,C330)=0,"",SUMIFS(CETES!$AF$5:$AF$95,CETES!$A$5:$A$95,A330,CETES!$B$5:$B$95,C330)),SUMIFS(Precios!$L$5:$L$109,Precios!$I$5:$I$109,A330,Precios!$J$5:$J$109,C330))</f>
        <v/>
      </c>
      <c r="O330" s="17">
        <f t="shared" si="27"/>
        <v>0</v>
      </c>
      <c r="P330" s="17">
        <f t="shared" si="28"/>
        <v>0</v>
      </c>
      <c r="Q330" s="17">
        <f>IF(F330="cetes",IF(A330=G330,SUMIFS(Transacciones!$N$5:$N$20,Transacciones!$T$5:$T$20,E330,Transacciones!$F$5:$F$20,"&lt;"&amp;A330)*H330,0),0)</f>
        <v>0</v>
      </c>
      <c r="R330" s="11" t="str">
        <f>IF(COUNTIF(Entradas!$A$14:$A$17,A330)&gt;0,"sí","")</f>
        <v/>
      </c>
      <c r="S330" s="11" t="str">
        <f t="shared" si="29"/>
        <v>46307|Principal|BI261008|Casa B</v>
      </c>
    </row>
    <row r="331" spans="1:19" x14ac:dyDescent="0.3">
      <c r="A331" s="20">
        <v>46307</v>
      </c>
      <c r="B331" s="21" t="s">
        <v>94</v>
      </c>
      <c r="C331" s="21" t="s">
        <v>135</v>
      </c>
      <c r="D331" s="21" t="s">
        <v>113</v>
      </c>
      <c r="E331" s="11" t="str">
        <f t="shared" si="25"/>
        <v>Principal|BI261105|Casa B</v>
      </c>
      <c r="F331" s="11" t="str">
        <f>INDEX(Entradas!$C$40:$C$46,MATCH(C331,Entradas!$A$40:$A$46,0))</f>
        <v>cetes</v>
      </c>
      <c r="G331" s="15">
        <f>IF(F331="cetes",INDEX(Entradas!$F$40:$F$46,MATCH(C331,Entradas!$A$40:$A$46,0)),"")</f>
        <v>46331</v>
      </c>
      <c r="H331" s="17">
        <f>IF(F331="cetes",INDEX(Entradas!$G$40:$G$46,MATCH(C331,Entradas!$A$40:$A$46,0)),"")</f>
        <v>10</v>
      </c>
      <c r="I331" s="14">
        <f>IF(F331="cetes",IF(A331&gt;=G331,0,SUMIFS(Transacciones!$N$5:$N$20,Transacciones!$T$5:$T$20,E331,Transacciones!$F$5:$F$20,"&lt;="&amp;A331)),SUMIFS(Transacciones!$N$5:$N$20,Transacciones!$T$5:$T$20,E331,Transacciones!$F$5:$F$20,"&lt;="&amp;A331))</f>
        <v>1000</v>
      </c>
      <c r="J331" s="14">
        <f>_xlfn.MAXIFS(Transacciones!$U$5:$U$20,Transacciones!$T$5:$T$20,E331,Transacciones!$F$5:$F$20,"&lt;="&amp;A331)</f>
        <v>46303016</v>
      </c>
      <c r="K331" s="18">
        <f>IF(I331=0,0,INDEX(Transacciones!$Z$5:$Z$20,MATCH(J331,Transacciones!$U$5:$U$20,0)))</f>
        <v>9.9528566000000005</v>
      </c>
      <c r="L331" s="17">
        <f t="shared" si="26"/>
        <v>9952.856600000001</v>
      </c>
      <c r="M331" s="15">
        <f>IF(F331="cetes",IF(COUNTIFS(CETES!$A$5:$A$95,A331,CETES!$B$5:$B$95,C331)=0,"",A331),SUMIFS(Precios!$K$5:$K$109,Precios!$I$5:$I$109,A331,Precios!$J$5:$J$109,C331))</f>
        <v>46307</v>
      </c>
      <c r="N331" s="18">
        <f>IF(F331="cetes",IF(COUNTIFS(CETES!$A$5:$A$95,A331,CETES!$B$5:$B$95,C331)=0,"",SUMIFS(CETES!$AF$5:$AF$95,CETES!$A$5:$A$95,A331,CETES!$B$5:$B$95,C331)),SUMIFS(Precios!$L$5:$L$109,Precios!$I$5:$I$109,A331,Precios!$J$5:$J$109,C331))</f>
        <v>9.9595642000000009</v>
      </c>
      <c r="O331" s="17">
        <f t="shared" si="27"/>
        <v>9959.5642000000007</v>
      </c>
      <c r="P331" s="17">
        <f t="shared" si="28"/>
        <v>6.7075999999997293</v>
      </c>
      <c r="Q331" s="17">
        <f>IF(F331="cetes",IF(A331=G331,SUMIFS(Transacciones!$N$5:$N$20,Transacciones!$T$5:$T$20,E331,Transacciones!$F$5:$F$20,"&lt;"&amp;A331)*H331,0),0)</f>
        <v>0</v>
      </c>
      <c r="R331" s="11" t="str">
        <f>IF(COUNTIF(Entradas!$A$14:$A$17,A331)&gt;0,"sí","")</f>
        <v/>
      </c>
      <c r="S331" s="11" t="str">
        <f t="shared" si="29"/>
        <v>46307|Principal|BI261105|Casa B</v>
      </c>
    </row>
    <row r="332" spans="1:19" x14ac:dyDescent="0.3">
      <c r="A332" s="20">
        <v>46307</v>
      </c>
      <c r="B332" s="21" t="s">
        <v>94</v>
      </c>
      <c r="C332" s="21" t="s">
        <v>137</v>
      </c>
      <c r="D332" s="21" t="s">
        <v>112</v>
      </c>
      <c r="E332" s="11" t="str">
        <f t="shared" si="25"/>
        <v>Principal|BI261217|Casa A</v>
      </c>
      <c r="F332" s="11" t="str">
        <f>INDEX(Entradas!$C$40:$C$46,MATCH(C332,Entradas!$A$40:$A$46,0))</f>
        <v>cetes</v>
      </c>
      <c r="G332" s="15">
        <f>IF(F332="cetes",INDEX(Entradas!$F$40:$F$46,MATCH(C332,Entradas!$A$40:$A$46,0)),"")</f>
        <v>46373</v>
      </c>
      <c r="H332" s="17">
        <f>IF(F332="cetes",INDEX(Entradas!$G$40:$G$46,MATCH(C332,Entradas!$A$40:$A$46,0)),"")</f>
        <v>10</v>
      </c>
      <c r="I332" s="14">
        <f>IF(F332="cetes",IF(A332&gt;=G332,0,SUMIFS(Transacciones!$N$5:$N$20,Transacciones!$T$5:$T$20,E332,Transacciones!$F$5:$F$20,"&lt;="&amp;A332)),SUMIFS(Transacciones!$N$5:$N$20,Transacciones!$T$5:$T$20,E332,Transacciones!$F$5:$F$20,"&lt;="&amp;A332))</f>
        <v>1000</v>
      </c>
      <c r="J332" s="14">
        <f>_xlfn.MAXIFS(Transacciones!$U$5:$U$20,Transacciones!$T$5:$T$20,E332,Transacciones!$F$5:$F$20,"&lt;="&amp;A332)</f>
        <v>46282008</v>
      </c>
      <c r="K332" s="18">
        <f>IF(I332=0,0,INDEX(Transacciones!$Z$5:$Z$20,MATCH(J332,Transacciones!$U$5:$U$20,0)))</f>
        <v>9.8344372</v>
      </c>
      <c r="L332" s="17">
        <f t="shared" si="26"/>
        <v>9834.4372000000003</v>
      </c>
      <c r="M332" s="15">
        <f>IF(F332="cetes",IF(COUNTIFS(CETES!$A$5:$A$95,A332,CETES!$B$5:$B$95,C332)=0,"",A332),SUMIFS(Precios!$K$5:$K$109,Precios!$I$5:$I$109,A332,Precios!$J$5:$J$109,C332))</f>
        <v>46307</v>
      </c>
      <c r="N332" s="18">
        <f>IF(F332="cetes",IF(COUNTIFS(CETES!$A$5:$A$95,A332,CETES!$B$5:$B$95,C332)=0,"",SUMIFS(CETES!$AF$5:$AF$95,CETES!$A$5:$A$95,A332,CETES!$B$5:$B$95,C332)),SUMIFS(Precios!$L$5:$L$109,Precios!$I$5:$I$109,A332,Precios!$J$5:$J$109,C332))</f>
        <v>9.8821258000000007</v>
      </c>
      <c r="O332" s="17">
        <f t="shared" si="27"/>
        <v>9882.1258000000016</v>
      </c>
      <c r="P332" s="17">
        <f t="shared" si="28"/>
        <v>47.688600000001315</v>
      </c>
      <c r="Q332" s="17">
        <f>IF(F332="cetes",IF(A332=G332,SUMIFS(Transacciones!$N$5:$N$20,Transacciones!$T$5:$T$20,E332,Transacciones!$F$5:$F$20,"&lt;"&amp;A332)*H332,0),0)</f>
        <v>0</v>
      </c>
      <c r="R332" s="11" t="str">
        <f>IF(COUNTIF(Entradas!$A$14:$A$17,A332)&gt;0,"sí","")</f>
        <v/>
      </c>
      <c r="S332" s="11" t="str">
        <f t="shared" si="29"/>
        <v>46307|Principal|BI261217|Casa A</v>
      </c>
    </row>
    <row r="333" spans="1:19" x14ac:dyDescent="0.3">
      <c r="A333" s="20">
        <v>46307</v>
      </c>
      <c r="B333" s="21" t="s">
        <v>94</v>
      </c>
      <c r="C333" s="21" t="s">
        <v>139</v>
      </c>
      <c r="D333" s="21" t="s">
        <v>113</v>
      </c>
      <c r="E333" s="11" t="str">
        <f t="shared" si="25"/>
        <v>Principal|BI270318|Casa B</v>
      </c>
      <c r="F333" s="11" t="str">
        <f>INDEX(Entradas!$C$40:$C$46,MATCH(C333,Entradas!$A$40:$A$46,0))</f>
        <v>cetes</v>
      </c>
      <c r="G333" s="15">
        <f>IF(F333="cetes",INDEX(Entradas!$F$40:$F$46,MATCH(C333,Entradas!$A$40:$A$46,0)),"")</f>
        <v>46464</v>
      </c>
      <c r="H333" s="17">
        <f>IF(F333="cetes",INDEX(Entradas!$G$40:$G$46,MATCH(C333,Entradas!$A$40:$A$46,0)),"")</f>
        <v>10</v>
      </c>
      <c r="I333" s="14">
        <f>IF(F333="cetes",IF(A333&gt;=G333,0,SUMIFS(Transacciones!$N$5:$N$20,Transacciones!$T$5:$T$20,E333,Transacciones!$F$5:$F$20,"&lt;="&amp;A333)),SUMIFS(Transacciones!$N$5:$N$20,Transacciones!$T$5:$T$20,E333,Transacciones!$F$5:$F$20,"&lt;="&amp;A333))</f>
        <v>500</v>
      </c>
      <c r="J333" s="14">
        <f>_xlfn.MAXIFS(Transacciones!$U$5:$U$20,Transacciones!$T$5:$T$20,E333,Transacciones!$F$5:$F$20,"&lt;="&amp;A333)</f>
        <v>46282009</v>
      </c>
      <c r="K333" s="18">
        <f>IF(I333=0,0,INDEX(Transacciones!$Z$5:$Z$20,MATCH(J333,Transacciones!$U$5:$U$20,0)))</f>
        <v>9.6629249999999995</v>
      </c>
      <c r="L333" s="17">
        <f t="shared" si="26"/>
        <v>4831.4624999999996</v>
      </c>
      <c r="M333" s="15">
        <f>IF(F333="cetes",IF(COUNTIFS(CETES!$A$5:$A$95,A333,CETES!$B$5:$B$95,C333)=0,"",A333),SUMIFS(Precios!$K$5:$K$109,Precios!$I$5:$I$109,A333,Precios!$J$5:$J$109,C333))</f>
        <v>46307</v>
      </c>
      <c r="N333" s="18">
        <f>IF(F333="cetes",IF(COUNTIFS(CETES!$A$5:$A$95,A333,CETES!$B$5:$B$95,C333)=0,"",SUMIFS(CETES!$AF$5:$AF$95,CETES!$A$5:$A$95,A333,CETES!$B$5:$B$95,C333)),SUMIFS(Precios!$L$5:$L$109,Precios!$I$5:$I$109,A333,Precios!$J$5:$J$109,C333))</f>
        <v>9.7086079000000005</v>
      </c>
      <c r="O333" s="17">
        <f t="shared" si="27"/>
        <v>4854.3039500000004</v>
      </c>
      <c r="P333" s="17">
        <f t="shared" si="28"/>
        <v>22.841450000000805</v>
      </c>
      <c r="Q333" s="17">
        <f>IF(F333="cetes",IF(A333=G333,SUMIFS(Transacciones!$N$5:$N$20,Transacciones!$T$5:$T$20,E333,Transacciones!$F$5:$F$20,"&lt;"&amp;A333)*H333,0),0)</f>
        <v>0</v>
      </c>
      <c r="R333" s="11" t="str">
        <f>IF(COUNTIF(Entradas!$A$14:$A$17,A333)&gt;0,"sí","")</f>
        <v/>
      </c>
      <c r="S333" s="11" t="str">
        <f t="shared" si="29"/>
        <v>46307|Principal|BI270318|Casa B</v>
      </c>
    </row>
    <row r="334" spans="1:19" x14ac:dyDescent="0.3">
      <c r="A334" s="20">
        <v>46307</v>
      </c>
      <c r="B334" s="21" t="s">
        <v>103</v>
      </c>
      <c r="C334" s="21" t="s">
        <v>123</v>
      </c>
      <c r="D334" s="21" t="s">
        <v>112</v>
      </c>
      <c r="E334" s="11" t="str">
        <f t="shared" si="25"/>
        <v>Secundario|DEMOACC|Casa A</v>
      </c>
      <c r="F334" s="11" t="str">
        <f>INDEX(Entradas!$C$40:$C$46,MATCH(C334,Entradas!$A$40:$A$46,0))</f>
        <v>accion</v>
      </c>
      <c r="G334" s="15" t="str">
        <f>IF(F334="cetes",INDEX(Entradas!$F$40:$F$46,MATCH(C334,Entradas!$A$40:$A$46,0)),"")</f>
        <v/>
      </c>
      <c r="H334" s="17" t="str">
        <f>IF(F334="cetes",INDEX(Entradas!$G$40:$G$46,MATCH(C334,Entradas!$A$40:$A$46,0)),"")</f>
        <v/>
      </c>
      <c r="I334" s="14">
        <f>IF(F334="cetes",IF(A334&gt;=G334,0,SUMIFS(Transacciones!$N$5:$N$20,Transacciones!$T$5:$T$20,E334,Transacciones!$F$5:$F$20,"&lt;="&amp;A334)),SUMIFS(Transacciones!$N$5:$N$20,Transacciones!$T$5:$T$20,E334,Transacciones!$F$5:$F$20,"&lt;="&amp;A334))</f>
        <v>150</v>
      </c>
      <c r="J334" s="14">
        <f>_xlfn.MAXIFS(Transacciones!$U$5:$U$20,Transacciones!$T$5:$T$20,E334,Transacciones!$F$5:$F$20,"&lt;="&amp;A334)</f>
        <v>46279007</v>
      </c>
      <c r="K334" s="18">
        <f>IF(I334=0,0,INDEX(Transacciones!$Z$5:$Z$20,MATCH(J334,Transacciones!$U$5:$U$20,0)))</f>
        <v>103.90046666666666</v>
      </c>
      <c r="L334" s="17">
        <f t="shared" si="26"/>
        <v>15585.07</v>
      </c>
      <c r="M334" s="15">
        <f>IF(F334="cetes",IF(COUNTIFS(CETES!$A$5:$A$95,A334,CETES!$B$5:$B$95,C334)=0,"",A334),SUMIFS(Precios!$K$5:$K$109,Precios!$I$5:$I$109,A334,Precios!$J$5:$J$109,C334))</f>
        <v>46307</v>
      </c>
      <c r="N334" s="18">
        <f>IF(F334="cetes",IF(COUNTIFS(CETES!$A$5:$A$95,A334,CETES!$B$5:$B$95,C334)=0,"",SUMIFS(CETES!$AF$5:$AF$95,CETES!$A$5:$A$95,A334,CETES!$B$5:$B$95,C334)),SUMIFS(Precios!$L$5:$L$109,Precios!$I$5:$I$109,A334,Precios!$J$5:$J$109,C334))</f>
        <v>110.3</v>
      </c>
      <c r="O334" s="17">
        <f t="shared" si="27"/>
        <v>16545</v>
      </c>
      <c r="P334" s="17">
        <f t="shared" si="28"/>
        <v>959.93000000000029</v>
      </c>
      <c r="Q334" s="17">
        <f>IF(F334="cetes",IF(A334=G334,SUMIFS(Transacciones!$N$5:$N$20,Transacciones!$T$5:$T$20,E334,Transacciones!$F$5:$F$20,"&lt;"&amp;A334)*H334,0),0)</f>
        <v>0</v>
      </c>
      <c r="R334" s="11" t="str">
        <f>IF(COUNTIF(Entradas!$A$14:$A$17,A334)&gt;0,"sí","")</f>
        <v/>
      </c>
      <c r="S334" s="11" t="str">
        <f t="shared" si="29"/>
        <v>46307|Secundario|DEMOACC|Casa A</v>
      </c>
    </row>
    <row r="335" spans="1:19" x14ac:dyDescent="0.3">
      <c r="A335" s="20">
        <v>46308</v>
      </c>
      <c r="B335" s="21" t="s">
        <v>94</v>
      </c>
      <c r="C335" s="21" t="s">
        <v>123</v>
      </c>
      <c r="D335" s="21" t="s">
        <v>112</v>
      </c>
      <c r="E335" s="11" t="str">
        <f t="shared" si="25"/>
        <v>Principal|DEMOACC|Casa A</v>
      </c>
      <c r="F335" s="11" t="str">
        <f>INDEX(Entradas!$C$40:$C$46,MATCH(C335,Entradas!$A$40:$A$46,0))</f>
        <v>accion</v>
      </c>
      <c r="G335" s="15" t="str">
        <f>IF(F335="cetes",INDEX(Entradas!$F$40:$F$46,MATCH(C335,Entradas!$A$40:$A$46,0)),"")</f>
        <v/>
      </c>
      <c r="H335" s="17" t="str">
        <f>IF(F335="cetes",INDEX(Entradas!$G$40:$G$46,MATCH(C335,Entradas!$A$40:$A$46,0)),"")</f>
        <v/>
      </c>
      <c r="I335" s="14">
        <f>IF(F335="cetes",IF(A335&gt;=G335,0,SUMIFS(Transacciones!$N$5:$N$20,Transacciones!$T$5:$T$20,E335,Transacciones!$F$5:$F$20,"&lt;="&amp;A335)),SUMIFS(Transacciones!$N$5:$N$20,Transacciones!$T$5:$T$20,E335,Transacciones!$F$5:$F$20,"&lt;="&amp;A335))</f>
        <v>120</v>
      </c>
      <c r="J335" s="14">
        <f>_xlfn.MAXIFS(Transacciones!$U$5:$U$20,Transacciones!$T$5:$T$20,E335,Transacciones!$F$5:$F$20,"&lt;="&amp;A335)</f>
        <v>46297514</v>
      </c>
      <c r="K335" s="18">
        <f>IF(I335=0,0,INDEX(Transacciones!$Z$5:$Z$20,MATCH(J335,Transacciones!$U$5:$U$20,0)))</f>
        <v>100.23985</v>
      </c>
      <c r="L335" s="17">
        <f t="shared" si="26"/>
        <v>12028.782000000001</v>
      </c>
      <c r="M335" s="15">
        <f>IF(F335="cetes",IF(COUNTIFS(CETES!$A$5:$A$95,A335,CETES!$B$5:$B$95,C335)=0,"",A335),SUMIFS(Precios!$K$5:$K$109,Precios!$I$5:$I$109,A335,Precios!$J$5:$J$109,C335))</f>
        <v>46308</v>
      </c>
      <c r="N335" s="18">
        <f>IF(F335="cetes",IF(COUNTIFS(CETES!$A$5:$A$95,A335,CETES!$B$5:$B$95,C335)=0,"",SUMIFS(CETES!$AF$5:$AF$95,CETES!$A$5:$A$95,A335,CETES!$B$5:$B$95,C335)),SUMIFS(Precios!$L$5:$L$109,Precios!$I$5:$I$109,A335,Precios!$J$5:$J$109,C335))</f>
        <v>109.2</v>
      </c>
      <c r="O335" s="17">
        <f t="shared" si="27"/>
        <v>13104</v>
      </c>
      <c r="P335" s="17">
        <f t="shared" si="28"/>
        <v>1075.2179999999989</v>
      </c>
      <c r="Q335" s="17">
        <f>IF(F335="cetes",IF(A335=G335,SUMIFS(Transacciones!$N$5:$N$20,Transacciones!$T$5:$T$20,E335,Transacciones!$F$5:$F$20,"&lt;"&amp;A335)*H335,0),0)</f>
        <v>0</v>
      </c>
      <c r="R335" s="11" t="str">
        <f>IF(COUNTIF(Entradas!$A$14:$A$17,A335)&gt;0,"sí","")</f>
        <v/>
      </c>
      <c r="S335" s="11" t="str">
        <f t="shared" si="29"/>
        <v>46308|Principal|DEMOACC|Casa A</v>
      </c>
    </row>
    <row r="336" spans="1:19" x14ac:dyDescent="0.3">
      <c r="A336" s="20">
        <v>46308</v>
      </c>
      <c r="B336" s="21" t="s">
        <v>94</v>
      </c>
      <c r="C336" s="21" t="s">
        <v>123</v>
      </c>
      <c r="D336" s="21" t="s">
        <v>113</v>
      </c>
      <c r="E336" s="11" t="str">
        <f t="shared" si="25"/>
        <v>Principal|DEMOACC|Casa B</v>
      </c>
      <c r="F336" s="11" t="str">
        <f>INDEX(Entradas!$C$40:$C$46,MATCH(C336,Entradas!$A$40:$A$46,0))</f>
        <v>accion</v>
      </c>
      <c r="G336" s="15" t="str">
        <f>IF(F336="cetes",INDEX(Entradas!$F$40:$F$46,MATCH(C336,Entradas!$A$40:$A$46,0)),"")</f>
        <v/>
      </c>
      <c r="H336" s="17" t="str">
        <f>IF(F336="cetes",INDEX(Entradas!$G$40:$G$46,MATCH(C336,Entradas!$A$40:$A$46,0)),"")</f>
        <v/>
      </c>
      <c r="I336" s="14">
        <f>IF(F336="cetes",IF(A336&gt;=G336,0,SUMIFS(Transacciones!$N$5:$N$20,Transacciones!$T$5:$T$20,E336,Transacciones!$F$5:$F$20,"&lt;="&amp;A336)),SUMIFS(Transacciones!$N$5:$N$20,Transacciones!$T$5:$T$20,E336,Transacciones!$F$5:$F$20,"&lt;="&amp;A336))</f>
        <v>100</v>
      </c>
      <c r="J336" s="14">
        <f>_xlfn.MAXIFS(Transacciones!$U$5:$U$20,Transacciones!$T$5:$T$20,E336,Transacciones!$F$5:$F$20,"&lt;="&amp;A336)</f>
        <v>46279006</v>
      </c>
      <c r="K336" s="18">
        <f>IF(I336=0,0,INDEX(Transacciones!$Z$5:$Z$20,MATCH(J336,Transacciones!$U$5:$U$20,0)))</f>
        <v>103.399</v>
      </c>
      <c r="L336" s="17">
        <f t="shared" si="26"/>
        <v>10339.9</v>
      </c>
      <c r="M336" s="15">
        <f>IF(F336="cetes",IF(COUNTIFS(CETES!$A$5:$A$95,A336,CETES!$B$5:$B$95,C336)=0,"",A336),SUMIFS(Precios!$K$5:$K$109,Precios!$I$5:$I$109,A336,Precios!$J$5:$J$109,C336))</f>
        <v>46308</v>
      </c>
      <c r="N336" s="18">
        <f>IF(F336="cetes",IF(COUNTIFS(CETES!$A$5:$A$95,A336,CETES!$B$5:$B$95,C336)=0,"",SUMIFS(CETES!$AF$5:$AF$95,CETES!$A$5:$A$95,A336,CETES!$B$5:$B$95,C336)),SUMIFS(Precios!$L$5:$L$109,Precios!$I$5:$I$109,A336,Precios!$J$5:$J$109,C336))</f>
        <v>109.2</v>
      </c>
      <c r="O336" s="17">
        <f t="shared" si="27"/>
        <v>10920</v>
      </c>
      <c r="P336" s="17">
        <f t="shared" si="28"/>
        <v>580.10000000000036</v>
      </c>
      <c r="Q336" s="17">
        <f>IF(F336="cetes",IF(A336=G336,SUMIFS(Transacciones!$N$5:$N$20,Transacciones!$T$5:$T$20,E336,Transacciones!$F$5:$F$20,"&lt;"&amp;A336)*H336,0),0)</f>
        <v>0</v>
      </c>
      <c r="R336" s="11" t="str">
        <f>IF(COUNTIF(Entradas!$A$14:$A$17,A336)&gt;0,"sí","")</f>
        <v/>
      </c>
      <c r="S336" s="11" t="str">
        <f t="shared" si="29"/>
        <v>46308|Principal|DEMOACC|Casa B</v>
      </c>
    </row>
    <row r="337" spans="1:19" x14ac:dyDescent="0.3">
      <c r="A337" s="20">
        <v>46308</v>
      </c>
      <c r="B337" s="21" t="s">
        <v>94</v>
      </c>
      <c r="C337" s="21" t="s">
        <v>126</v>
      </c>
      <c r="D337" s="21" t="s">
        <v>113</v>
      </c>
      <c r="E337" s="11" t="str">
        <f t="shared" si="25"/>
        <v>Principal|DEMOETF|Casa B</v>
      </c>
      <c r="F337" s="11" t="str">
        <f>INDEX(Entradas!$C$40:$C$46,MATCH(C337,Entradas!$A$40:$A$46,0))</f>
        <v>etf</v>
      </c>
      <c r="G337" s="15" t="str">
        <f>IF(F337="cetes",INDEX(Entradas!$F$40:$F$46,MATCH(C337,Entradas!$A$40:$A$46,0)),"")</f>
        <v/>
      </c>
      <c r="H337" s="17" t="str">
        <f>IF(F337="cetes",INDEX(Entradas!$G$40:$G$46,MATCH(C337,Entradas!$A$40:$A$46,0)),"")</f>
        <v/>
      </c>
      <c r="I337" s="14">
        <f>IF(F337="cetes",IF(A337&gt;=G337,0,SUMIFS(Transacciones!$N$5:$N$20,Transacciones!$T$5:$T$20,E337,Transacciones!$F$5:$F$20,"&lt;="&amp;A337)),SUMIFS(Transacciones!$N$5:$N$20,Transacciones!$T$5:$T$20,E337,Transacciones!$F$5:$F$20,"&lt;="&amp;A337))</f>
        <v>40</v>
      </c>
      <c r="J337" s="14">
        <f>_xlfn.MAXIFS(Transacciones!$U$5:$U$20,Transacciones!$T$5:$T$20,E337,Transacciones!$F$5:$F$20,"&lt;="&amp;A337)</f>
        <v>46290512</v>
      </c>
      <c r="K337" s="18">
        <f>IF(I337=0,0,INDEX(Transacciones!$Z$5:$Z$20,MATCH(J337,Transacciones!$U$5:$U$20,0)))</f>
        <v>49.386499999999998</v>
      </c>
      <c r="L337" s="17">
        <f t="shared" si="26"/>
        <v>1975.46</v>
      </c>
      <c r="M337" s="15">
        <f>IF(F337="cetes",IF(COUNTIFS(CETES!$A$5:$A$95,A337,CETES!$B$5:$B$95,C337)=0,"",A337),SUMIFS(Precios!$K$5:$K$109,Precios!$I$5:$I$109,A337,Precios!$J$5:$J$109,C337))</f>
        <v>46308</v>
      </c>
      <c r="N337" s="18">
        <f>IF(F337="cetes",IF(COUNTIFS(CETES!$A$5:$A$95,A337,CETES!$B$5:$B$95,C337)=0,"",SUMIFS(CETES!$AF$5:$AF$95,CETES!$A$5:$A$95,A337,CETES!$B$5:$B$95,C337)),SUMIFS(Precios!$L$5:$L$109,Precios!$I$5:$I$109,A337,Precios!$J$5:$J$109,C337))</f>
        <v>52.29</v>
      </c>
      <c r="O337" s="17">
        <f t="shared" si="27"/>
        <v>2091.6</v>
      </c>
      <c r="P337" s="17">
        <f t="shared" si="28"/>
        <v>116.13999999999987</v>
      </c>
      <c r="Q337" s="17">
        <f>IF(F337="cetes",IF(A337=G337,SUMIFS(Transacciones!$N$5:$N$20,Transacciones!$T$5:$T$20,E337,Transacciones!$F$5:$F$20,"&lt;"&amp;A337)*H337,0),0)</f>
        <v>0</v>
      </c>
      <c r="R337" s="11" t="str">
        <f>IF(COUNTIF(Entradas!$A$14:$A$17,A337)&gt;0,"sí","")</f>
        <v/>
      </c>
      <c r="S337" s="11" t="str">
        <f t="shared" si="29"/>
        <v>46308|Principal|DEMOETF|Casa B</v>
      </c>
    </row>
    <row r="338" spans="1:19" x14ac:dyDescent="0.3">
      <c r="A338" s="20">
        <v>46308</v>
      </c>
      <c r="B338" s="21" t="s">
        <v>94</v>
      </c>
      <c r="C338" s="21" t="s">
        <v>129</v>
      </c>
      <c r="D338" s="21" t="s">
        <v>112</v>
      </c>
      <c r="E338" s="11" t="str">
        <f t="shared" si="25"/>
        <v>Principal|DEMOFIB|Casa A</v>
      </c>
      <c r="F338" s="11" t="str">
        <f>INDEX(Entradas!$C$40:$C$46,MATCH(C338,Entradas!$A$40:$A$46,0))</f>
        <v>fibra</v>
      </c>
      <c r="G338" s="15" t="str">
        <f>IF(F338="cetes",INDEX(Entradas!$F$40:$F$46,MATCH(C338,Entradas!$A$40:$A$46,0)),"")</f>
        <v/>
      </c>
      <c r="H338" s="17" t="str">
        <f>IF(F338="cetes",INDEX(Entradas!$G$40:$G$46,MATCH(C338,Entradas!$A$40:$A$46,0)),"")</f>
        <v/>
      </c>
      <c r="I338" s="14">
        <f>IF(F338="cetes",IF(A338&gt;=G338,0,SUMIFS(Transacciones!$N$5:$N$20,Transacciones!$T$5:$T$20,E338,Transacciones!$F$5:$F$20,"&lt;="&amp;A338)),SUMIFS(Transacciones!$N$5:$N$20,Transacciones!$T$5:$T$20,E338,Transacciones!$F$5:$F$20,"&lt;="&amp;A338))</f>
        <v>300</v>
      </c>
      <c r="J338" s="14">
        <f>_xlfn.MAXIFS(Transacciones!$U$5:$U$20,Transacciones!$T$5:$T$20,E338,Transacciones!$F$5:$F$20,"&lt;="&amp;A338)</f>
        <v>46300015</v>
      </c>
      <c r="K338" s="18">
        <f>IF(I338=0,0,INDEX(Transacciones!$Z$5:$Z$20,MATCH(J338,Transacciones!$U$5:$U$20,0)))</f>
        <v>24.4833</v>
      </c>
      <c r="L338" s="17">
        <f t="shared" si="26"/>
        <v>7344.99</v>
      </c>
      <c r="M338" s="15">
        <f>IF(F338="cetes",IF(COUNTIFS(CETES!$A$5:$A$95,A338,CETES!$B$5:$B$95,C338)=0,"",A338),SUMIFS(Precios!$K$5:$K$109,Precios!$I$5:$I$109,A338,Precios!$J$5:$J$109,C338))</f>
        <v>46308</v>
      </c>
      <c r="N338" s="18">
        <f>IF(F338="cetes",IF(COUNTIFS(CETES!$A$5:$A$95,A338,CETES!$B$5:$B$95,C338)=0,"",SUMIFS(CETES!$AF$5:$AF$95,CETES!$A$5:$A$95,A338,CETES!$B$5:$B$95,C338)),SUMIFS(Precios!$L$5:$L$109,Precios!$I$5:$I$109,A338,Precios!$J$5:$J$109,C338))</f>
        <v>25.31</v>
      </c>
      <c r="O338" s="17">
        <f t="shared" si="27"/>
        <v>7593</v>
      </c>
      <c r="P338" s="17">
        <f t="shared" si="28"/>
        <v>248.01000000000022</v>
      </c>
      <c r="Q338" s="17">
        <f>IF(F338="cetes",IF(A338=G338,SUMIFS(Transacciones!$N$5:$N$20,Transacciones!$T$5:$T$20,E338,Transacciones!$F$5:$F$20,"&lt;"&amp;A338)*H338,0),0)</f>
        <v>0</v>
      </c>
      <c r="R338" s="11" t="str">
        <f>IF(COUNTIF(Entradas!$A$14:$A$17,A338)&gt;0,"sí","")</f>
        <v/>
      </c>
      <c r="S338" s="11" t="str">
        <f t="shared" si="29"/>
        <v>46308|Principal|DEMOFIB|Casa A</v>
      </c>
    </row>
    <row r="339" spans="1:19" x14ac:dyDescent="0.3">
      <c r="A339" s="20">
        <v>46308</v>
      </c>
      <c r="B339" s="21" t="s">
        <v>94</v>
      </c>
      <c r="C339" s="21" t="s">
        <v>132</v>
      </c>
      <c r="D339" s="21" t="s">
        <v>112</v>
      </c>
      <c r="E339" s="11" t="str">
        <f t="shared" si="25"/>
        <v>Principal|BI261008|Casa A</v>
      </c>
      <c r="F339" s="11" t="str">
        <f>INDEX(Entradas!$C$40:$C$46,MATCH(C339,Entradas!$A$40:$A$46,0))</f>
        <v>cetes</v>
      </c>
      <c r="G339" s="15">
        <f>IF(F339="cetes",INDEX(Entradas!$F$40:$F$46,MATCH(C339,Entradas!$A$40:$A$46,0)),"")</f>
        <v>46303</v>
      </c>
      <c r="H339" s="17">
        <f>IF(F339="cetes",INDEX(Entradas!$G$40:$G$46,MATCH(C339,Entradas!$A$40:$A$46,0)),"")</f>
        <v>10</v>
      </c>
      <c r="I339" s="14">
        <f>IF(F339="cetes",IF(A339&gt;=G339,0,SUMIFS(Transacciones!$N$5:$N$20,Transacciones!$T$5:$T$20,E339,Transacciones!$F$5:$F$20,"&lt;="&amp;A339)),SUMIFS(Transacciones!$N$5:$N$20,Transacciones!$T$5:$T$20,E339,Transacciones!$F$5:$F$20,"&lt;="&amp;A339))</f>
        <v>0</v>
      </c>
      <c r="J339" s="14">
        <f>_xlfn.MAXIFS(Transacciones!$U$5:$U$20,Transacciones!$T$5:$T$20,E339,Transacciones!$F$5:$F$20,"&lt;="&amp;A339)</f>
        <v>46296513</v>
      </c>
      <c r="K339" s="18">
        <f>IF(I339=0,0,INDEX(Transacciones!$Z$5:$Z$20,MATCH(J339,Transacciones!$U$5:$U$20,0)))</f>
        <v>0</v>
      </c>
      <c r="L339" s="17">
        <f t="shared" si="26"/>
        <v>0</v>
      </c>
      <c r="M339" s="15" t="str">
        <f>IF(F339="cetes",IF(COUNTIFS(CETES!$A$5:$A$95,A339,CETES!$B$5:$B$95,C339)=0,"",A339),SUMIFS(Precios!$K$5:$K$109,Precios!$I$5:$I$109,A339,Precios!$J$5:$J$109,C339))</f>
        <v/>
      </c>
      <c r="N339" s="18" t="str">
        <f>IF(F339="cetes",IF(COUNTIFS(CETES!$A$5:$A$95,A339,CETES!$B$5:$B$95,C339)=0,"",SUMIFS(CETES!$AF$5:$AF$95,CETES!$A$5:$A$95,A339,CETES!$B$5:$B$95,C339)),SUMIFS(Precios!$L$5:$L$109,Precios!$I$5:$I$109,A339,Precios!$J$5:$J$109,C339))</f>
        <v/>
      </c>
      <c r="O339" s="17">
        <f t="shared" si="27"/>
        <v>0</v>
      </c>
      <c r="P339" s="17">
        <f t="shared" si="28"/>
        <v>0</v>
      </c>
      <c r="Q339" s="17">
        <f>IF(F339="cetes",IF(A339=G339,SUMIFS(Transacciones!$N$5:$N$20,Transacciones!$T$5:$T$20,E339,Transacciones!$F$5:$F$20,"&lt;"&amp;A339)*H339,0),0)</f>
        <v>0</v>
      </c>
      <c r="R339" s="11" t="str">
        <f>IF(COUNTIF(Entradas!$A$14:$A$17,A339)&gt;0,"sí","")</f>
        <v/>
      </c>
      <c r="S339" s="11" t="str">
        <f t="shared" si="29"/>
        <v>46308|Principal|BI261008|Casa A</v>
      </c>
    </row>
    <row r="340" spans="1:19" x14ac:dyDescent="0.3">
      <c r="A340" s="20">
        <v>46308</v>
      </c>
      <c r="B340" s="21" t="s">
        <v>94</v>
      </c>
      <c r="C340" s="21" t="s">
        <v>132</v>
      </c>
      <c r="D340" s="21" t="s">
        <v>113</v>
      </c>
      <c r="E340" s="11" t="str">
        <f t="shared" si="25"/>
        <v>Principal|BI261008|Casa B</v>
      </c>
      <c r="F340" s="11" t="str">
        <f>INDEX(Entradas!$C$40:$C$46,MATCH(C340,Entradas!$A$40:$A$46,0))</f>
        <v>cetes</v>
      </c>
      <c r="G340" s="15">
        <f>IF(F340="cetes",INDEX(Entradas!$F$40:$F$46,MATCH(C340,Entradas!$A$40:$A$46,0)),"")</f>
        <v>46303</v>
      </c>
      <c r="H340" s="17">
        <f>IF(F340="cetes",INDEX(Entradas!$G$40:$G$46,MATCH(C340,Entradas!$A$40:$A$46,0)),"")</f>
        <v>10</v>
      </c>
      <c r="I340" s="14">
        <f>IF(F340="cetes",IF(A340&gt;=G340,0,SUMIFS(Transacciones!$N$5:$N$20,Transacciones!$T$5:$T$20,E340,Transacciones!$F$5:$F$20,"&lt;="&amp;A340)),SUMIFS(Transacciones!$N$5:$N$20,Transacciones!$T$5:$T$20,E340,Transacciones!$F$5:$F$20,"&lt;="&amp;A340))</f>
        <v>0</v>
      </c>
      <c r="J340" s="14">
        <f>_xlfn.MAXIFS(Transacciones!$U$5:$U$20,Transacciones!$T$5:$T$20,E340,Transacciones!$F$5:$F$20,"&lt;="&amp;A340)</f>
        <v>46275004</v>
      </c>
      <c r="K340" s="18">
        <f>IF(I340=0,0,INDEX(Transacciones!$Z$5:$Z$20,MATCH(J340,Transacciones!$U$5:$U$20,0)))</f>
        <v>0</v>
      </c>
      <c r="L340" s="17">
        <f t="shared" si="26"/>
        <v>0</v>
      </c>
      <c r="M340" s="15" t="str">
        <f>IF(F340="cetes",IF(COUNTIFS(CETES!$A$5:$A$95,A340,CETES!$B$5:$B$95,C340)=0,"",A340),SUMIFS(Precios!$K$5:$K$109,Precios!$I$5:$I$109,A340,Precios!$J$5:$J$109,C340))</f>
        <v/>
      </c>
      <c r="N340" s="18" t="str">
        <f>IF(F340="cetes",IF(COUNTIFS(CETES!$A$5:$A$95,A340,CETES!$B$5:$B$95,C340)=0,"",SUMIFS(CETES!$AF$5:$AF$95,CETES!$A$5:$A$95,A340,CETES!$B$5:$B$95,C340)),SUMIFS(Precios!$L$5:$L$109,Precios!$I$5:$I$109,A340,Precios!$J$5:$J$109,C340))</f>
        <v/>
      </c>
      <c r="O340" s="17">
        <f t="shared" si="27"/>
        <v>0</v>
      </c>
      <c r="P340" s="17">
        <f t="shared" si="28"/>
        <v>0</v>
      </c>
      <c r="Q340" s="17">
        <f>IF(F340="cetes",IF(A340=G340,SUMIFS(Transacciones!$N$5:$N$20,Transacciones!$T$5:$T$20,E340,Transacciones!$F$5:$F$20,"&lt;"&amp;A340)*H340,0),0)</f>
        <v>0</v>
      </c>
      <c r="R340" s="11" t="str">
        <f>IF(COUNTIF(Entradas!$A$14:$A$17,A340)&gt;0,"sí","")</f>
        <v/>
      </c>
      <c r="S340" s="11" t="str">
        <f t="shared" si="29"/>
        <v>46308|Principal|BI261008|Casa B</v>
      </c>
    </row>
    <row r="341" spans="1:19" x14ac:dyDescent="0.3">
      <c r="A341" s="20">
        <v>46308</v>
      </c>
      <c r="B341" s="21" t="s">
        <v>94</v>
      </c>
      <c r="C341" s="21" t="s">
        <v>135</v>
      </c>
      <c r="D341" s="21" t="s">
        <v>113</v>
      </c>
      <c r="E341" s="11" t="str">
        <f t="shared" si="25"/>
        <v>Principal|BI261105|Casa B</v>
      </c>
      <c r="F341" s="11" t="str">
        <f>INDEX(Entradas!$C$40:$C$46,MATCH(C341,Entradas!$A$40:$A$46,0))</f>
        <v>cetes</v>
      </c>
      <c r="G341" s="15">
        <f>IF(F341="cetes",INDEX(Entradas!$F$40:$F$46,MATCH(C341,Entradas!$A$40:$A$46,0)),"")</f>
        <v>46331</v>
      </c>
      <c r="H341" s="17">
        <f>IF(F341="cetes",INDEX(Entradas!$G$40:$G$46,MATCH(C341,Entradas!$A$40:$A$46,0)),"")</f>
        <v>10</v>
      </c>
      <c r="I341" s="14">
        <f>IF(F341="cetes",IF(A341&gt;=G341,0,SUMIFS(Transacciones!$N$5:$N$20,Transacciones!$T$5:$T$20,E341,Transacciones!$F$5:$F$20,"&lt;="&amp;A341)),SUMIFS(Transacciones!$N$5:$N$20,Transacciones!$T$5:$T$20,E341,Transacciones!$F$5:$F$20,"&lt;="&amp;A341))</f>
        <v>1000</v>
      </c>
      <c r="J341" s="14">
        <f>_xlfn.MAXIFS(Transacciones!$U$5:$U$20,Transacciones!$T$5:$T$20,E341,Transacciones!$F$5:$F$20,"&lt;="&amp;A341)</f>
        <v>46303016</v>
      </c>
      <c r="K341" s="18">
        <f>IF(I341=0,0,INDEX(Transacciones!$Z$5:$Z$20,MATCH(J341,Transacciones!$U$5:$U$20,0)))</f>
        <v>9.9528566000000005</v>
      </c>
      <c r="L341" s="17">
        <f t="shared" si="26"/>
        <v>9952.856600000001</v>
      </c>
      <c r="M341" s="15">
        <f>IF(F341="cetes",IF(COUNTIFS(CETES!$A$5:$A$95,A341,CETES!$B$5:$B$95,C341)=0,"",A341),SUMIFS(Precios!$K$5:$K$109,Precios!$I$5:$I$109,A341,Precios!$J$5:$J$109,C341))</f>
        <v>46308</v>
      </c>
      <c r="N341" s="18">
        <f>IF(F341="cetes",IF(COUNTIFS(CETES!$A$5:$A$95,A341,CETES!$B$5:$B$95,C341)=0,"",SUMIFS(CETES!$AF$5:$AF$95,CETES!$A$5:$A$95,A341,CETES!$B$5:$B$95,C341)),SUMIFS(Precios!$L$5:$L$109,Precios!$I$5:$I$109,A341,Precios!$J$5:$J$109,C341))</f>
        <v>9.9612425000000009</v>
      </c>
      <c r="O341" s="17">
        <f t="shared" si="27"/>
        <v>9961.2425000000003</v>
      </c>
      <c r="P341" s="17">
        <f t="shared" si="28"/>
        <v>8.3858999999993102</v>
      </c>
      <c r="Q341" s="17">
        <f>IF(F341="cetes",IF(A341=G341,SUMIFS(Transacciones!$N$5:$N$20,Transacciones!$T$5:$T$20,E341,Transacciones!$F$5:$F$20,"&lt;"&amp;A341)*H341,0),0)</f>
        <v>0</v>
      </c>
      <c r="R341" s="11" t="str">
        <f>IF(COUNTIF(Entradas!$A$14:$A$17,A341)&gt;0,"sí","")</f>
        <v/>
      </c>
      <c r="S341" s="11" t="str">
        <f t="shared" si="29"/>
        <v>46308|Principal|BI261105|Casa B</v>
      </c>
    </row>
    <row r="342" spans="1:19" x14ac:dyDescent="0.3">
      <c r="A342" s="20">
        <v>46308</v>
      </c>
      <c r="B342" s="21" t="s">
        <v>94</v>
      </c>
      <c r="C342" s="21" t="s">
        <v>137</v>
      </c>
      <c r="D342" s="21" t="s">
        <v>112</v>
      </c>
      <c r="E342" s="11" t="str">
        <f t="shared" si="25"/>
        <v>Principal|BI261217|Casa A</v>
      </c>
      <c r="F342" s="11" t="str">
        <f>INDEX(Entradas!$C$40:$C$46,MATCH(C342,Entradas!$A$40:$A$46,0))</f>
        <v>cetes</v>
      </c>
      <c r="G342" s="15">
        <f>IF(F342="cetes",INDEX(Entradas!$F$40:$F$46,MATCH(C342,Entradas!$A$40:$A$46,0)),"")</f>
        <v>46373</v>
      </c>
      <c r="H342" s="17">
        <f>IF(F342="cetes",INDEX(Entradas!$G$40:$G$46,MATCH(C342,Entradas!$A$40:$A$46,0)),"")</f>
        <v>10</v>
      </c>
      <c r="I342" s="14">
        <f>IF(F342="cetes",IF(A342&gt;=G342,0,SUMIFS(Transacciones!$N$5:$N$20,Transacciones!$T$5:$T$20,E342,Transacciones!$F$5:$F$20,"&lt;="&amp;A342)),SUMIFS(Transacciones!$N$5:$N$20,Transacciones!$T$5:$T$20,E342,Transacciones!$F$5:$F$20,"&lt;="&amp;A342))</f>
        <v>1000</v>
      </c>
      <c r="J342" s="14">
        <f>_xlfn.MAXIFS(Transacciones!$U$5:$U$20,Transacciones!$T$5:$T$20,E342,Transacciones!$F$5:$F$20,"&lt;="&amp;A342)</f>
        <v>46282008</v>
      </c>
      <c r="K342" s="18">
        <f>IF(I342=0,0,INDEX(Transacciones!$Z$5:$Z$20,MATCH(J342,Transacciones!$U$5:$U$20,0)))</f>
        <v>9.8344372</v>
      </c>
      <c r="L342" s="17">
        <f t="shared" si="26"/>
        <v>9834.4372000000003</v>
      </c>
      <c r="M342" s="15">
        <f>IF(F342="cetes",IF(COUNTIFS(CETES!$A$5:$A$95,A342,CETES!$B$5:$B$95,C342)=0,"",A342),SUMIFS(Precios!$K$5:$K$109,Precios!$I$5:$I$109,A342,Precios!$J$5:$J$109,C342))</f>
        <v>46308</v>
      </c>
      <c r="N342" s="18">
        <f>IF(F342="cetes",IF(COUNTIFS(CETES!$A$5:$A$95,A342,CETES!$B$5:$B$95,C342)=0,"",SUMIFS(CETES!$AF$5:$AF$95,CETES!$A$5:$A$95,A342,CETES!$B$5:$B$95,C342)),SUMIFS(Precios!$L$5:$L$109,Precios!$I$5:$I$109,A342,Precios!$J$5:$J$109,C342))</f>
        <v>9.8840842999999996</v>
      </c>
      <c r="O342" s="17">
        <f t="shared" si="27"/>
        <v>9884.0843000000004</v>
      </c>
      <c r="P342" s="17">
        <f t="shared" si="28"/>
        <v>49.647100000000137</v>
      </c>
      <c r="Q342" s="17">
        <f>IF(F342="cetes",IF(A342=G342,SUMIFS(Transacciones!$N$5:$N$20,Transacciones!$T$5:$T$20,E342,Transacciones!$F$5:$F$20,"&lt;"&amp;A342)*H342,0),0)</f>
        <v>0</v>
      </c>
      <c r="R342" s="11" t="str">
        <f>IF(COUNTIF(Entradas!$A$14:$A$17,A342)&gt;0,"sí","")</f>
        <v/>
      </c>
      <c r="S342" s="11" t="str">
        <f t="shared" si="29"/>
        <v>46308|Principal|BI261217|Casa A</v>
      </c>
    </row>
    <row r="343" spans="1:19" x14ac:dyDescent="0.3">
      <c r="A343" s="20">
        <v>46308</v>
      </c>
      <c r="B343" s="21" t="s">
        <v>94</v>
      </c>
      <c r="C343" s="21" t="s">
        <v>139</v>
      </c>
      <c r="D343" s="21" t="s">
        <v>113</v>
      </c>
      <c r="E343" s="11" t="str">
        <f t="shared" si="25"/>
        <v>Principal|BI270318|Casa B</v>
      </c>
      <c r="F343" s="11" t="str">
        <f>INDEX(Entradas!$C$40:$C$46,MATCH(C343,Entradas!$A$40:$A$46,0))</f>
        <v>cetes</v>
      </c>
      <c r="G343" s="15">
        <f>IF(F343="cetes",INDEX(Entradas!$F$40:$F$46,MATCH(C343,Entradas!$A$40:$A$46,0)),"")</f>
        <v>46464</v>
      </c>
      <c r="H343" s="17">
        <f>IF(F343="cetes",INDEX(Entradas!$G$40:$G$46,MATCH(C343,Entradas!$A$40:$A$46,0)),"")</f>
        <v>10</v>
      </c>
      <c r="I343" s="14">
        <f>IF(F343="cetes",IF(A343&gt;=G343,0,SUMIFS(Transacciones!$N$5:$N$20,Transacciones!$T$5:$T$20,E343,Transacciones!$F$5:$F$20,"&lt;="&amp;A343)),SUMIFS(Transacciones!$N$5:$N$20,Transacciones!$T$5:$T$20,E343,Transacciones!$F$5:$F$20,"&lt;="&amp;A343))</f>
        <v>500</v>
      </c>
      <c r="J343" s="14">
        <f>_xlfn.MAXIFS(Transacciones!$U$5:$U$20,Transacciones!$T$5:$T$20,E343,Transacciones!$F$5:$F$20,"&lt;="&amp;A343)</f>
        <v>46282009</v>
      </c>
      <c r="K343" s="18">
        <f>IF(I343=0,0,INDEX(Transacciones!$Z$5:$Z$20,MATCH(J343,Transacciones!$U$5:$U$20,0)))</f>
        <v>9.6629249999999995</v>
      </c>
      <c r="L343" s="17">
        <f t="shared" si="26"/>
        <v>4831.4624999999996</v>
      </c>
      <c r="M343" s="15">
        <f>IF(F343="cetes",IF(COUNTIFS(CETES!$A$5:$A$95,A343,CETES!$B$5:$B$95,C343)=0,"",A343),SUMIFS(Precios!$K$5:$K$109,Precios!$I$5:$I$109,A343,Precios!$J$5:$J$109,C343))</f>
        <v>46308</v>
      </c>
      <c r="N343" s="18">
        <f>IF(F343="cetes",IF(COUNTIFS(CETES!$A$5:$A$95,A343,CETES!$B$5:$B$95,C343)=0,"",SUMIFS(CETES!$AF$5:$AF$95,CETES!$A$5:$A$95,A343,CETES!$B$5:$B$95,C343)),SUMIFS(Precios!$L$5:$L$109,Precios!$I$5:$I$109,A343,Precios!$J$5:$J$109,C343))</f>
        <v>9.7104733999999997</v>
      </c>
      <c r="O343" s="17">
        <f t="shared" si="27"/>
        <v>4855.2366999999995</v>
      </c>
      <c r="P343" s="17">
        <f t="shared" si="28"/>
        <v>23.774199999999837</v>
      </c>
      <c r="Q343" s="17">
        <f>IF(F343="cetes",IF(A343=G343,SUMIFS(Transacciones!$N$5:$N$20,Transacciones!$T$5:$T$20,E343,Transacciones!$F$5:$F$20,"&lt;"&amp;A343)*H343,0),0)</f>
        <v>0</v>
      </c>
      <c r="R343" s="11" t="str">
        <f>IF(COUNTIF(Entradas!$A$14:$A$17,A343)&gt;0,"sí","")</f>
        <v/>
      </c>
      <c r="S343" s="11" t="str">
        <f t="shared" si="29"/>
        <v>46308|Principal|BI270318|Casa B</v>
      </c>
    </row>
    <row r="344" spans="1:19" x14ac:dyDescent="0.3">
      <c r="A344" s="20">
        <v>46308</v>
      </c>
      <c r="B344" s="21" t="s">
        <v>103</v>
      </c>
      <c r="C344" s="21" t="s">
        <v>123</v>
      </c>
      <c r="D344" s="21" t="s">
        <v>112</v>
      </c>
      <c r="E344" s="11" t="str">
        <f t="shared" si="25"/>
        <v>Secundario|DEMOACC|Casa A</v>
      </c>
      <c r="F344" s="11" t="str">
        <f>INDEX(Entradas!$C$40:$C$46,MATCH(C344,Entradas!$A$40:$A$46,0))</f>
        <v>accion</v>
      </c>
      <c r="G344" s="15" t="str">
        <f>IF(F344="cetes",INDEX(Entradas!$F$40:$F$46,MATCH(C344,Entradas!$A$40:$A$46,0)),"")</f>
        <v/>
      </c>
      <c r="H344" s="17" t="str">
        <f>IF(F344="cetes",INDEX(Entradas!$G$40:$G$46,MATCH(C344,Entradas!$A$40:$A$46,0)),"")</f>
        <v/>
      </c>
      <c r="I344" s="14">
        <f>IF(F344="cetes",IF(A344&gt;=G344,0,SUMIFS(Transacciones!$N$5:$N$20,Transacciones!$T$5:$T$20,E344,Transacciones!$F$5:$F$20,"&lt;="&amp;A344)),SUMIFS(Transacciones!$N$5:$N$20,Transacciones!$T$5:$T$20,E344,Transacciones!$F$5:$F$20,"&lt;="&amp;A344))</f>
        <v>150</v>
      </c>
      <c r="J344" s="14">
        <f>_xlfn.MAXIFS(Transacciones!$U$5:$U$20,Transacciones!$T$5:$T$20,E344,Transacciones!$F$5:$F$20,"&lt;="&amp;A344)</f>
        <v>46279007</v>
      </c>
      <c r="K344" s="18">
        <f>IF(I344=0,0,INDEX(Transacciones!$Z$5:$Z$20,MATCH(J344,Transacciones!$U$5:$U$20,0)))</f>
        <v>103.90046666666666</v>
      </c>
      <c r="L344" s="17">
        <f t="shared" si="26"/>
        <v>15585.07</v>
      </c>
      <c r="M344" s="15">
        <f>IF(F344="cetes",IF(COUNTIFS(CETES!$A$5:$A$95,A344,CETES!$B$5:$B$95,C344)=0,"",A344),SUMIFS(Precios!$K$5:$K$109,Precios!$I$5:$I$109,A344,Precios!$J$5:$J$109,C344))</f>
        <v>46308</v>
      </c>
      <c r="N344" s="18">
        <f>IF(F344="cetes",IF(COUNTIFS(CETES!$A$5:$A$95,A344,CETES!$B$5:$B$95,C344)=0,"",SUMIFS(CETES!$AF$5:$AF$95,CETES!$A$5:$A$95,A344,CETES!$B$5:$B$95,C344)),SUMIFS(Precios!$L$5:$L$109,Precios!$I$5:$I$109,A344,Precios!$J$5:$J$109,C344))</f>
        <v>109.2</v>
      </c>
      <c r="O344" s="17">
        <f t="shared" si="27"/>
        <v>16380</v>
      </c>
      <c r="P344" s="17">
        <f t="shared" si="28"/>
        <v>794.93000000000029</v>
      </c>
      <c r="Q344" s="17">
        <f>IF(F344="cetes",IF(A344=G344,SUMIFS(Transacciones!$N$5:$N$20,Transacciones!$T$5:$T$20,E344,Transacciones!$F$5:$F$20,"&lt;"&amp;A344)*H344,0),0)</f>
        <v>0</v>
      </c>
      <c r="R344" s="11" t="str">
        <f>IF(COUNTIF(Entradas!$A$14:$A$17,A344)&gt;0,"sí","")</f>
        <v/>
      </c>
      <c r="S344" s="11" t="str">
        <f t="shared" si="29"/>
        <v>46308|Secundario|DEMOACC|Casa A</v>
      </c>
    </row>
    <row r="345" spans="1:19" x14ac:dyDescent="0.3">
      <c r="A345" s="20">
        <v>46309</v>
      </c>
      <c r="B345" s="21" t="s">
        <v>94</v>
      </c>
      <c r="C345" s="21" t="s">
        <v>123</v>
      </c>
      <c r="D345" s="21" t="s">
        <v>112</v>
      </c>
      <c r="E345" s="11" t="str">
        <f t="shared" si="25"/>
        <v>Principal|DEMOACC|Casa A</v>
      </c>
      <c r="F345" s="11" t="str">
        <f>INDEX(Entradas!$C$40:$C$46,MATCH(C345,Entradas!$A$40:$A$46,0))</f>
        <v>accion</v>
      </c>
      <c r="G345" s="15" t="str">
        <f>IF(F345="cetes",INDEX(Entradas!$F$40:$F$46,MATCH(C345,Entradas!$A$40:$A$46,0)),"")</f>
        <v/>
      </c>
      <c r="H345" s="17" t="str">
        <f>IF(F345="cetes",INDEX(Entradas!$G$40:$G$46,MATCH(C345,Entradas!$A$40:$A$46,0)),"")</f>
        <v/>
      </c>
      <c r="I345" s="14">
        <f>IF(F345="cetes",IF(A345&gt;=G345,0,SUMIFS(Transacciones!$N$5:$N$20,Transacciones!$T$5:$T$20,E345,Transacciones!$F$5:$F$20,"&lt;="&amp;A345)),SUMIFS(Transacciones!$N$5:$N$20,Transacciones!$T$5:$T$20,E345,Transacciones!$F$5:$F$20,"&lt;="&amp;A345))</f>
        <v>120</v>
      </c>
      <c r="J345" s="14">
        <f>_xlfn.MAXIFS(Transacciones!$U$5:$U$20,Transacciones!$T$5:$T$20,E345,Transacciones!$F$5:$F$20,"&lt;="&amp;A345)</f>
        <v>46297514</v>
      </c>
      <c r="K345" s="18">
        <f>IF(I345=0,0,INDEX(Transacciones!$Z$5:$Z$20,MATCH(J345,Transacciones!$U$5:$U$20,0)))</f>
        <v>100.23985</v>
      </c>
      <c r="L345" s="17">
        <f t="shared" si="26"/>
        <v>12028.782000000001</v>
      </c>
      <c r="M345" s="15">
        <f>IF(F345="cetes",IF(COUNTIFS(CETES!$A$5:$A$95,A345,CETES!$B$5:$B$95,C345)=0,"",A345),SUMIFS(Precios!$K$5:$K$109,Precios!$I$5:$I$109,A345,Precios!$J$5:$J$109,C345))</f>
        <v>46309</v>
      </c>
      <c r="N345" s="18">
        <f>IF(F345="cetes",IF(COUNTIFS(CETES!$A$5:$A$95,A345,CETES!$B$5:$B$95,C345)=0,"",SUMIFS(CETES!$AF$5:$AF$95,CETES!$A$5:$A$95,A345,CETES!$B$5:$B$95,C345)),SUMIFS(Precios!$L$5:$L$109,Precios!$I$5:$I$109,A345,Precios!$J$5:$J$109,C345))</f>
        <v>111.05</v>
      </c>
      <c r="O345" s="17">
        <f t="shared" si="27"/>
        <v>13326</v>
      </c>
      <c r="P345" s="17">
        <f t="shared" si="28"/>
        <v>1297.2179999999989</v>
      </c>
      <c r="Q345" s="17">
        <f>IF(F345="cetes",IF(A345=G345,SUMIFS(Transacciones!$N$5:$N$20,Transacciones!$T$5:$T$20,E345,Transacciones!$F$5:$F$20,"&lt;"&amp;A345)*H345,0),0)</f>
        <v>0</v>
      </c>
      <c r="R345" s="11" t="str">
        <f>IF(COUNTIF(Entradas!$A$14:$A$17,A345)&gt;0,"sí","")</f>
        <v>sí</v>
      </c>
      <c r="S345" s="11" t="str">
        <f t="shared" si="29"/>
        <v>46309|Principal|DEMOACC|Casa A</v>
      </c>
    </row>
    <row r="346" spans="1:19" x14ac:dyDescent="0.3">
      <c r="A346" s="20">
        <v>46309</v>
      </c>
      <c r="B346" s="21" t="s">
        <v>94</v>
      </c>
      <c r="C346" s="21" t="s">
        <v>123</v>
      </c>
      <c r="D346" s="21" t="s">
        <v>113</v>
      </c>
      <c r="E346" s="11" t="str">
        <f t="shared" si="25"/>
        <v>Principal|DEMOACC|Casa B</v>
      </c>
      <c r="F346" s="11" t="str">
        <f>INDEX(Entradas!$C$40:$C$46,MATCH(C346,Entradas!$A$40:$A$46,0))</f>
        <v>accion</v>
      </c>
      <c r="G346" s="15" t="str">
        <f>IF(F346="cetes",INDEX(Entradas!$F$40:$F$46,MATCH(C346,Entradas!$A$40:$A$46,0)),"")</f>
        <v/>
      </c>
      <c r="H346" s="17" t="str">
        <f>IF(F346="cetes",INDEX(Entradas!$G$40:$G$46,MATCH(C346,Entradas!$A$40:$A$46,0)),"")</f>
        <v/>
      </c>
      <c r="I346" s="14">
        <f>IF(F346="cetes",IF(A346&gt;=G346,0,SUMIFS(Transacciones!$N$5:$N$20,Transacciones!$T$5:$T$20,E346,Transacciones!$F$5:$F$20,"&lt;="&amp;A346)),SUMIFS(Transacciones!$N$5:$N$20,Transacciones!$T$5:$T$20,E346,Transacciones!$F$5:$F$20,"&lt;="&amp;A346))</f>
        <v>100</v>
      </c>
      <c r="J346" s="14">
        <f>_xlfn.MAXIFS(Transacciones!$U$5:$U$20,Transacciones!$T$5:$T$20,E346,Transacciones!$F$5:$F$20,"&lt;="&amp;A346)</f>
        <v>46279006</v>
      </c>
      <c r="K346" s="18">
        <f>IF(I346=0,0,INDEX(Transacciones!$Z$5:$Z$20,MATCH(J346,Transacciones!$U$5:$U$20,0)))</f>
        <v>103.399</v>
      </c>
      <c r="L346" s="17">
        <f t="shared" si="26"/>
        <v>10339.9</v>
      </c>
      <c r="M346" s="15">
        <f>IF(F346="cetes",IF(COUNTIFS(CETES!$A$5:$A$95,A346,CETES!$B$5:$B$95,C346)=0,"",A346),SUMIFS(Precios!$K$5:$K$109,Precios!$I$5:$I$109,A346,Precios!$J$5:$J$109,C346))</f>
        <v>46309</v>
      </c>
      <c r="N346" s="18">
        <f>IF(F346="cetes",IF(COUNTIFS(CETES!$A$5:$A$95,A346,CETES!$B$5:$B$95,C346)=0,"",SUMIFS(CETES!$AF$5:$AF$95,CETES!$A$5:$A$95,A346,CETES!$B$5:$B$95,C346)),SUMIFS(Precios!$L$5:$L$109,Precios!$I$5:$I$109,A346,Precios!$J$5:$J$109,C346))</f>
        <v>111.05</v>
      </c>
      <c r="O346" s="17">
        <f t="shared" si="27"/>
        <v>11105</v>
      </c>
      <c r="P346" s="17">
        <f t="shared" si="28"/>
        <v>765.10000000000036</v>
      </c>
      <c r="Q346" s="17">
        <f>IF(F346="cetes",IF(A346=G346,SUMIFS(Transacciones!$N$5:$N$20,Transacciones!$T$5:$T$20,E346,Transacciones!$F$5:$F$20,"&lt;"&amp;A346)*H346,0),0)</f>
        <v>0</v>
      </c>
      <c r="R346" s="11" t="str">
        <f>IF(COUNTIF(Entradas!$A$14:$A$17,A346)&gt;0,"sí","")</f>
        <v>sí</v>
      </c>
      <c r="S346" s="11" t="str">
        <f t="shared" si="29"/>
        <v>46309|Principal|DEMOACC|Casa B</v>
      </c>
    </row>
    <row r="347" spans="1:19" x14ac:dyDescent="0.3">
      <c r="A347" s="20">
        <v>46309</v>
      </c>
      <c r="B347" s="21" t="s">
        <v>94</v>
      </c>
      <c r="C347" s="21" t="s">
        <v>126</v>
      </c>
      <c r="D347" s="21" t="s">
        <v>113</v>
      </c>
      <c r="E347" s="11" t="str">
        <f t="shared" si="25"/>
        <v>Principal|DEMOETF|Casa B</v>
      </c>
      <c r="F347" s="11" t="str">
        <f>INDEX(Entradas!$C$40:$C$46,MATCH(C347,Entradas!$A$40:$A$46,0))</f>
        <v>etf</v>
      </c>
      <c r="G347" s="15" t="str">
        <f>IF(F347="cetes",INDEX(Entradas!$F$40:$F$46,MATCH(C347,Entradas!$A$40:$A$46,0)),"")</f>
        <v/>
      </c>
      <c r="H347" s="17" t="str">
        <f>IF(F347="cetes",INDEX(Entradas!$G$40:$G$46,MATCH(C347,Entradas!$A$40:$A$46,0)),"")</f>
        <v/>
      </c>
      <c r="I347" s="14">
        <f>IF(F347="cetes",IF(A347&gt;=G347,0,SUMIFS(Transacciones!$N$5:$N$20,Transacciones!$T$5:$T$20,E347,Transacciones!$F$5:$F$20,"&lt;="&amp;A347)),SUMIFS(Transacciones!$N$5:$N$20,Transacciones!$T$5:$T$20,E347,Transacciones!$F$5:$F$20,"&lt;="&amp;A347))</f>
        <v>40</v>
      </c>
      <c r="J347" s="14">
        <f>_xlfn.MAXIFS(Transacciones!$U$5:$U$20,Transacciones!$T$5:$T$20,E347,Transacciones!$F$5:$F$20,"&lt;="&amp;A347)</f>
        <v>46290512</v>
      </c>
      <c r="K347" s="18">
        <f>IF(I347=0,0,INDEX(Transacciones!$Z$5:$Z$20,MATCH(J347,Transacciones!$U$5:$U$20,0)))</f>
        <v>49.386499999999998</v>
      </c>
      <c r="L347" s="17">
        <f t="shared" si="26"/>
        <v>1975.46</v>
      </c>
      <c r="M347" s="15">
        <f>IF(F347="cetes",IF(COUNTIFS(CETES!$A$5:$A$95,A347,CETES!$B$5:$B$95,C347)=0,"",A347),SUMIFS(Precios!$K$5:$K$109,Precios!$I$5:$I$109,A347,Precios!$J$5:$J$109,C347))</f>
        <v>46309</v>
      </c>
      <c r="N347" s="18">
        <f>IF(F347="cetes",IF(COUNTIFS(CETES!$A$5:$A$95,A347,CETES!$B$5:$B$95,C347)=0,"",SUMIFS(CETES!$AF$5:$AF$95,CETES!$A$5:$A$95,A347,CETES!$B$5:$B$95,C347)),SUMIFS(Precios!$L$5:$L$109,Precios!$I$5:$I$109,A347,Precios!$J$5:$J$109,C347))</f>
        <v>52.95</v>
      </c>
      <c r="O347" s="17">
        <f t="shared" si="27"/>
        <v>2118</v>
      </c>
      <c r="P347" s="17">
        <f t="shared" si="28"/>
        <v>142.53999999999996</v>
      </c>
      <c r="Q347" s="17">
        <f>IF(F347="cetes",IF(A347=G347,SUMIFS(Transacciones!$N$5:$N$20,Transacciones!$T$5:$T$20,E347,Transacciones!$F$5:$F$20,"&lt;"&amp;A347)*H347,0),0)</f>
        <v>0</v>
      </c>
      <c r="R347" s="11" t="str">
        <f>IF(COUNTIF(Entradas!$A$14:$A$17,A347)&gt;0,"sí","")</f>
        <v>sí</v>
      </c>
      <c r="S347" s="11" t="str">
        <f t="shared" si="29"/>
        <v>46309|Principal|DEMOETF|Casa B</v>
      </c>
    </row>
    <row r="348" spans="1:19" x14ac:dyDescent="0.3">
      <c r="A348" s="20">
        <v>46309</v>
      </c>
      <c r="B348" s="21" t="s">
        <v>94</v>
      </c>
      <c r="C348" s="21" t="s">
        <v>129</v>
      </c>
      <c r="D348" s="21" t="s">
        <v>112</v>
      </c>
      <c r="E348" s="11" t="str">
        <f t="shared" si="25"/>
        <v>Principal|DEMOFIB|Casa A</v>
      </c>
      <c r="F348" s="11" t="str">
        <f>INDEX(Entradas!$C$40:$C$46,MATCH(C348,Entradas!$A$40:$A$46,0))</f>
        <v>fibra</v>
      </c>
      <c r="G348" s="15" t="str">
        <f>IF(F348="cetes",INDEX(Entradas!$F$40:$F$46,MATCH(C348,Entradas!$A$40:$A$46,0)),"")</f>
        <v/>
      </c>
      <c r="H348" s="17" t="str">
        <f>IF(F348="cetes",INDEX(Entradas!$G$40:$G$46,MATCH(C348,Entradas!$A$40:$A$46,0)),"")</f>
        <v/>
      </c>
      <c r="I348" s="14">
        <f>IF(F348="cetes",IF(A348&gt;=G348,0,SUMIFS(Transacciones!$N$5:$N$20,Transacciones!$T$5:$T$20,E348,Transacciones!$F$5:$F$20,"&lt;="&amp;A348)),SUMIFS(Transacciones!$N$5:$N$20,Transacciones!$T$5:$T$20,E348,Transacciones!$F$5:$F$20,"&lt;="&amp;A348))</f>
        <v>300</v>
      </c>
      <c r="J348" s="14">
        <f>_xlfn.MAXIFS(Transacciones!$U$5:$U$20,Transacciones!$T$5:$T$20,E348,Transacciones!$F$5:$F$20,"&lt;="&amp;A348)</f>
        <v>46300015</v>
      </c>
      <c r="K348" s="18">
        <f>IF(I348=0,0,INDEX(Transacciones!$Z$5:$Z$20,MATCH(J348,Transacciones!$U$5:$U$20,0)))</f>
        <v>24.4833</v>
      </c>
      <c r="L348" s="17">
        <f t="shared" si="26"/>
        <v>7344.99</v>
      </c>
      <c r="M348" s="15">
        <f>IF(F348="cetes",IF(COUNTIFS(CETES!$A$5:$A$95,A348,CETES!$B$5:$B$95,C348)=0,"",A348),SUMIFS(Precios!$K$5:$K$109,Precios!$I$5:$I$109,A348,Precios!$J$5:$J$109,C348))</f>
        <v>46309</v>
      </c>
      <c r="N348" s="18">
        <f>IF(F348="cetes",IF(COUNTIFS(CETES!$A$5:$A$95,A348,CETES!$B$5:$B$95,C348)=0,"",SUMIFS(CETES!$AF$5:$AF$95,CETES!$A$5:$A$95,A348,CETES!$B$5:$B$95,C348)),SUMIFS(Precios!$L$5:$L$109,Precios!$I$5:$I$109,A348,Precios!$J$5:$J$109,C348))</f>
        <v>25.622499999999999</v>
      </c>
      <c r="O348" s="17">
        <f t="shared" si="27"/>
        <v>7686.75</v>
      </c>
      <c r="P348" s="17">
        <f t="shared" si="28"/>
        <v>341.76000000000022</v>
      </c>
      <c r="Q348" s="17">
        <f>IF(F348="cetes",IF(A348=G348,SUMIFS(Transacciones!$N$5:$N$20,Transacciones!$T$5:$T$20,E348,Transacciones!$F$5:$F$20,"&lt;"&amp;A348)*H348,0),0)</f>
        <v>0</v>
      </c>
      <c r="R348" s="11" t="str">
        <f>IF(COUNTIF(Entradas!$A$14:$A$17,A348)&gt;0,"sí","")</f>
        <v>sí</v>
      </c>
      <c r="S348" s="11" t="str">
        <f t="shared" si="29"/>
        <v>46309|Principal|DEMOFIB|Casa A</v>
      </c>
    </row>
    <row r="349" spans="1:19" x14ac:dyDescent="0.3">
      <c r="A349" s="20">
        <v>46309</v>
      </c>
      <c r="B349" s="21" t="s">
        <v>94</v>
      </c>
      <c r="C349" s="21" t="s">
        <v>132</v>
      </c>
      <c r="D349" s="21" t="s">
        <v>112</v>
      </c>
      <c r="E349" s="11" t="str">
        <f t="shared" si="25"/>
        <v>Principal|BI261008|Casa A</v>
      </c>
      <c r="F349" s="11" t="str">
        <f>INDEX(Entradas!$C$40:$C$46,MATCH(C349,Entradas!$A$40:$A$46,0))</f>
        <v>cetes</v>
      </c>
      <c r="G349" s="15">
        <f>IF(F349="cetes",INDEX(Entradas!$F$40:$F$46,MATCH(C349,Entradas!$A$40:$A$46,0)),"")</f>
        <v>46303</v>
      </c>
      <c r="H349" s="17">
        <f>IF(F349="cetes",INDEX(Entradas!$G$40:$G$46,MATCH(C349,Entradas!$A$40:$A$46,0)),"")</f>
        <v>10</v>
      </c>
      <c r="I349" s="14">
        <f>IF(F349="cetes",IF(A349&gt;=G349,0,SUMIFS(Transacciones!$N$5:$N$20,Transacciones!$T$5:$T$20,E349,Transacciones!$F$5:$F$20,"&lt;="&amp;A349)),SUMIFS(Transacciones!$N$5:$N$20,Transacciones!$T$5:$T$20,E349,Transacciones!$F$5:$F$20,"&lt;="&amp;A349))</f>
        <v>0</v>
      </c>
      <c r="J349" s="14">
        <f>_xlfn.MAXIFS(Transacciones!$U$5:$U$20,Transacciones!$T$5:$T$20,E349,Transacciones!$F$5:$F$20,"&lt;="&amp;A349)</f>
        <v>46296513</v>
      </c>
      <c r="K349" s="18">
        <f>IF(I349=0,0,INDEX(Transacciones!$Z$5:$Z$20,MATCH(J349,Transacciones!$U$5:$U$20,0)))</f>
        <v>0</v>
      </c>
      <c r="L349" s="17">
        <f t="shared" si="26"/>
        <v>0</v>
      </c>
      <c r="M349" s="15" t="str">
        <f>IF(F349="cetes",IF(COUNTIFS(CETES!$A$5:$A$95,A349,CETES!$B$5:$B$95,C349)=0,"",A349),SUMIFS(Precios!$K$5:$K$109,Precios!$I$5:$I$109,A349,Precios!$J$5:$J$109,C349))</f>
        <v/>
      </c>
      <c r="N349" s="18" t="str">
        <f>IF(F349="cetes",IF(COUNTIFS(CETES!$A$5:$A$95,A349,CETES!$B$5:$B$95,C349)=0,"",SUMIFS(CETES!$AF$5:$AF$95,CETES!$A$5:$A$95,A349,CETES!$B$5:$B$95,C349)),SUMIFS(Precios!$L$5:$L$109,Precios!$I$5:$I$109,A349,Precios!$J$5:$J$109,C349))</f>
        <v/>
      </c>
      <c r="O349" s="17">
        <f t="shared" si="27"/>
        <v>0</v>
      </c>
      <c r="P349" s="17">
        <f t="shared" si="28"/>
        <v>0</v>
      </c>
      <c r="Q349" s="17">
        <f>IF(F349="cetes",IF(A349=G349,SUMIFS(Transacciones!$N$5:$N$20,Transacciones!$T$5:$T$20,E349,Transacciones!$F$5:$F$20,"&lt;"&amp;A349)*H349,0),0)</f>
        <v>0</v>
      </c>
      <c r="R349" s="11" t="str">
        <f>IF(COUNTIF(Entradas!$A$14:$A$17,A349)&gt;0,"sí","")</f>
        <v>sí</v>
      </c>
      <c r="S349" s="11" t="str">
        <f t="shared" si="29"/>
        <v>46309|Principal|BI261008|Casa A</v>
      </c>
    </row>
    <row r="350" spans="1:19" x14ac:dyDescent="0.3">
      <c r="A350" s="20">
        <v>46309</v>
      </c>
      <c r="B350" s="21" t="s">
        <v>94</v>
      </c>
      <c r="C350" s="21" t="s">
        <v>132</v>
      </c>
      <c r="D350" s="21" t="s">
        <v>113</v>
      </c>
      <c r="E350" s="11" t="str">
        <f t="shared" si="25"/>
        <v>Principal|BI261008|Casa B</v>
      </c>
      <c r="F350" s="11" t="str">
        <f>INDEX(Entradas!$C$40:$C$46,MATCH(C350,Entradas!$A$40:$A$46,0))</f>
        <v>cetes</v>
      </c>
      <c r="G350" s="15">
        <f>IF(F350="cetes",INDEX(Entradas!$F$40:$F$46,MATCH(C350,Entradas!$A$40:$A$46,0)),"")</f>
        <v>46303</v>
      </c>
      <c r="H350" s="17">
        <f>IF(F350="cetes",INDEX(Entradas!$G$40:$G$46,MATCH(C350,Entradas!$A$40:$A$46,0)),"")</f>
        <v>10</v>
      </c>
      <c r="I350" s="14">
        <f>IF(F350="cetes",IF(A350&gt;=G350,0,SUMIFS(Transacciones!$N$5:$N$20,Transacciones!$T$5:$T$20,E350,Transacciones!$F$5:$F$20,"&lt;="&amp;A350)),SUMIFS(Transacciones!$N$5:$N$20,Transacciones!$T$5:$T$20,E350,Transacciones!$F$5:$F$20,"&lt;="&amp;A350))</f>
        <v>0</v>
      </c>
      <c r="J350" s="14">
        <f>_xlfn.MAXIFS(Transacciones!$U$5:$U$20,Transacciones!$T$5:$T$20,E350,Transacciones!$F$5:$F$20,"&lt;="&amp;A350)</f>
        <v>46275004</v>
      </c>
      <c r="K350" s="18">
        <f>IF(I350=0,0,INDEX(Transacciones!$Z$5:$Z$20,MATCH(J350,Transacciones!$U$5:$U$20,0)))</f>
        <v>0</v>
      </c>
      <c r="L350" s="17">
        <f t="shared" si="26"/>
        <v>0</v>
      </c>
      <c r="M350" s="15" t="str">
        <f>IF(F350="cetes",IF(COUNTIFS(CETES!$A$5:$A$95,A350,CETES!$B$5:$B$95,C350)=0,"",A350),SUMIFS(Precios!$K$5:$K$109,Precios!$I$5:$I$109,A350,Precios!$J$5:$J$109,C350))</f>
        <v/>
      </c>
      <c r="N350" s="18" t="str">
        <f>IF(F350="cetes",IF(COUNTIFS(CETES!$A$5:$A$95,A350,CETES!$B$5:$B$95,C350)=0,"",SUMIFS(CETES!$AF$5:$AF$95,CETES!$A$5:$A$95,A350,CETES!$B$5:$B$95,C350)),SUMIFS(Precios!$L$5:$L$109,Precios!$I$5:$I$109,A350,Precios!$J$5:$J$109,C350))</f>
        <v/>
      </c>
      <c r="O350" s="17">
        <f t="shared" si="27"/>
        <v>0</v>
      </c>
      <c r="P350" s="17">
        <f t="shared" si="28"/>
        <v>0</v>
      </c>
      <c r="Q350" s="17">
        <f>IF(F350="cetes",IF(A350=G350,SUMIFS(Transacciones!$N$5:$N$20,Transacciones!$T$5:$T$20,E350,Transacciones!$F$5:$F$20,"&lt;"&amp;A350)*H350,0),0)</f>
        <v>0</v>
      </c>
      <c r="R350" s="11" t="str">
        <f>IF(COUNTIF(Entradas!$A$14:$A$17,A350)&gt;0,"sí","")</f>
        <v>sí</v>
      </c>
      <c r="S350" s="11" t="str">
        <f t="shared" si="29"/>
        <v>46309|Principal|BI261008|Casa B</v>
      </c>
    </row>
    <row r="351" spans="1:19" x14ac:dyDescent="0.3">
      <c r="A351" s="20">
        <v>46309</v>
      </c>
      <c r="B351" s="21" t="s">
        <v>94</v>
      </c>
      <c r="C351" s="21" t="s">
        <v>135</v>
      </c>
      <c r="D351" s="21" t="s">
        <v>113</v>
      </c>
      <c r="E351" s="11" t="str">
        <f t="shared" si="25"/>
        <v>Principal|BI261105|Casa B</v>
      </c>
      <c r="F351" s="11" t="str">
        <f>INDEX(Entradas!$C$40:$C$46,MATCH(C351,Entradas!$A$40:$A$46,0))</f>
        <v>cetes</v>
      </c>
      <c r="G351" s="15">
        <f>IF(F351="cetes",INDEX(Entradas!$F$40:$F$46,MATCH(C351,Entradas!$A$40:$A$46,0)),"")</f>
        <v>46331</v>
      </c>
      <c r="H351" s="17">
        <f>IF(F351="cetes",INDEX(Entradas!$G$40:$G$46,MATCH(C351,Entradas!$A$40:$A$46,0)),"")</f>
        <v>10</v>
      </c>
      <c r="I351" s="14">
        <f>IF(F351="cetes",IF(A351&gt;=G351,0,SUMIFS(Transacciones!$N$5:$N$20,Transacciones!$T$5:$T$20,E351,Transacciones!$F$5:$F$20,"&lt;="&amp;A351)),SUMIFS(Transacciones!$N$5:$N$20,Transacciones!$T$5:$T$20,E351,Transacciones!$F$5:$F$20,"&lt;="&amp;A351))</f>
        <v>1000</v>
      </c>
      <c r="J351" s="14">
        <f>_xlfn.MAXIFS(Transacciones!$U$5:$U$20,Transacciones!$T$5:$T$20,E351,Transacciones!$F$5:$F$20,"&lt;="&amp;A351)</f>
        <v>46303016</v>
      </c>
      <c r="K351" s="18">
        <f>IF(I351=0,0,INDEX(Transacciones!$Z$5:$Z$20,MATCH(J351,Transacciones!$U$5:$U$20,0)))</f>
        <v>9.9528566000000005</v>
      </c>
      <c r="L351" s="17">
        <f t="shared" si="26"/>
        <v>9952.856600000001</v>
      </c>
      <c r="M351" s="15">
        <f>IF(F351="cetes",IF(COUNTIFS(CETES!$A$5:$A$95,A351,CETES!$B$5:$B$95,C351)=0,"",A351),SUMIFS(Precios!$K$5:$K$109,Precios!$I$5:$I$109,A351,Precios!$J$5:$J$109,C351))</f>
        <v>46309</v>
      </c>
      <c r="N351" s="18">
        <f>IF(F351="cetes",IF(COUNTIFS(CETES!$A$5:$A$95,A351,CETES!$B$5:$B$95,C351)=0,"",SUMIFS(CETES!$AF$5:$AF$95,CETES!$A$5:$A$95,A351,CETES!$B$5:$B$95,C351)),SUMIFS(Precios!$L$5:$L$109,Precios!$I$5:$I$109,A351,Precios!$J$5:$J$109,C351))</f>
        <v>9.9629212999999996</v>
      </c>
      <c r="O351" s="17">
        <f t="shared" si="27"/>
        <v>9962.9213</v>
      </c>
      <c r="P351" s="17">
        <f t="shared" si="28"/>
        <v>10.064699999998993</v>
      </c>
      <c r="Q351" s="17">
        <f>IF(F351="cetes",IF(A351=G351,SUMIFS(Transacciones!$N$5:$N$20,Transacciones!$T$5:$T$20,E351,Transacciones!$F$5:$F$20,"&lt;"&amp;A351)*H351,0),0)</f>
        <v>0</v>
      </c>
      <c r="R351" s="11" t="str">
        <f>IF(COUNTIF(Entradas!$A$14:$A$17,A351)&gt;0,"sí","")</f>
        <v>sí</v>
      </c>
      <c r="S351" s="11" t="str">
        <f t="shared" si="29"/>
        <v>46309|Principal|BI261105|Casa B</v>
      </c>
    </row>
    <row r="352" spans="1:19" x14ac:dyDescent="0.3">
      <c r="A352" s="20">
        <v>46309</v>
      </c>
      <c r="B352" s="21" t="s">
        <v>94</v>
      </c>
      <c r="C352" s="21" t="s">
        <v>137</v>
      </c>
      <c r="D352" s="21" t="s">
        <v>112</v>
      </c>
      <c r="E352" s="11" t="str">
        <f t="shared" si="25"/>
        <v>Principal|BI261217|Casa A</v>
      </c>
      <c r="F352" s="11" t="str">
        <f>INDEX(Entradas!$C$40:$C$46,MATCH(C352,Entradas!$A$40:$A$46,0))</f>
        <v>cetes</v>
      </c>
      <c r="G352" s="15">
        <f>IF(F352="cetes",INDEX(Entradas!$F$40:$F$46,MATCH(C352,Entradas!$A$40:$A$46,0)),"")</f>
        <v>46373</v>
      </c>
      <c r="H352" s="17">
        <f>IF(F352="cetes",INDEX(Entradas!$G$40:$G$46,MATCH(C352,Entradas!$A$40:$A$46,0)),"")</f>
        <v>10</v>
      </c>
      <c r="I352" s="14">
        <f>IF(F352="cetes",IF(A352&gt;=G352,0,SUMIFS(Transacciones!$N$5:$N$20,Transacciones!$T$5:$T$20,E352,Transacciones!$F$5:$F$20,"&lt;="&amp;A352)),SUMIFS(Transacciones!$N$5:$N$20,Transacciones!$T$5:$T$20,E352,Transacciones!$F$5:$F$20,"&lt;="&amp;A352))</f>
        <v>1000</v>
      </c>
      <c r="J352" s="14">
        <f>_xlfn.MAXIFS(Transacciones!$U$5:$U$20,Transacciones!$T$5:$T$20,E352,Transacciones!$F$5:$F$20,"&lt;="&amp;A352)</f>
        <v>46282008</v>
      </c>
      <c r="K352" s="18">
        <f>IF(I352=0,0,INDEX(Transacciones!$Z$5:$Z$20,MATCH(J352,Transacciones!$U$5:$U$20,0)))</f>
        <v>9.8344372</v>
      </c>
      <c r="L352" s="17">
        <f t="shared" si="26"/>
        <v>9834.4372000000003</v>
      </c>
      <c r="M352" s="15">
        <f>IF(F352="cetes",IF(COUNTIFS(CETES!$A$5:$A$95,A352,CETES!$B$5:$B$95,C352)=0,"",A352),SUMIFS(Precios!$K$5:$K$109,Precios!$I$5:$I$109,A352,Precios!$J$5:$J$109,C352))</f>
        <v>46309</v>
      </c>
      <c r="N352" s="18">
        <f>IF(F352="cetes",IF(COUNTIFS(CETES!$A$5:$A$95,A352,CETES!$B$5:$B$95,C352)=0,"",SUMIFS(CETES!$AF$5:$AF$95,CETES!$A$5:$A$95,A352,CETES!$B$5:$B$95,C352)),SUMIFS(Precios!$L$5:$L$109,Precios!$I$5:$I$109,A352,Precios!$J$5:$J$109,C352))</f>
        <v>9.8860375000000005</v>
      </c>
      <c r="O352" s="17">
        <f t="shared" si="27"/>
        <v>9886.0375000000004</v>
      </c>
      <c r="P352" s="17">
        <f t="shared" si="28"/>
        <v>51.600300000000061</v>
      </c>
      <c r="Q352" s="17">
        <f>IF(F352="cetes",IF(A352=G352,SUMIFS(Transacciones!$N$5:$N$20,Transacciones!$T$5:$T$20,E352,Transacciones!$F$5:$F$20,"&lt;"&amp;A352)*H352,0),0)</f>
        <v>0</v>
      </c>
      <c r="R352" s="11" t="str">
        <f>IF(COUNTIF(Entradas!$A$14:$A$17,A352)&gt;0,"sí","")</f>
        <v>sí</v>
      </c>
      <c r="S352" s="11" t="str">
        <f t="shared" si="29"/>
        <v>46309|Principal|BI261217|Casa A</v>
      </c>
    </row>
    <row r="353" spans="1:19" x14ac:dyDescent="0.3">
      <c r="A353" s="20">
        <v>46309</v>
      </c>
      <c r="B353" s="21" t="s">
        <v>94</v>
      </c>
      <c r="C353" s="21" t="s">
        <v>139</v>
      </c>
      <c r="D353" s="21" t="s">
        <v>113</v>
      </c>
      <c r="E353" s="11" t="str">
        <f t="shared" si="25"/>
        <v>Principal|BI270318|Casa B</v>
      </c>
      <c r="F353" s="11" t="str">
        <f>INDEX(Entradas!$C$40:$C$46,MATCH(C353,Entradas!$A$40:$A$46,0))</f>
        <v>cetes</v>
      </c>
      <c r="G353" s="15">
        <f>IF(F353="cetes",INDEX(Entradas!$F$40:$F$46,MATCH(C353,Entradas!$A$40:$A$46,0)),"")</f>
        <v>46464</v>
      </c>
      <c r="H353" s="17">
        <f>IF(F353="cetes",INDEX(Entradas!$G$40:$G$46,MATCH(C353,Entradas!$A$40:$A$46,0)),"")</f>
        <v>10</v>
      </c>
      <c r="I353" s="14">
        <f>IF(F353="cetes",IF(A353&gt;=G353,0,SUMIFS(Transacciones!$N$5:$N$20,Transacciones!$T$5:$T$20,E353,Transacciones!$F$5:$F$20,"&lt;="&amp;A353)),SUMIFS(Transacciones!$N$5:$N$20,Transacciones!$T$5:$T$20,E353,Transacciones!$F$5:$F$20,"&lt;="&amp;A353))</f>
        <v>500</v>
      </c>
      <c r="J353" s="14">
        <f>_xlfn.MAXIFS(Transacciones!$U$5:$U$20,Transacciones!$T$5:$T$20,E353,Transacciones!$F$5:$F$20,"&lt;="&amp;A353)</f>
        <v>46282009</v>
      </c>
      <c r="K353" s="18">
        <f>IF(I353=0,0,INDEX(Transacciones!$Z$5:$Z$20,MATCH(J353,Transacciones!$U$5:$U$20,0)))</f>
        <v>9.6629249999999995</v>
      </c>
      <c r="L353" s="17">
        <f t="shared" si="26"/>
        <v>4831.4624999999996</v>
      </c>
      <c r="M353" s="15">
        <f>IF(F353="cetes",IF(COUNTIFS(CETES!$A$5:$A$95,A353,CETES!$B$5:$B$95,C353)=0,"",A353),SUMIFS(Precios!$K$5:$K$109,Precios!$I$5:$I$109,A353,Precios!$J$5:$J$109,C353))</f>
        <v>46309</v>
      </c>
      <c r="N353" s="18">
        <f>IF(F353="cetes",IF(COUNTIFS(CETES!$A$5:$A$95,A353,CETES!$B$5:$B$95,C353)=0,"",SUMIFS(CETES!$AF$5:$AF$95,CETES!$A$5:$A$95,A353,CETES!$B$5:$B$95,C353)),SUMIFS(Precios!$L$5:$L$109,Precios!$I$5:$I$109,A353,Precios!$J$5:$J$109,C353))</f>
        <v>9.7123387999999995</v>
      </c>
      <c r="O353" s="17">
        <f t="shared" si="27"/>
        <v>4856.1693999999998</v>
      </c>
      <c r="P353" s="17">
        <f t="shared" si="28"/>
        <v>24.706900000000132</v>
      </c>
      <c r="Q353" s="17">
        <f>IF(F353="cetes",IF(A353=G353,SUMIFS(Transacciones!$N$5:$N$20,Transacciones!$T$5:$T$20,E353,Transacciones!$F$5:$F$20,"&lt;"&amp;A353)*H353,0),0)</f>
        <v>0</v>
      </c>
      <c r="R353" s="11" t="str">
        <f>IF(COUNTIF(Entradas!$A$14:$A$17,A353)&gt;0,"sí","")</f>
        <v>sí</v>
      </c>
      <c r="S353" s="11" t="str">
        <f t="shared" si="29"/>
        <v>46309|Principal|BI270318|Casa B</v>
      </c>
    </row>
    <row r="354" spans="1:19" x14ac:dyDescent="0.3">
      <c r="A354" s="20">
        <v>46309</v>
      </c>
      <c r="B354" s="21" t="s">
        <v>103</v>
      </c>
      <c r="C354" s="21" t="s">
        <v>123</v>
      </c>
      <c r="D354" s="21" t="s">
        <v>112</v>
      </c>
      <c r="E354" s="11" t="str">
        <f t="shared" si="25"/>
        <v>Secundario|DEMOACC|Casa A</v>
      </c>
      <c r="F354" s="11" t="str">
        <f>INDEX(Entradas!$C$40:$C$46,MATCH(C354,Entradas!$A$40:$A$46,0))</f>
        <v>accion</v>
      </c>
      <c r="G354" s="15" t="str">
        <f>IF(F354="cetes",INDEX(Entradas!$F$40:$F$46,MATCH(C354,Entradas!$A$40:$A$46,0)),"")</f>
        <v/>
      </c>
      <c r="H354" s="17" t="str">
        <f>IF(F354="cetes",INDEX(Entradas!$G$40:$G$46,MATCH(C354,Entradas!$A$40:$A$46,0)),"")</f>
        <v/>
      </c>
      <c r="I354" s="14">
        <f>IF(F354="cetes",IF(A354&gt;=G354,0,SUMIFS(Transacciones!$N$5:$N$20,Transacciones!$T$5:$T$20,E354,Transacciones!$F$5:$F$20,"&lt;="&amp;A354)),SUMIFS(Transacciones!$N$5:$N$20,Transacciones!$T$5:$T$20,E354,Transacciones!$F$5:$F$20,"&lt;="&amp;A354))</f>
        <v>150</v>
      </c>
      <c r="J354" s="14">
        <f>_xlfn.MAXIFS(Transacciones!$U$5:$U$20,Transacciones!$T$5:$T$20,E354,Transacciones!$F$5:$F$20,"&lt;="&amp;A354)</f>
        <v>46279007</v>
      </c>
      <c r="K354" s="18">
        <f>IF(I354=0,0,INDEX(Transacciones!$Z$5:$Z$20,MATCH(J354,Transacciones!$U$5:$U$20,0)))</f>
        <v>103.90046666666666</v>
      </c>
      <c r="L354" s="17">
        <f t="shared" si="26"/>
        <v>15585.07</v>
      </c>
      <c r="M354" s="15">
        <f>IF(F354="cetes",IF(COUNTIFS(CETES!$A$5:$A$95,A354,CETES!$B$5:$B$95,C354)=0,"",A354),SUMIFS(Precios!$K$5:$K$109,Precios!$I$5:$I$109,A354,Precios!$J$5:$J$109,C354))</f>
        <v>46309</v>
      </c>
      <c r="N354" s="18">
        <f>IF(F354="cetes",IF(COUNTIFS(CETES!$A$5:$A$95,A354,CETES!$B$5:$B$95,C354)=0,"",SUMIFS(CETES!$AF$5:$AF$95,CETES!$A$5:$A$95,A354,CETES!$B$5:$B$95,C354)),SUMIFS(Precios!$L$5:$L$109,Precios!$I$5:$I$109,A354,Precios!$J$5:$J$109,C354))</f>
        <v>111.05</v>
      </c>
      <c r="O354" s="17">
        <f t="shared" si="27"/>
        <v>16657.5</v>
      </c>
      <c r="P354" s="17">
        <f t="shared" si="28"/>
        <v>1072.4300000000003</v>
      </c>
      <c r="Q354" s="17">
        <f>IF(F354="cetes",IF(A354=G354,SUMIFS(Transacciones!$N$5:$N$20,Transacciones!$T$5:$T$20,E354,Transacciones!$F$5:$F$20,"&lt;"&amp;A354)*H354,0),0)</f>
        <v>0</v>
      </c>
      <c r="R354" s="11" t="str">
        <f>IF(COUNTIF(Entradas!$A$14:$A$17,A354)&gt;0,"sí","")</f>
        <v>sí</v>
      </c>
      <c r="S354" s="11" t="str">
        <f t="shared" si="29"/>
        <v>46309|Secundario|DEMOACC|Casa A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2" width="12" customWidth="1"/>
    <col min="3" max="3" width="13" customWidth="1"/>
    <col min="4" max="9" width="14" customWidth="1"/>
    <col min="10" max="10" width="12" customWidth="1"/>
    <col min="11" max="11" width="13" customWidth="1"/>
    <col min="12" max="12" width="10" customWidth="1"/>
    <col min="13" max="13" width="6" customWidth="1"/>
    <col min="14" max="14" width="14" customWidth="1"/>
    <col min="15" max="16" width="12" customWidth="1"/>
    <col min="17" max="18" width="14" customWidth="1"/>
  </cols>
  <sheetData>
    <row r="1" spans="1:18" ht="17.399999999999999" x14ac:dyDescent="0.3">
      <c r="A1" s="5" t="s">
        <v>333</v>
      </c>
    </row>
    <row r="2" spans="1:18" x14ac:dyDescent="0.3">
      <c r="A2" s="6" t="s">
        <v>334</v>
      </c>
    </row>
    <row r="3" spans="1:18" x14ac:dyDescent="0.3">
      <c r="A3" s="7" t="s">
        <v>335</v>
      </c>
    </row>
    <row r="4" spans="1:18" ht="52.8" x14ac:dyDescent="0.3">
      <c r="A4" s="8" t="s">
        <v>80</v>
      </c>
      <c r="B4" s="8" t="s">
        <v>319</v>
      </c>
      <c r="C4" s="8" t="s">
        <v>320</v>
      </c>
      <c r="D4" s="8" t="s">
        <v>321</v>
      </c>
      <c r="E4" s="8" t="s">
        <v>336</v>
      </c>
      <c r="F4" s="8" t="s">
        <v>337</v>
      </c>
      <c r="G4" s="8" t="s">
        <v>322</v>
      </c>
      <c r="H4" s="8" t="s">
        <v>324</v>
      </c>
      <c r="I4" s="8" t="s">
        <v>325</v>
      </c>
      <c r="J4" s="8" t="s">
        <v>268</v>
      </c>
      <c r="K4" s="8" t="s">
        <v>338</v>
      </c>
      <c r="L4" s="8" t="s">
        <v>339</v>
      </c>
      <c r="M4" s="8" t="s">
        <v>340</v>
      </c>
      <c r="N4" s="8" t="s">
        <v>341</v>
      </c>
      <c r="O4" s="8" t="s">
        <v>308</v>
      </c>
      <c r="P4" s="8" t="s">
        <v>309</v>
      </c>
      <c r="Q4" s="8" t="s">
        <v>328</v>
      </c>
      <c r="R4" s="8" t="s">
        <v>329</v>
      </c>
    </row>
    <row r="5" spans="1:18" x14ac:dyDescent="0.3">
      <c r="A5" s="20">
        <v>46278</v>
      </c>
      <c r="B5" s="21" t="s">
        <v>94</v>
      </c>
      <c r="C5" s="21" t="s">
        <v>123</v>
      </c>
      <c r="D5" s="21" t="s">
        <v>112</v>
      </c>
      <c r="E5" s="14">
        <f>MATCH(A5&amp;"|"&amp;B5&amp;"|"&amp;C5&amp;"|"&amp;D5,'Valuación diaria'!$S$5:$S$354,0)</f>
        <v>31</v>
      </c>
      <c r="F5" s="11" t="str">
        <f>IF(COUNTIFS(Transacciones!$T$5:$T$20,B5&amp;"|"&amp;C5&amp;"|"&amp;D5,Transacciones!$F$5:$F$20,"&lt;="&amp;A5)&gt;0,"sí","no")</f>
        <v>sí</v>
      </c>
      <c r="G5" s="14">
        <f>INDEX('Valuación diaria'!$I$5:$I$354,E5)</f>
        <v>200</v>
      </c>
      <c r="H5" s="18">
        <f>INDEX('Valuación diaria'!$K$5:$K$354,E5)</f>
        <v>100.23985</v>
      </c>
      <c r="I5" s="17">
        <f>INDEX('Valuación diaria'!$L$5:$L$354,E5)</f>
        <v>20047.97</v>
      </c>
      <c r="J5" s="18">
        <f>INDEX('Valuación diaria'!$N$5:$N$354,E5)</f>
        <v>101.85</v>
      </c>
      <c r="K5" s="15">
        <f>INDEX('Valuación diaria'!$M$5:$M$354,E5)</f>
        <v>46276</v>
      </c>
      <c r="L5" s="14">
        <f>COUNTIFS(CETES!$A$5:$A$95,A5,CETES!$B$5:$B$95,C5)</f>
        <v>0</v>
      </c>
      <c r="M5" s="14" t="str">
        <f>IF(L5=0,"",INDEX(CETES!$E$5:$E$95,MATCH(A5&amp;"|"&amp;C5,CETES!$AG$5:$AG$95,0)))</f>
        <v/>
      </c>
      <c r="N5" s="26" t="str">
        <f>IF(L5=0,"",INDEX(CETES!$AD$5:$AD$95,MATCH(A5&amp;"|"&amp;C5,CETES!$AG$5:$AG$95,0)))</f>
        <v/>
      </c>
      <c r="O5" s="15" t="str">
        <f>IF(L5=0,"",INDEX(CETES!$Y$5:$Y$95,MATCH(A5&amp;"|"&amp;C5,CETES!$AG$5:$AG$95,0)))</f>
        <v/>
      </c>
      <c r="P5" s="15" t="str">
        <f>IF(L5=0,"",INDEX(CETES!$Z$5:$Z$95,MATCH(A5&amp;"|"&amp;C5,CETES!$AG$5:$AG$95,0)))</f>
        <v/>
      </c>
      <c r="Q5" s="17">
        <f>INDEX('Valuación diaria'!$O$5:$O$354,E5)</f>
        <v>20370</v>
      </c>
      <c r="R5" s="17">
        <f>INDEX('Valuación diaria'!$P$5:$P$354,E5)</f>
        <v>322.02999999999884</v>
      </c>
    </row>
    <row r="6" spans="1:18" x14ac:dyDescent="0.3">
      <c r="A6" s="20">
        <v>46278</v>
      </c>
      <c r="B6" s="21" t="s">
        <v>94</v>
      </c>
      <c r="C6" s="21" t="s">
        <v>123</v>
      </c>
      <c r="D6" s="21" t="s">
        <v>113</v>
      </c>
      <c r="E6" s="14">
        <f>MATCH(A6&amp;"|"&amp;B6&amp;"|"&amp;C6&amp;"|"&amp;D6,'Valuación diaria'!$S$5:$S$354,0)</f>
        <v>32</v>
      </c>
      <c r="F6" s="11" t="str">
        <f>IF(COUNTIFS(Transacciones!$T$5:$T$20,B6&amp;"|"&amp;C6&amp;"|"&amp;D6,Transacciones!$F$5:$F$20,"&lt;="&amp;A6)&gt;0,"sí","no")</f>
        <v>no</v>
      </c>
      <c r="G6" s="14">
        <f>INDEX('Valuación diaria'!$I$5:$I$354,E6)</f>
        <v>0</v>
      </c>
      <c r="H6" s="18">
        <f>INDEX('Valuación diaria'!$K$5:$K$354,E6)</f>
        <v>0</v>
      </c>
      <c r="I6" s="17">
        <f>INDEX('Valuación diaria'!$L$5:$L$354,E6)</f>
        <v>0</v>
      </c>
      <c r="J6" s="18">
        <f>INDEX('Valuación diaria'!$N$5:$N$354,E6)</f>
        <v>101.85</v>
      </c>
      <c r="K6" s="15">
        <f>INDEX('Valuación diaria'!$M$5:$M$354,E6)</f>
        <v>46276</v>
      </c>
      <c r="L6" s="14">
        <f>COUNTIFS(CETES!$A$5:$A$95,A6,CETES!$B$5:$B$95,C6)</f>
        <v>0</v>
      </c>
      <c r="M6" s="14" t="str">
        <f>IF(L6=0,"",INDEX(CETES!$E$5:$E$95,MATCH(A6&amp;"|"&amp;C6,CETES!$AG$5:$AG$95,0)))</f>
        <v/>
      </c>
      <c r="N6" s="26" t="str">
        <f>IF(L6=0,"",INDEX(CETES!$AD$5:$AD$95,MATCH(A6&amp;"|"&amp;C6,CETES!$AG$5:$AG$95,0)))</f>
        <v/>
      </c>
      <c r="O6" s="15" t="str">
        <f>IF(L6=0,"",INDEX(CETES!$Y$5:$Y$95,MATCH(A6&amp;"|"&amp;C6,CETES!$AG$5:$AG$95,0)))</f>
        <v/>
      </c>
      <c r="P6" s="15" t="str">
        <f>IF(L6=0,"",INDEX(CETES!$Z$5:$Z$95,MATCH(A6&amp;"|"&amp;C6,CETES!$AG$5:$AG$95,0)))</f>
        <v/>
      </c>
      <c r="Q6" s="17">
        <f>INDEX('Valuación diaria'!$O$5:$O$354,E6)</f>
        <v>0</v>
      </c>
      <c r="R6" s="17">
        <f>INDEX('Valuación diaria'!$P$5:$P$354,E6)</f>
        <v>0</v>
      </c>
    </row>
    <row r="7" spans="1:18" x14ac:dyDescent="0.3">
      <c r="A7" s="20">
        <v>46278</v>
      </c>
      <c r="B7" s="21" t="s">
        <v>94</v>
      </c>
      <c r="C7" s="21" t="s">
        <v>126</v>
      </c>
      <c r="D7" s="21" t="s">
        <v>113</v>
      </c>
      <c r="E7" s="14">
        <f>MATCH(A7&amp;"|"&amp;B7&amp;"|"&amp;C7&amp;"|"&amp;D7,'Valuación diaria'!$S$5:$S$354,0)</f>
        <v>33</v>
      </c>
      <c r="F7" s="11" t="str">
        <f>IF(COUNTIFS(Transacciones!$T$5:$T$20,B7&amp;"|"&amp;C7&amp;"|"&amp;D7,Transacciones!$F$5:$F$20,"&lt;="&amp;A7)&gt;0,"sí","no")</f>
        <v>sí</v>
      </c>
      <c r="G7" s="14">
        <f>INDEX('Valuación diaria'!$I$5:$I$354,E7)</f>
        <v>100</v>
      </c>
      <c r="H7" s="18">
        <f>INDEX('Valuación diaria'!$K$5:$K$354,E7)</f>
        <v>50.195100000000004</v>
      </c>
      <c r="I7" s="17">
        <f>INDEX('Valuación diaria'!$L$5:$L$354,E7)</f>
        <v>5019.51</v>
      </c>
      <c r="J7" s="18">
        <f>INDEX('Valuación diaria'!$N$5:$N$354,E7)</f>
        <v>50.62</v>
      </c>
      <c r="K7" s="15">
        <f>INDEX('Valuación diaria'!$M$5:$M$354,E7)</f>
        <v>46276</v>
      </c>
      <c r="L7" s="14">
        <f>COUNTIFS(CETES!$A$5:$A$95,A7,CETES!$B$5:$B$95,C7)</f>
        <v>0</v>
      </c>
      <c r="M7" s="14" t="str">
        <f>IF(L7=0,"",INDEX(CETES!$E$5:$E$95,MATCH(A7&amp;"|"&amp;C7,CETES!$AG$5:$AG$95,0)))</f>
        <v/>
      </c>
      <c r="N7" s="26" t="str">
        <f>IF(L7=0,"",INDEX(CETES!$AD$5:$AD$95,MATCH(A7&amp;"|"&amp;C7,CETES!$AG$5:$AG$95,0)))</f>
        <v/>
      </c>
      <c r="O7" s="15" t="str">
        <f>IF(L7=0,"",INDEX(CETES!$Y$5:$Y$95,MATCH(A7&amp;"|"&amp;C7,CETES!$AG$5:$AG$95,0)))</f>
        <v/>
      </c>
      <c r="P7" s="15" t="str">
        <f>IF(L7=0,"",INDEX(CETES!$Z$5:$Z$95,MATCH(A7&amp;"|"&amp;C7,CETES!$AG$5:$AG$95,0)))</f>
        <v/>
      </c>
      <c r="Q7" s="17">
        <f>INDEX('Valuación diaria'!$O$5:$O$354,E7)</f>
        <v>5062</v>
      </c>
      <c r="R7" s="17">
        <f>INDEX('Valuación diaria'!$P$5:$P$354,E7)</f>
        <v>42.489999999999782</v>
      </c>
    </row>
    <row r="8" spans="1:18" x14ac:dyDescent="0.3">
      <c r="A8" s="20">
        <v>46278</v>
      </c>
      <c r="B8" s="21" t="s">
        <v>94</v>
      </c>
      <c r="C8" s="21" t="s">
        <v>129</v>
      </c>
      <c r="D8" s="21" t="s">
        <v>112</v>
      </c>
      <c r="E8" s="14">
        <f>MATCH(A8&amp;"|"&amp;B8&amp;"|"&amp;C8&amp;"|"&amp;D8,'Valuación diaria'!$S$5:$S$354,0)</f>
        <v>34</v>
      </c>
      <c r="F8" s="11" t="str">
        <f>IF(COUNTIFS(Transacciones!$T$5:$T$20,B8&amp;"|"&amp;C8&amp;"|"&amp;D8,Transacciones!$F$5:$F$20,"&lt;="&amp;A8)&gt;0,"sí","no")</f>
        <v>sí</v>
      </c>
      <c r="G8" s="14">
        <f>INDEX('Valuación diaria'!$I$5:$I$354,E8)</f>
        <v>400</v>
      </c>
      <c r="H8" s="18">
        <f>INDEX('Valuación diaria'!$K$5:$K$354,E8)</f>
        <v>25.054949999999998</v>
      </c>
      <c r="I8" s="17">
        <f>INDEX('Valuación diaria'!$L$5:$L$354,E8)</f>
        <v>10021.98</v>
      </c>
      <c r="J8" s="18">
        <f>INDEX('Valuación diaria'!$N$5:$N$354,E8)</f>
        <v>25.015000000000001</v>
      </c>
      <c r="K8" s="15">
        <f>INDEX('Valuación diaria'!$M$5:$M$354,E8)</f>
        <v>46276</v>
      </c>
      <c r="L8" s="14">
        <f>COUNTIFS(CETES!$A$5:$A$95,A8,CETES!$B$5:$B$95,C8)</f>
        <v>0</v>
      </c>
      <c r="M8" s="14" t="str">
        <f>IF(L8=0,"",INDEX(CETES!$E$5:$E$95,MATCH(A8&amp;"|"&amp;C8,CETES!$AG$5:$AG$95,0)))</f>
        <v/>
      </c>
      <c r="N8" s="26" t="str">
        <f>IF(L8=0,"",INDEX(CETES!$AD$5:$AD$95,MATCH(A8&amp;"|"&amp;C8,CETES!$AG$5:$AG$95,0)))</f>
        <v/>
      </c>
      <c r="O8" s="15" t="str">
        <f>IF(L8=0,"",INDEX(CETES!$Y$5:$Y$95,MATCH(A8&amp;"|"&amp;C8,CETES!$AG$5:$AG$95,0)))</f>
        <v/>
      </c>
      <c r="P8" s="15" t="str">
        <f>IF(L8=0,"",INDEX(CETES!$Z$5:$Z$95,MATCH(A8&amp;"|"&amp;C8,CETES!$AG$5:$AG$95,0)))</f>
        <v/>
      </c>
      <c r="Q8" s="17">
        <f>INDEX('Valuación diaria'!$O$5:$O$354,E8)</f>
        <v>10006</v>
      </c>
      <c r="R8" s="17">
        <f>INDEX('Valuación diaria'!$P$5:$P$354,E8)</f>
        <v>-15.979999999999563</v>
      </c>
    </row>
    <row r="9" spans="1:18" x14ac:dyDescent="0.3">
      <c r="A9" s="20">
        <v>46278</v>
      </c>
      <c r="B9" s="21" t="s">
        <v>94</v>
      </c>
      <c r="C9" s="21" t="s">
        <v>132</v>
      </c>
      <c r="D9" s="21" t="s">
        <v>112</v>
      </c>
      <c r="E9" s="14">
        <f>MATCH(A9&amp;"|"&amp;B9&amp;"|"&amp;C9&amp;"|"&amp;D9,'Valuación diaria'!$S$5:$S$354,0)</f>
        <v>35</v>
      </c>
      <c r="F9" s="11" t="str">
        <f>IF(COUNTIFS(Transacciones!$T$5:$T$20,B9&amp;"|"&amp;C9&amp;"|"&amp;D9,Transacciones!$F$5:$F$20,"&lt;="&amp;A9)&gt;0,"sí","no")</f>
        <v>sí</v>
      </c>
      <c r="G9" s="14">
        <f>INDEX('Valuación diaria'!$I$5:$I$354,E9)</f>
        <v>1500</v>
      </c>
      <c r="H9" s="18">
        <f>INDEX('Valuación diaria'!$K$5:$K$354,E9)</f>
        <v>9.9516240000000007</v>
      </c>
      <c r="I9" s="17">
        <f>INDEX('Valuación diaria'!$L$5:$L$354,E9)</f>
        <v>14927.436000000002</v>
      </c>
      <c r="J9" s="18">
        <f>INDEX('Valuación diaria'!$N$5:$N$354,E9)</f>
        <v>9.9567847999999994</v>
      </c>
      <c r="K9" s="15">
        <f>INDEX('Valuación diaria'!$M$5:$M$354,E9)</f>
        <v>46278</v>
      </c>
      <c r="L9" s="14">
        <f>COUNTIFS(CETES!$A$5:$A$95,A9,CETES!$B$5:$B$95,C9)</f>
        <v>1</v>
      </c>
      <c r="M9" s="14">
        <f>IF(L9=0,"",INDEX(CETES!$E$5:$E$95,MATCH(A9&amp;"|"&amp;C9,CETES!$AG$5:$AG$95,0)))</f>
        <v>25</v>
      </c>
      <c r="N9" s="26">
        <f>IF(L9=0,"",INDEX(CETES!$AD$5:$AD$95,MATCH(A9&amp;"|"&amp;C9,CETES!$AG$5:$AG$95,0)))</f>
        <v>6.25</v>
      </c>
      <c r="O9" s="15">
        <f>IF(L9=0,"",INDEX(CETES!$Y$5:$Y$95,MATCH(A9&amp;"|"&amp;C9,CETES!$AG$5:$AG$95,0)))</f>
        <v>46275</v>
      </c>
      <c r="P9" s="15">
        <f>IF(L9=0,"",INDEX(CETES!$Z$5:$Z$95,MATCH(A9&amp;"|"&amp;C9,CETES!$AG$5:$AG$95,0)))</f>
        <v>46275</v>
      </c>
      <c r="Q9" s="17">
        <f>INDEX('Valuación diaria'!$O$5:$O$354,E9)</f>
        <v>14935.177199999998</v>
      </c>
      <c r="R9" s="17">
        <f>INDEX('Valuación diaria'!$P$5:$P$354,E9)</f>
        <v>7.741199999996752</v>
      </c>
    </row>
    <row r="10" spans="1:18" x14ac:dyDescent="0.3">
      <c r="A10" s="20">
        <v>46278</v>
      </c>
      <c r="B10" s="21" t="s">
        <v>94</v>
      </c>
      <c r="C10" s="21" t="s">
        <v>132</v>
      </c>
      <c r="D10" s="21" t="s">
        <v>113</v>
      </c>
      <c r="E10" s="14">
        <f>MATCH(A10&amp;"|"&amp;B10&amp;"|"&amp;C10&amp;"|"&amp;D10,'Valuación diaria'!$S$5:$S$354,0)</f>
        <v>36</v>
      </c>
      <c r="F10" s="11" t="str">
        <f>IF(COUNTIFS(Transacciones!$T$5:$T$20,B10&amp;"|"&amp;C10&amp;"|"&amp;D10,Transacciones!$F$5:$F$20,"&lt;="&amp;A10)&gt;0,"sí","no")</f>
        <v>sí</v>
      </c>
      <c r="G10" s="14">
        <f>INDEX('Valuación diaria'!$I$5:$I$354,E10)</f>
        <v>1000</v>
      </c>
      <c r="H10" s="18">
        <f>INDEX('Valuación diaria'!$K$5:$K$354,E10)</f>
        <v>9.9516239999999989</v>
      </c>
      <c r="I10" s="17">
        <f>INDEX('Valuación diaria'!$L$5:$L$354,E10)</f>
        <v>9951.6239999999998</v>
      </c>
      <c r="J10" s="18">
        <f>INDEX('Valuación diaria'!$N$5:$N$354,E10)</f>
        <v>9.9567847999999994</v>
      </c>
      <c r="K10" s="15">
        <f>INDEX('Valuación diaria'!$M$5:$M$354,E10)</f>
        <v>46278</v>
      </c>
      <c r="L10" s="14">
        <f>COUNTIFS(CETES!$A$5:$A$95,A10,CETES!$B$5:$B$95,C10)</f>
        <v>1</v>
      </c>
      <c r="M10" s="14">
        <f>IF(L10=0,"",INDEX(CETES!$E$5:$E$95,MATCH(A10&amp;"|"&amp;C10,CETES!$AG$5:$AG$95,0)))</f>
        <v>25</v>
      </c>
      <c r="N10" s="26">
        <f>IF(L10=0,"",INDEX(CETES!$AD$5:$AD$95,MATCH(A10&amp;"|"&amp;C10,CETES!$AG$5:$AG$95,0)))</f>
        <v>6.25</v>
      </c>
      <c r="O10" s="15">
        <f>IF(L10=0,"",INDEX(CETES!$Y$5:$Y$95,MATCH(A10&amp;"|"&amp;C10,CETES!$AG$5:$AG$95,0)))</f>
        <v>46275</v>
      </c>
      <c r="P10" s="15">
        <f>IF(L10=0,"",INDEX(CETES!$Z$5:$Z$95,MATCH(A10&amp;"|"&amp;C10,CETES!$AG$5:$AG$95,0)))</f>
        <v>46275</v>
      </c>
      <c r="Q10" s="17">
        <f>INDEX('Valuación diaria'!$O$5:$O$354,E10)</f>
        <v>9956.7847999999994</v>
      </c>
      <c r="R10" s="17">
        <f>INDEX('Valuación diaria'!$P$5:$P$354,E10)</f>
        <v>5.1607999999996537</v>
      </c>
    </row>
    <row r="11" spans="1:18" x14ac:dyDescent="0.3">
      <c r="A11" s="20">
        <v>46278</v>
      </c>
      <c r="B11" s="21" t="s">
        <v>94</v>
      </c>
      <c r="C11" s="21" t="s">
        <v>135</v>
      </c>
      <c r="D11" s="21" t="s">
        <v>113</v>
      </c>
      <c r="E11" s="14">
        <f>MATCH(A11&amp;"|"&amp;B11&amp;"|"&amp;C11&amp;"|"&amp;D11,'Valuación diaria'!$S$5:$S$354,0)</f>
        <v>37</v>
      </c>
      <c r="F11" s="11" t="str">
        <f>IF(COUNTIFS(Transacciones!$T$5:$T$20,B11&amp;"|"&amp;C11&amp;"|"&amp;D11,Transacciones!$F$5:$F$20,"&lt;="&amp;A11)&gt;0,"sí","no")</f>
        <v>no</v>
      </c>
      <c r="G11" s="14">
        <f>INDEX('Valuación diaria'!$I$5:$I$354,E11)</f>
        <v>0</v>
      </c>
      <c r="H11" s="18">
        <f>INDEX('Valuación diaria'!$K$5:$K$354,E11)</f>
        <v>0</v>
      </c>
      <c r="I11" s="17">
        <f>INDEX('Valuación diaria'!$L$5:$L$354,E11)</f>
        <v>0</v>
      </c>
      <c r="J11" s="18" t="str">
        <f>INDEX('Valuación diaria'!$N$5:$N$354,E11)</f>
        <v/>
      </c>
      <c r="K11" s="15" t="str">
        <f>INDEX('Valuación diaria'!$M$5:$M$354,E11)</f>
        <v/>
      </c>
      <c r="L11" s="14">
        <f>COUNTIFS(CETES!$A$5:$A$95,A11,CETES!$B$5:$B$95,C11)</f>
        <v>0</v>
      </c>
      <c r="M11" s="14" t="str">
        <f>IF(L11=0,"",INDEX(CETES!$E$5:$E$95,MATCH(A11&amp;"|"&amp;C11,CETES!$AG$5:$AG$95,0)))</f>
        <v/>
      </c>
      <c r="N11" s="26" t="str">
        <f>IF(L11=0,"",INDEX(CETES!$AD$5:$AD$95,MATCH(A11&amp;"|"&amp;C11,CETES!$AG$5:$AG$95,0)))</f>
        <v/>
      </c>
      <c r="O11" s="15" t="str">
        <f>IF(L11=0,"",INDEX(CETES!$Y$5:$Y$95,MATCH(A11&amp;"|"&amp;C11,CETES!$AG$5:$AG$95,0)))</f>
        <v/>
      </c>
      <c r="P11" s="15" t="str">
        <f>IF(L11=0,"",INDEX(CETES!$Z$5:$Z$95,MATCH(A11&amp;"|"&amp;C11,CETES!$AG$5:$AG$95,0)))</f>
        <v/>
      </c>
      <c r="Q11" s="17">
        <f>INDEX('Valuación diaria'!$O$5:$O$354,E11)</f>
        <v>0</v>
      </c>
      <c r="R11" s="17">
        <f>INDEX('Valuación diaria'!$P$5:$P$354,E11)</f>
        <v>0</v>
      </c>
    </row>
    <row r="12" spans="1:18" x14ac:dyDescent="0.3">
      <c r="A12" s="20">
        <v>46278</v>
      </c>
      <c r="B12" s="21" t="s">
        <v>94</v>
      </c>
      <c r="C12" s="21" t="s">
        <v>137</v>
      </c>
      <c r="D12" s="21" t="s">
        <v>112</v>
      </c>
      <c r="E12" s="14">
        <f>MATCH(A12&amp;"|"&amp;B12&amp;"|"&amp;C12&amp;"|"&amp;D12,'Valuación diaria'!$S$5:$S$354,0)</f>
        <v>38</v>
      </c>
      <c r="F12" s="11" t="str">
        <f>IF(COUNTIFS(Transacciones!$T$5:$T$20,B12&amp;"|"&amp;C12&amp;"|"&amp;D12,Transacciones!$F$5:$F$20,"&lt;="&amp;A12)&gt;0,"sí","no")</f>
        <v>no</v>
      </c>
      <c r="G12" s="14">
        <f>INDEX('Valuación diaria'!$I$5:$I$354,E12)</f>
        <v>0</v>
      </c>
      <c r="H12" s="18">
        <f>INDEX('Valuación diaria'!$K$5:$K$354,E12)</f>
        <v>0</v>
      </c>
      <c r="I12" s="17">
        <f>INDEX('Valuación diaria'!$L$5:$L$354,E12)</f>
        <v>0</v>
      </c>
      <c r="J12" s="18" t="str">
        <f>INDEX('Valuación diaria'!$N$5:$N$354,E12)</f>
        <v/>
      </c>
      <c r="K12" s="15" t="str">
        <f>INDEX('Valuación diaria'!$M$5:$M$354,E12)</f>
        <v/>
      </c>
      <c r="L12" s="14">
        <f>COUNTIFS(CETES!$A$5:$A$95,A12,CETES!$B$5:$B$95,C12)</f>
        <v>0</v>
      </c>
      <c r="M12" s="14" t="str">
        <f>IF(L12=0,"",INDEX(CETES!$E$5:$E$95,MATCH(A12&amp;"|"&amp;C12,CETES!$AG$5:$AG$95,0)))</f>
        <v/>
      </c>
      <c r="N12" s="26" t="str">
        <f>IF(L12=0,"",INDEX(CETES!$AD$5:$AD$95,MATCH(A12&amp;"|"&amp;C12,CETES!$AG$5:$AG$95,0)))</f>
        <v/>
      </c>
      <c r="O12" s="15" t="str">
        <f>IF(L12=0,"",INDEX(CETES!$Y$5:$Y$95,MATCH(A12&amp;"|"&amp;C12,CETES!$AG$5:$AG$95,0)))</f>
        <v/>
      </c>
      <c r="P12" s="15" t="str">
        <f>IF(L12=0,"",INDEX(CETES!$Z$5:$Z$95,MATCH(A12&amp;"|"&amp;C12,CETES!$AG$5:$AG$95,0)))</f>
        <v/>
      </c>
      <c r="Q12" s="17">
        <f>INDEX('Valuación diaria'!$O$5:$O$354,E12)</f>
        <v>0</v>
      </c>
      <c r="R12" s="17">
        <f>INDEX('Valuación diaria'!$P$5:$P$354,E12)</f>
        <v>0</v>
      </c>
    </row>
    <row r="13" spans="1:18" x14ac:dyDescent="0.3">
      <c r="A13" s="20">
        <v>46278</v>
      </c>
      <c r="B13" s="21" t="s">
        <v>94</v>
      </c>
      <c r="C13" s="21" t="s">
        <v>139</v>
      </c>
      <c r="D13" s="21" t="s">
        <v>113</v>
      </c>
      <c r="E13" s="14">
        <f>MATCH(A13&amp;"|"&amp;B13&amp;"|"&amp;C13&amp;"|"&amp;D13,'Valuación diaria'!$S$5:$S$354,0)</f>
        <v>39</v>
      </c>
      <c r="F13" s="11" t="str">
        <f>IF(COUNTIFS(Transacciones!$T$5:$T$20,B13&amp;"|"&amp;C13&amp;"|"&amp;D13,Transacciones!$F$5:$F$20,"&lt;="&amp;A13)&gt;0,"sí","no")</f>
        <v>no</v>
      </c>
      <c r="G13" s="14">
        <f>INDEX('Valuación diaria'!$I$5:$I$354,E13)</f>
        <v>0</v>
      </c>
      <c r="H13" s="18">
        <f>INDEX('Valuación diaria'!$K$5:$K$354,E13)</f>
        <v>0</v>
      </c>
      <c r="I13" s="17">
        <f>INDEX('Valuación diaria'!$L$5:$L$354,E13)</f>
        <v>0</v>
      </c>
      <c r="J13" s="18" t="str">
        <f>INDEX('Valuación diaria'!$N$5:$N$354,E13)</f>
        <v/>
      </c>
      <c r="K13" s="15" t="str">
        <f>INDEX('Valuación diaria'!$M$5:$M$354,E13)</f>
        <v/>
      </c>
      <c r="L13" s="14">
        <f>COUNTIFS(CETES!$A$5:$A$95,A13,CETES!$B$5:$B$95,C13)</f>
        <v>0</v>
      </c>
      <c r="M13" s="14" t="str">
        <f>IF(L13=0,"",INDEX(CETES!$E$5:$E$95,MATCH(A13&amp;"|"&amp;C13,CETES!$AG$5:$AG$95,0)))</f>
        <v/>
      </c>
      <c r="N13" s="26" t="str">
        <f>IF(L13=0,"",INDEX(CETES!$AD$5:$AD$95,MATCH(A13&amp;"|"&amp;C13,CETES!$AG$5:$AG$95,0)))</f>
        <v/>
      </c>
      <c r="O13" s="15" t="str">
        <f>IF(L13=0,"",INDEX(CETES!$Y$5:$Y$95,MATCH(A13&amp;"|"&amp;C13,CETES!$AG$5:$AG$95,0)))</f>
        <v/>
      </c>
      <c r="P13" s="15" t="str">
        <f>IF(L13=0,"",INDEX(CETES!$Z$5:$Z$95,MATCH(A13&amp;"|"&amp;C13,CETES!$AG$5:$AG$95,0)))</f>
        <v/>
      </c>
      <c r="Q13" s="17">
        <f>INDEX('Valuación diaria'!$O$5:$O$354,E13)</f>
        <v>0</v>
      </c>
      <c r="R13" s="17">
        <f>INDEX('Valuación diaria'!$P$5:$P$354,E13)</f>
        <v>0</v>
      </c>
    </row>
    <row r="14" spans="1:18" x14ac:dyDescent="0.3">
      <c r="A14" s="20">
        <v>46278</v>
      </c>
      <c r="B14" s="21" t="s">
        <v>103</v>
      </c>
      <c r="C14" s="21" t="s">
        <v>123</v>
      </c>
      <c r="D14" s="21" t="s">
        <v>112</v>
      </c>
      <c r="E14" s="14">
        <f>MATCH(A14&amp;"|"&amp;B14&amp;"|"&amp;C14&amp;"|"&amp;D14,'Valuación diaria'!$S$5:$S$354,0)</f>
        <v>40</v>
      </c>
      <c r="F14" s="11" t="str">
        <f>IF(COUNTIFS(Transacciones!$T$5:$T$20,B14&amp;"|"&amp;C14&amp;"|"&amp;D14,Transacciones!$F$5:$F$20,"&lt;="&amp;A14)&gt;0,"sí","no")</f>
        <v>no</v>
      </c>
      <c r="G14" s="14">
        <f>INDEX('Valuación diaria'!$I$5:$I$354,E14)</f>
        <v>0</v>
      </c>
      <c r="H14" s="18">
        <f>INDEX('Valuación diaria'!$K$5:$K$354,E14)</f>
        <v>0</v>
      </c>
      <c r="I14" s="17">
        <f>INDEX('Valuación diaria'!$L$5:$L$354,E14)</f>
        <v>0</v>
      </c>
      <c r="J14" s="18">
        <f>INDEX('Valuación diaria'!$N$5:$N$354,E14)</f>
        <v>101.85</v>
      </c>
      <c r="K14" s="15">
        <f>INDEX('Valuación diaria'!$M$5:$M$354,E14)</f>
        <v>46276</v>
      </c>
      <c r="L14" s="14">
        <f>COUNTIFS(CETES!$A$5:$A$95,A14,CETES!$B$5:$B$95,C14)</f>
        <v>0</v>
      </c>
      <c r="M14" s="14" t="str">
        <f>IF(L14=0,"",INDEX(CETES!$E$5:$E$95,MATCH(A14&amp;"|"&amp;C14,CETES!$AG$5:$AG$95,0)))</f>
        <v/>
      </c>
      <c r="N14" s="26" t="str">
        <f>IF(L14=0,"",INDEX(CETES!$AD$5:$AD$95,MATCH(A14&amp;"|"&amp;C14,CETES!$AG$5:$AG$95,0)))</f>
        <v/>
      </c>
      <c r="O14" s="15" t="str">
        <f>IF(L14=0,"",INDEX(CETES!$Y$5:$Y$95,MATCH(A14&amp;"|"&amp;C14,CETES!$AG$5:$AG$95,0)))</f>
        <v/>
      </c>
      <c r="P14" s="15" t="str">
        <f>IF(L14=0,"",INDEX(CETES!$Z$5:$Z$95,MATCH(A14&amp;"|"&amp;C14,CETES!$AG$5:$AG$95,0)))</f>
        <v/>
      </c>
      <c r="Q14" s="17">
        <f>INDEX('Valuación diaria'!$O$5:$O$354,E14)</f>
        <v>0</v>
      </c>
      <c r="R14" s="17">
        <f>INDEX('Valuación diaria'!$P$5:$P$354,E14)</f>
        <v>0</v>
      </c>
    </row>
    <row r="15" spans="1:18" x14ac:dyDescent="0.3">
      <c r="A15" s="20">
        <v>46281</v>
      </c>
      <c r="B15" s="21" t="s">
        <v>94</v>
      </c>
      <c r="C15" s="21" t="s">
        <v>123</v>
      </c>
      <c r="D15" s="21" t="s">
        <v>112</v>
      </c>
      <c r="E15" s="14">
        <f>MATCH(A15&amp;"|"&amp;B15&amp;"|"&amp;C15&amp;"|"&amp;D15,'Valuación diaria'!$S$5:$S$354,0)</f>
        <v>61</v>
      </c>
      <c r="F15" s="11" t="str">
        <f>IF(COUNTIFS(Transacciones!$T$5:$T$20,B15&amp;"|"&amp;C15&amp;"|"&amp;D15,Transacciones!$F$5:$F$20,"&lt;="&amp;A15)&gt;0,"sí","no")</f>
        <v>sí</v>
      </c>
      <c r="G15" s="14">
        <f>INDEX('Valuación diaria'!$I$5:$I$354,E15)</f>
        <v>200</v>
      </c>
      <c r="H15" s="18">
        <f>INDEX('Valuación diaria'!$K$5:$K$354,E15)</f>
        <v>100.23985</v>
      </c>
      <c r="I15" s="17">
        <f>INDEX('Valuación diaria'!$L$5:$L$354,E15)</f>
        <v>20047.97</v>
      </c>
      <c r="J15" s="18">
        <f>INDEX('Valuación diaria'!$N$5:$N$354,E15)</f>
        <v>104.75</v>
      </c>
      <c r="K15" s="15">
        <f>INDEX('Valuación diaria'!$M$5:$M$354,E15)</f>
        <v>46280</v>
      </c>
      <c r="L15" s="14">
        <f>COUNTIFS(CETES!$A$5:$A$95,A15,CETES!$B$5:$B$95,C15)</f>
        <v>0</v>
      </c>
      <c r="M15" s="14" t="str">
        <f>IF(L15=0,"",INDEX(CETES!$E$5:$E$95,MATCH(A15&amp;"|"&amp;C15,CETES!$AG$5:$AG$95,0)))</f>
        <v/>
      </c>
      <c r="N15" s="26" t="str">
        <f>IF(L15=0,"",INDEX(CETES!$AD$5:$AD$95,MATCH(A15&amp;"|"&amp;C15,CETES!$AG$5:$AG$95,0)))</f>
        <v/>
      </c>
      <c r="O15" s="15" t="str">
        <f>IF(L15=0,"",INDEX(CETES!$Y$5:$Y$95,MATCH(A15&amp;"|"&amp;C15,CETES!$AG$5:$AG$95,0)))</f>
        <v/>
      </c>
      <c r="P15" s="15" t="str">
        <f>IF(L15=0,"",INDEX(CETES!$Z$5:$Z$95,MATCH(A15&amp;"|"&amp;C15,CETES!$AG$5:$AG$95,0)))</f>
        <v/>
      </c>
      <c r="Q15" s="17">
        <f>INDEX('Valuación diaria'!$O$5:$O$354,E15)</f>
        <v>20950</v>
      </c>
      <c r="R15" s="17">
        <f>INDEX('Valuación diaria'!$P$5:$P$354,E15)</f>
        <v>902.02999999999884</v>
      </c>
    </row>
    <row r="16" spans="1:18" x14ac:dyDescent="0.3">
      <c r="A16" s="20">
        <v>46281</v>
      </c>
      <c r="B16" s="21" t="s">
        <v>94</v>
      </c>
      <c r="C16" s="21" t="s">
        <v>123</v>
      </c>
      <c r="D16" s="21" t="s">
        <v>113</v>
      </c>
      <c r="E16" s="14">
        <f>MATCH(A16&amp;"|"&amp;B16&amp;"|"&amp;C16&amp;"|"&amp;D16,'Valuación diaria'!$S$5:$S$354,0)</f>
        <v>62</v>
      </c>
      <c r="F16" s="11" t="str">
        <f>IF(COUNTIFS(Transacciones!$T$5:$T$20,B16&amp;"|"&amp;C16&amp;"|"&amp;D16,Transacciones!$F$5:$F$20,"&lt;="&amp;A16)&gt;0,"sí","no")</f>
        <v>sí</v>
      </c>
      <c r="G16" s="14">
        <f>INDEX('Valuación diaria'!$I$5:$I$354,E16)</f>
        <v>100</v>
      </c>
      <c r="H16" s="18">
        <f>INDEX('Valuación diaria'!$K$5:$K$354,E16)</f>
        <v>103.399</v>
      </c>
      <c r="I16" s="17">
        <f>INDEX('Valuación diaria'!$L$5:$L$354,E16)</f>
        <v>10339.9</v>
      </c>
      <c r="J16" s="18">
        <f>INDEX('Valuación diaria'!$N$5:$N$354,E16)</f>
        <v>104.75</v>
      </c>
      <c r="K16" s="15">
        <f>INDEX('Valuación diaria'!$M$5:$M$354,E16)</f>
        <v>46280</v>
      </c>
      <c r="L16" s="14">
        <f>COUNTIFS(CETES!$A$5:$A$95,A16,CETES!$B$5:$B$95,C16)</f>
        <v>0</v>
      </c>
      <c r="M16" s="14" t="str">
        <f>IF(L16=0,"",INDEX(CETES!$E$5:$E$95,MATCH(A16&amp;"|"&amp;C16,CETES!$AG$5:$AG$95,0)))</f>
        <v/>
      </c>
      <c r="N16" s="26" t="str">
        <f>IF(L16=0,"",INDEX(CETES!$AD$5:$AD$95,MATCH(A16&amp;"|"&amp;C16,CETES!$AG$5:$AG$95,0)))</f>
        <v/>
      </c>
      <c r="O16" s="15" t="str">
        <f>IF(L16=0,"",INDEX(CETES!$Y$5:$Y$95,MATCH(A16&amp;"|"&amp;C16,CETES!$AG$5:$AG$95,0)))</f>
        <v/>
      </c>
      <c r="P16" s="15" t="str">
        <f>IF(L16=0,"",INDEX(CETES!$Z$5:$Z$95,MATCH(A16&amp;"|"&amp;C16,CETES!$AG$5:$AG$95,0)))</f>
        <v/>
      </c>
      <c r="Q16" s="17">
        <f>INDEX('Valuación diaria'!$O$5:$O$354,E16)</f>
        <v>10475</v>
      </c>
      <c r="R16" s="17">
        <f>INDEX('Valuación diaria'!$P$5:$P$354,E16)</f>
        <v>135.10000000000036</v>
      </c>
    </row>
    <row r="17" spans="1:18" x14ac:dyDescent="0.3">
      <c r="A17" s="20">
        <v>46281</v>
      </c>
      <c r="B17" s="21" t="s">
        <v>94</v>
      </c>
      <c r="C17" s="21" t="s">
        <v>126</v>
      </c>
      <c r="D17" s="21" t="s">
        <v>113</v>
      </c>
      <c r="E17" s="14">
        <f>MATCH(A17&amp;"|"&amp;B17&amp;"|"&amp;C17&amp;"|"&amp;D17,'Valuación diaria'!$S$5:$S$354,0)</f>
        <v>63</v>
      </c>
      <c r="F17" s="11" t="str">
        <f>IF(COUNTIFS(Transacciones!$T$5:$T$20,B17&amp;"|"&amp;C17&amp;"|"&amp;D17,Transacciones!$F$5:$F$20,"&lt;="&amp;A17)&gt;0,"sí","no")</f>
        <v>sí</v>
      </c>
      <c r="G17" s="14">
        <f>INDEX('Valuación diaria'!$I$5:$I$354,E17)</f>
        <v>100</v>
      </c>
      <c r="H17" s="18">
        <f>INDEX('Valuación diaria'!$K$5:$K$354,E17)</f>
        <v>50.195100000000004</v>
      </c>
      <c r="I17" s="17">
        <f>INDEX('Valuación diaria'!$L$5:$L$354,E17)</f>
        <v>5019.51</v>
      </c>
      <c r="J17" s="18">
        <f>INDEX('Valuación diaria'!$N$5:$N$354,E17)</f>
        <v>51.48</v>
      </c>
      <c r="K17" s="15">
        <f>INDEX('Valuación diaria'!$M$5:$M$354,E17)</f>
        <v>46280</v>
      </c>
      <c r="L17" s="14">
        <f>COUNTIFS(CETES!$A$5:$A$95,A17,CETES!$B$5:$B$95,C17)</f>
        <v>0</v>
      </c>
      <c r="M17" s="14" t="str">
        <f>IF(L17=0,"",INDEX(CETES!$E$5:$E$95,MATCH(A17&amp;"|"&amp;C17,CETES!$AG$5:$AG$95,0)))</f>
        <v/>
      </c>
      <c r="N17" s="26" t="str">
        <f>IF(L17=0,"",INDEX(CETES!$AD$5:$AD$95,MATCH(A17&amp;"|"&amp;C17,CETES!$AG$5:$AG$95,0)))</f>
        <v/>
      </c>
      <c r="O17" s="15" t="str">
        <f>IF(L17=0,"",INDEX(CETES!$Y$5:$Y$95,MATCH(A17&amp;"|"&amp;C17,CETES!$AG$5:$AG$95,0)))</f>
        <v/>
      </c>
      <c r="P17" s="15" t="str">
        <f>IF(L17=0,"",INDEX(CETES!$Z$5:$Z$95,MATCH(A17&amp;"|"&amp;C17,CETES!$AG$5:$AG$95,0)))</f>
        <v/>
      </c>
      <c r="Q17" s="17">
        <f>INDEX('Valuación diaria'!$O$5:$O$354,E17)</f>
        <v>5148</v>
      </c>
      <c r="R17" s="17">
        <f>INDEX('Valuación diaria'!$P$5:$P$354,E17)</f>
        <v>128.48999999999978</v>
      </c>
    </row>
    <row r="18" spans="1:18" x14ac:dyDescent="0.3">
      <c r="A18" s="20">
        <v>46281</v>
      </c>
      <c r="B18" s="21" t="s">
        <v>94</v>
      </c>
      <c r="C18" s="21" t="s">
        <v>129</v>
      </c>
      <c r="D18" s="21" t="s">
        <v>112</v>
      </c>
      <c r="E18" s="14">
        <f>MATCH(A18&amp;"|"&amp;B18&amp;"|"&amp;C18&amp;"|"&amp;D18,'Valuación diaria'!$S$5:$S$354,0)</f>
        <v>64</v>
      </c>
      <c r="F18" s="11" t="str">
        <f>IF(COUNTIFS(Transacciones!$T$5:$T$20,B18&amp;"|"&amp;C18&amp;"|"&amp;D18,Transacciones!$F$5:$F$20,"&lt;="&amp;A18)&gt;0,"sí","no")</f>
        <v>sí</v>
      </c>
      <c r="G18" s="14">
        <f>INDEX('Valuación diaria'!$I$5:$I$354,E18)</f>
        <v>400</v>
      </c>
      <c r="H18" s="18">
        <f>INDEX('Valuación diaria'!$K$5:$K$354,E18)</f>
        <v>25.054949999999998</v>
      </c>
      <c r="I18" s="17">
        <f>INDEX('Valuación diaria'!$L$5:$L$354,E18)</f>
        <v>10021.98</v>
      </c>
      <c r="J18" s="18">
        <f>INDEX('Valuación diaria'!$N$5:$N$354,E18)</f>
        <v>25.41</v>
      </c>
      <c r="K18" s="15">
        <f>INDEX('Valuación diaria'!$M$5:$M$354,E18)</f>
        <v>46280</v>
      </c>
      <c r="L18" s="14">
        <f>COUNTIFS(CETES!$A$5:$A$95,A18,CETES!$B$5:$B$95,C18)</f>
        <v>0</v>
      </c>
      <c r="M18" s="14" t="str">
        <f>IF(L18=0,"",INDEX(CETES!$E$5:$E$95,MATCH(A18&amp;"|"&amp;C18,CETES!$AG$5:$AG$95,0)))</f>
        <v/>
      </c>
      <c r="N18" s="26" t="str">
        <f>IF(L18=0,"",INDEX(CETES!$AD$5:$AD$95,MATCH(A18&amp;"|"&amp;C18,CETES!$AG$5:$AG$95,0)))</f>
        <v/>
      </c>
      <c r="O18" s="15" t="str">
        <f>IF(L18=0,"",INDEX(CETES!$Y$5:$Y$95,MATCH(A18&amp;"|"&amp;C18,CETES!$AG$5:$AG$95,0)))</f>
        <v/>
      </c>
      <c r="P18" s="15" t="str">
        <f>IF(L18=0,"",INDEX(CETES!$Z$5:$Z$95,MATCH(A18&amp;"|"&amp;C18,CETES!$AG$5:$AG$95,0)))</f>
        <v/>
      </c>
      <c r="Q18" s="17">
        <f>INDEX('Valuación diaria'!$O$5:$O$354,E18)</f>
        <v>10164</v>
      </c>
      <c r="R18" s="17">
        <f>INDEX('Valuación diaria'!$P$5:$P$354,E18)</f>
        <v>142.02000000000044</v>
      </c>
    </row>
    <row r="19" spans="1:18" x14ac:dyDescent="0.3">
      <c r="A19" s="20">
        <v>46281</v>
      </c>
      <c r="B19" s="21" t="s">
        <v>94</v>
      </c>
      <c r="C19" s="21" t="s">
        <v>132</v>
      </c>
      <c r="D19" s="21" t="s">
        <v>112</v>
      </c>
      <c r="E19" s="14">
        <f>MATCH(A19&amp;"|"&amp;B19&amp;"|"&amp;C19&amp;"|"&amp;D19,'Valuación diaria'!$S$5:$S$354,0)</f>
        <v>65</v>
      </c>
      <c r="F19" s="11" t="str">
        <f>IF(COUNTIFS(Transacciones!$T$5:$T$20,B19&amp;"|"&amp;C19&amp;"|"&amp;D19,Transacciones!$F$5:$F$20,"&lt;="&amp;A19)&gt;0,"sí","no")</f>
        <v>sí</v>
      </c>
      <c r="G19" s="14">
        <f>INDEX('Valuación diaria'!$I$5:$I$354,E19)</f>
        <v>1500</v>
      </c>
      <c r="H19" s="18">
        <f>INDEX('Valuación diaria'!$K$5:$K$354,E19)</f>
        <v>9.9516240000000007</v>
      </c>
      <c r="I19" s="17">
        <f>INDEX('Valuación diaria'!$L$5:$L$354,E19)</f>
        <v>14927.436000000002</v>
      </c>
      <c r="J19" s="18">
        <f>INDEX('Valuación diaria'!$N$5:$N$354,E19)</f>
        <v>9.9619508999999997</v>
      </c>
      <c r="K19" s="15">
        <f>INDEX('Valuación diaria'!$M$5:$M$354,E19)</f>
        <v>46281</v>
      </c>
      <c r="L19" s="14">
        <f>COUNTIFS(CETES!$A$5:$A$95,A19,CETES!$B$5:$B$95,C19)</f>
        <v>1</v>
      </c>
      <c r="M19" s="14">
        <f>IF(L19=0,"",INDEX(CETES!$E$5:$E$95,MATCH(A19&amp;"|"&amp;C19,CETES!$AG$5:$AG$95,0)))</f>
        <v>22</v>
      </c>
      <c r="N19" s="26">
        <f>IF(L19=0,"",INDEX(CETES!$AD$5:$AD$95,MATCH(A19&amp;"|"&amp;C19,CETES!$AG$5:$AG$95,0)))</f>
        <v>6.25</v>
      </c>
      <c r="O19" s="15">
        <f>IF(L19=0,"",INDEX(CETES!$Y$5:$Y$95,MATCH(A19&amp;"|"&amp;C19,CETES!$AG$5:$AG$95,0)))</f>
        <v>46275</v>
      </c>
      <c r="P19" s="15">
        <f>IF(L19=0,"",INDEX(CETES!$Z$5:$Z$95,MATCH(A19&amp;"|"&amp;C19,CETES!$AG$5:$AG$95,0)))</f>
        <v>46275</v>
      </c>
      <c r="Q19" s="17">
        <f>INDEX('Valuación diaria'!$O$5:$O$354,E19)</f>
        <v>14942.92635</v>
      </c>
      <c r="R19" s="17">
        <f>INDEX('Valuación diaria'!$P$5:$P$354,E19)</f>
        <v>15.490349999998216</v>
      </c>
    </row>
    <row r="20" spans="1:18" x14ac:dyDescent="0.3">
      <c r="A20" s="20">
        <v>46281</v>
      </c>
      <c r="B20" s="21" t="s">
        <v>94</v>
      </c>
      <c r="C20" s="21" t="s">
        <v>132</v>
      </c>
      <c r="D20" s="21" t="s">
        <v>113</v>
      </c>
      <c r="E20" s="14">
        <f>MATCH(A20&amp;"|"&amp;B20&amp;"|"&amp;C20&amp;"|"&amp;D20,'Valuación diaria'!$S$5:$S$354,0)</f>
        <v>66</v>
      </c>
      <c r="F20" s="11" t="str">
        <f>IF(COUNTIFS(Transacciones!$T$5:$T$20,B20&amp;"|"&amp;C20&amp;"|"&amp;D20,Transacciones!$F$5:$F$20,"&lt;="&amp;A20)&gt;0,"sí","no")</f>
        <v>sí</v>
      </c>
      <c r="G20" s="14">
        <f>INDEX('Valuación diaria'!$I$5:$I$354,E20)</f>
        <v>1000</v>
      </c>
      <c r="H20" s="18">
        <f>INDEX('Valuación diaria'!$K$5:$K$354,E20)</f>
        <v>9.9516239999999989</v>
      </c>
      <c r="I20" s="17">
        <f>INDEX('Valuación diaria'!$L$5:$L$354,E20)</f>
        <v>9951.6239999999998</v>
      </c>
      <c r="J20" s="18">
        <f>INDEX('Valuación diaria'!$N$5:$N$354,E20)</f>
        <v>9.9619508999999997</v>
      </c>
      <c r="K20" s="15">
        <f>INDEX('Valuación diaria'!$M$5:$M$354,E20)</f>
        <v>46281</v>
      </c>
      <c r="L20" s="14">
        <f>COUNTIFS(CETES!$A$5:$A$95,A20,CETES!$B$5:$B$95,C20)</f>
        <v>1</v>
      </c>
      <c r="M20" s="14">
        <f>IF(L20=0,"",INDEX(CETES!$E$5:$E$95,MATCH(A20&amp;"|"&amp;C20,CETES!$AG$5:$AG$95,0)))</f>
        <v>22</v>
      </c>
      <c r="N20" s="26">
        <f>IF(L20=0,"",INDEX(CETES!$AD$5:$AD$95,MATCH(A20&amp;"|"&amp;C20,CETES!$AG$5:$AG$95,0)))</f>
        <v>6.25</v>
      </c>
      <c r="O20" s="15">
        <f>IF(L20=0,"",INDEX(CETES!$Y$5:$Y$95,MATCH(A20&amp;"|"&amp;C20,CETES!$AG$5:$AG$95,0)))</f>
        <v>46275</v>
      </c>
      <c r="P20" s="15">
        <f>IF(L20=0,"",INDEX(CETES!$Z$5:$Z$95,MATCH(A20&amp;"|"&amp;C20,CETES!$AG$5:$AG$95,0)))</f>
        <v>46275</v>
      </c>
      <c r="Q20" s="17">
        <f>INDEX('Valuación diaria'!$O$5:$O$354,E20)</f>
        <v>9961.9508999999998</v>
      </c>
      <c r="R20" s="17">
        <f>INDEX('Valuación diaria'!$P$5:$P$354,E20)</f>
        <v>10.326900000000023</v>
      </c>
    </row>
    <row r="21" spans="1:18" x14ac:dyDescent="0.3">
      <c r="A21" s="20">
        <v>46281</v>
      </c>
      <c r="B21" s="21" t="s">
        <v>94</v>
      </c>
      <c r="C21" s="21" t="s">
        <v>135</v>
      </c>
      <c r="D21" s="21" t="s">
        <v>113</v>
      </c>
      <c r="E21" s="14">
        <f>MATCH(A21&amp;"|"&amp;B21&amp;"|"&amp;C21&amp;"|"&amp;D21,'Valuación diaria'!$S$5:$S$354,0)</f>
        <v>67</v>
      </c>
      <c r="F21" s="11" t="str">
        <f>IF(COUNTIFS(Transacciones!$T$5:$T$20,B21&amp;"|"&amp;C21&amp;"|"&amp;D21,Transacciones!$F$5:$F$20,"&lt;="&amp;A21)&gt;0,"sí","no")</f>
        <v>no</v>
      </c>
      <c r="G21" s="14">
        <f>INDEX('Valuación diaria'!$I$5:$I$354,E21)</f>
        <v>0</v>
      </c>
      <c r="H21" s="18">
        <f>INDEX('Valuación diaria'!$K$5:$K$354,E21)</f>
        <v>0</v>
      </c>
      <c r="I21" s="17">
        <f>INDEX('Valuación diaria'!$L$5:$L$354,E21)</f>
        <v>0</v>
      </c>
      <c r="J21" s="18" t="str">
        <f>INDEX('Valuación diaria'!$N$5:$N$354,E21)</f>
        <v/>
      </c>
      <c r="K21" s="15" t="str">
        <f>INDEX('Valuación diaria'!$M$5:$M$354,E21)</f>
        <v/>
      </c>
      <c r="L21" s="14">
        <f>COUNTIFS(CETES!$A$5:$A$95,A21,CETES!$B$5:$B$95,C21)</f>
        <v>0</v>
      </c>
      <c r="M21" s="14" t="str">
        <f>IF(L21=0,"",INDEX(CETES!$E$5:$E$95,MATCH(A21&amp;"|"&amp;C21,CETES!$AG$5:$AG$95,0)))</f>
        <v/>
      </c>
      <c r="N21" s="26" t="str">
        <f>IF(L21=0,"",INDEX(CETES!$AD$5:$AD$95,MATCH(A21&amp;"|"&amp;C21,CETES!$AG$5:$AG$95,0)))</f>
        <v/>
      </c>
      <c r="O21" s="15" t="str">
        <f>IF(L21=0,"",INDEX(CETES!$Y$5:$Y$95,MATCH(A21&amp;"|"&amp;C21,CETES!$AG$5:$AG$95,0)))</f>
        <v/>
      </c>
      <c r="P21" s="15" t="str">
        <f>IF(L21=0,"",INDEX(CETES!$Z$5:$Z$95,MATCH(A21&amp;"|"&amp;C21,CETES!$AG$5:$AG$95,0)))</f>
        <v/>
      </c>
      <c r="Q21" s="17">
        <f>INDEX('Valuación diaria'!$O$5:$O$354,E21)</f>
        <v>0</v>
      </c>
      <c r="R21" s="17">
        <f>INDEX('Valuación diaria'!$P$5:$P$354,E21)</f>
        <v>0</v>
      </c>
    </row>
    <row r="22" spans="1:18" x14ac:dyDescent="0.3">
      <c r="A22" s="20">
        <v>46281</v>
      </c>
      <c r="B22" s="21" t="s">
        <v>94</v>
      </c>
      <c r="C22" s="21" t="s">
        <v>137</v>
      </c>
      <c r="D22" s="21" t="s">
        <v>112</v>
      </c>
      <c r="E22" s="14">
        <f>MATCH(A22&amp;"|"&amp;B22&amp;"|"&amp;C22&amp;"|"&amp;D22,'Valuación diaria'!$S$5:$S$354,0)</f>
        <v>68</v>
      </c>
      <c r="F22" s="11" t="str">
        <f>IF(COUNTIFS(Transacciones!$T$5:$T$20,B22&amp;"|"&amp;C22&amp;"|"&amp;D22,Transacciones!$F$5:$F$20,"&lt;="&amp;A22)&gt;0,"sí","no")</f>
        <v>no</v>
      </c>
      <c r="G22" s="14">
        <f>INDEX('Valuación diaria'!$I$5:$I$354,E22)</f>
        <v>0</v>
      </c>
      <c r="H22" s="18">
        <f>INDEX('Valuación diaria'!$K$5:$K$354,E22)</f>
        <v>0</v>
      </c>
      <c r="I22" s="17">
        <f>INDEX('Valuación diaria'!$L$5:$L$354,E22)</f>
        <v>0</v>
      </c>
      <c r="J22" s="18" t="str">
        <f>INDEX('Valuación diaria'!$N$5:$N$354,E22)</f>
        <v/>
      </c>
      <c r="K22" s="15" t="str">
        <f>INDEX('Valuación diaria'!$M$5:$M$354,E22)</f>
        <v/>
      </c>
      <c r="L22" s="14">
        <f>COUNTIFS(CETES!$A$5:$A$95,A22,CETES!$B$5:$B$95,C22)</f>
        <v>0</v>
      </c>
      <c r="M22" s="14" t="str">
        <f>IF(L22=0,"",INDEX(CETES!$E$5:$E$95,MATCH(A22&amp;"|"&amp;C22,CETES!$AG$5:$AG$95,0)))</f>
        <v/>
      </c>
      <c r="N22" s="26" t="str">
        <f>IF(L22=0,"",INDEX(CETES!$AD$5:$AD$95,MATCH(A22&amp;"|"&amp;C22,CETES!$AG$5:$AG$95,0)))</f>
        <v/>
      </c>
      <c r="O22" s="15" t="str">
        <f>IF(L22=0,"",INDEX(CETES!$Y$5:$Y$95,MATCH(A22&amp;"|"&amp;C22,CETES!$AG$5:$AG$95,0)))</f>
        <v/>
      </c>
      <c r="P22" s="15" t="str">
        <f>IF(L22=0,"",INDEX(CETES!$Z$5:$Z$95,MATCH(A22&amp;"|"&amp;C22,CETES!$AG$5:$AG$95,0)))</f>
        <v/>
      </c>
      <c r="Q22" s="17">
        <f>INDEX('Valuación diaria'!$O$5:$O$354,E22)</f>
        <v>0</v>
      </c>
      <c r="R22" s="17">
        <f>INDEX('Valuación diaria'!$P$5:$P$354,E22)</f>
        <v>0</v>
      </c>
    </row>
    <row r="23" spans="1:18" x14ac:dyDescent="0.3">
      <c r="A23" s="20">
        <v>46281</v>
      </c>
      <c r="B23" s="21" t="s">
        <v>94</v>
      </c>
      <c r="C23" s="21" t="s">
        <v>139</v>
      </c>
      <c r="D23" s="21" t="s">
        <v>113</v>
      </c>
      <c r="E23" s="14">
        <f>MATCH(A23&amp;"|"&amp;B23&amp;"|"&amp;C23&amp;"|"&amp;D23,'Valuación diaria'!$S$5:$S$354,0)</f>
        <v>69</v>
      </c>
      <c r="F23" s="11" t="str">
        <f>IF(COUNTIFS(Transacciones!$T$5:$T$20,B23&amp;"|"&amp;C23&amp;"|"&amp;D23,Transacciones!$F$5:$F$20,"&lt;="&amp;A23)&gt;0,"sí","no")</f>
        <v>no</v>
      </c>
      <c r="G23" s="14">
        <f>INDEX('Valuación diaria'!$I$5:$I$354,E23)</f>
        <v>0</v>
      </c>
      <c r="H23" s="18">
        <f>INDEX('Valuación diaria'!$K$5:$K$354,E23)</f>
        <v>0</v>
      </c>
      <c r="I23" s="17">
        <f>INDEX('Valuación diaria'!$L$5:$L$354,E23)</f>
        <v>0</v>
      </c>
      <c r="J23" s="18" t="str">
        <f>INDEX('Valuación diaria'!$N$5:$N$354,E23)</f>
        <v/>
      </c>
      <c r="K23" s="15" t="str">
        <f>INDEX('Valuación diaria'!$M$5:$M$354,E23)</f>
        <v/>
      </c>
      <c r="L23" s="14">
        <f>COUNTIFS(CETES!$A$5:$A$95,A23,CETES!$B$5:$B$95,C23)</f>
        <v>0</v>
      </c>
      <c r="M23" s="14" t="str">
        <f>IF(L23=0,"",INDEX(CETES!$E$5:$E$95,MATCH(A23&amp;"|"&amp;C23,CETES!$AG$5:$AG$95,0)))</f>
        <v/>
      </c>
      <c r="N23" s="26" t="str">
        <f>IF(L23=0,"",INDEX(CETES!$AD$5:$AD$95,MATCH(A23&amp;"|"&amp;C23,CETES!$AG$5:$AG$95,0)))</f>
        <v/>
      </c>
      <c r="O23" s="15" t="str">
        <f>IF(L23=0,"",INDEX(CETES!$Y$5:$Y$95,MATCH(A23&amp;"|"&amp;C23,CETES!$AG$5:$AG$95,0)))</f>
        <v/>
      </c>
      <c r="P23" s="15" t="str">
        <f>IF(L23=0,"",INDEX(CETES!$Z$5:$Z$95,MATCH(A23&amp;"|"&amp;C23,CETES!$AG$5:$AG$95,0)))</f>
        <v/>
      </c>
      <c r="Q23" s="17">
        <f>INDEX('Valuación diaria'!$O$5:$O$354,E23)</f>
        <v>0</v>
      </c>
      <c r="R23" s="17">
        <f>INDEX('Valuación diaria'!$P$5:$P$354,E23)</f>
        <v>0</v>
      </c>
    </row>
    <row r="24" spans="1:18" x14ac:dyDescent="0.3">
      <c r="A24" s="20">
        <v>46281</v>
      </c>
      <c r="B24" s="21" t="s">
        <v>103</v>
      </c>
      <c r="C24" s="21" t="s">
        <v>123</v>
      </c>
      <c r="D24" s="21" t="s">
        <v>112</v>
      </c>
      <c r="E24" s="14">
        <f>MATCH(A24&amp;"|"&amp;B24&amp;"|"&amp;C24&amp;"|"&amp;D24,'Valuación diaria'!$S$5:$S$354,0)</f>
        <v>70</v>
      </c>
      <c r="F24" s="11" t="str">
        <f>IF(COUNTIFS(Transacciones!$T$5:$T$20,B24&amp;"|"&amp;C24&amp;"|"&amp;D24,Transacciones!$F$5:$F$20,"&lt;="&amp;A24)&gt;0,"sí","no")</f>
        <v>sí</v>
      </c>
      <c r="G24" s="14">
        <f>INDEX('Valuación diaria'!$I$5:$I$354,E24)</f>
        <v>150</v>
      </c>
      <c r="H24" s="18">
        <f>INDEX('Valuación diaria'!$K$5:$K$354,E24)</f>
        <v>103.90046666666666</v>
      </c>
      <c r="I24" s="17">
        <f>INDEX('Valuación diaria'!$L$5:$L$354,E24)</f>
        <v>15585.07</v>
      </c>
      <c r="J24" s="18">
        <f>INDEX('Valuación diaria'!$N$5:$N$354,E24)</f>
        <v>104.75</v>
      </c>
      <c r="K24" s="15">
        <f>INDEX('Valuación diaria'!$M$5:$M$354,E24)</f>
        <v>46280</v>
      </c>
      <c r="L24" s="14">
        <f>COUNTIFS(CETES!$A$5:$A$95,A24,CETES!$B$5:$B$95,C24)</f>
        <v>0</v>
      </c>
      <c r="M24" s="14" t="str">
        <f>IF(L24=0,"",INDEX(CETES!$E$5:$E$95,MATCH(A24&amp;"|"&amp;C24,CETES!$AG$5:$AG$95,0)))</f>
        <v/>
      </c>
      <c r="N24" s="26" t="str">
        <f>IF(L24=0,"",INDEX(CETES!$AD$5:$AD$95,MATCH(A24&amp;"|"&amp;C24,CETES!$AG$5:$AG$95,0)))</f>
        <v/>
      </c>
      <c r="O24" s="15" t="str">
        <f>IF(L24=0,"",INDEX(CETES!$Y$5:$Y$95,MATCH(A24&amp;"|"&amp;C24,CETES!$AG$5:$AG$95,0)))</f>
        <v/>
      </c>
      <c r="P24" s="15" t="str">
        <f>IF(L24=0,"",INDEX(CETES!$Z$5:$Z$95,MATCH(A24&amp;"|"&amp;C24,CETES!$AG$5:$AG$95,0)))</f>
        <v/>
      </c>
      <c r="Q24" s="17">
        <f>INDEX('Valuación diaria'!$O$5:$O$354,E24)</f>
        <v>15712.5</v>
      </c>
      <c r="R24" s="17">
        <f>INDEX('Valuación diaria'!$P$5:$P$354,E24)</f>
        <v>127.43000000000029</v>
      </c>
    </row>
    <row r="25" spans="1:18" x14ac:dyDescent="0.3">
      <c r="A25" s="20">
        <v>46303</v>
      </c>
      <c r="B25" s="21" t="s">
        <v>94</v>
      </c>
      <c r="C25" s="21" t="s">
        <v>123</v>
      </c>
      <c r="D25" s="21" t="s">
        <v>112</v>
      </c>
      <c r="E25" s="14">
        <f>MATCH(A25&amp;"|"&amp;B25&amp;"|"&amp;C25&amp;"|"&amp;D25,'Valuación diaria'!$S$5:$S$354,0)</f>
        <v>281</v>
      </c>
      <c r="F25" s="11" t="str">
        <f>IF(COUNTIFS(Transacciones!$T$5:$T$20,B25&amp;"|"&amp;C25&amp;"|"&amp;D25,Transacciones!$F$5:$F$20,"&lt;="&amp;A25)&gt;0,"sí","no")</f>
        <v>sí</v>
      </c>
      <c r="G25" s="14">
        <f>INDEX('Valuación diaria'!$I$5:$I$354,E25)</f>
        <v>120</v>
      </c>
      <c r="H25" s="18">
        <f>INDEX('Valuación diaria'!$K$5:$K$354,E25)</f>
        <v>100.23985</v>
      </c>
      <c r="I25" s="17">
        <f>INDEX('Valuación diaria'!$L$5:$L$354,E25)</f>
        <v>12028.782000000001</v>
      </c>
      <c r="J25" s="18">
        <f>INDEX('Valuación diaria'!$N$5:$N$354,E25)</f>
        <v>107.4</v>
      </c>
      <c r="K25" s="15">
        <f>INDEX('Valuación diaria'!$M$5:$M$354,E25)</f>
        <v>46303</v>
      </c>
      <c r="L25" s="14">
        <f>COUNTIFS(CETES!$A$5:$A$95,A25,CETES!$B$5:$B$95,C25)</f>
        <v>0</v>
      </c>
      <c r="M25" s="14" t="str">
        <f>IF(L25=0,"",INDEX(CETES!$E$5:$E$95,MATCH(A25&amp;"|"&amp;C25,CETES!$AG$5:$AG$95,0)))</f>
        <v/>
      </c>
      <c r="N25" s="26" t="str">
        <f>IF(L25=0,"",INDEX(CETES!$AD$5:$AD$95,MATCH(A25&amp;"|"&amp;C25,CETES!$AG$5:$AG$95,0)))</f>
        <v/>
      </c>
      <c r="O25" s="15" t="str">
        <f>IF(L25=0,"",INDEX(CETES!$Y$5:$Y$95,MATCH(A25&amp;"|"&amp;C25,CETES!$AG$5:$AG$95,0)))</f>
        <v/>
      </c>
      <c r="P25" s="15" t="str">
        <f>IF(L25=0,"",INDEX(CETES!$Z$5:$Z$95,MATCH(A25&amp;"|"&amp;C25,CETES!$AG$5:$AG$95,0)))</f>
        <v/>
      </c>
      <c r="Q25" s="17">
        <f>INDEX('Valuación diaria'!$O$5:$O$354,E25)</f>
        <v>12888</v>
      </c>
      <c r="R25" s="17">
        <f>INDEX('Valuación diaria'!$P$5:$P$354,E25)</f>
        <v>859.21799999999894</v>
      </c>
    </row>
    <row r="26" spans="1:18" x14ac:dyDescent="0.3">
      <c r="A26" s="20">
        <v>46303</v>
      </c>
      <c r="B26" s="21" t="s">
        <v>94</v>
      </c>
      <c r="C26" s="21" t="s">
        <v>123</v>
      </c>
      <c r="D26" s="21" t="s">
        <v>113</v>
      </c>
      <c r="E26" s="14">
        <f>MATCH(A26&amp;"|"&amp;B26&amp;"|"&amp;C26&amp;"|"&amp;D26,'Valuación diaria'!$S$5:$S$354,0)</f>
        <v>282</v>
      </c>
      <c r="F26" s="11" t="str">
        <f>IF(COUNTIFS(Transacciones!$T$5:$T$20,B26&amp;"|"&amp;C26&amp;"|"&amp;D26,Transacciones!$F$5:$F$20,"&lt;="&amp;A26)&gt;0,"sí","no")</f>
        <v>sí</v>
      </c>
      <c r="G26" s="14">
        <f>INDEX('Valuación diaria'!$I$5:$I$354,E26)</f>
        <v>100</v>
      </c>
      <c r="H26" s="18">
        <f>INDEX('Valuación diaria'!$K$5:$K$354,E26)</f>
        <v>103.399</v>
      </c>
      <c r="I26" s="17">
        <f>INDEX('Valuación diaria'!$L$5:$L$354,E26)</f>
        <v>10339.9</v>
      </c>
      <c r="J26" s="18">
        <f>INDEX('Valuación diaria'!$N$5:$N$354,E26)</f>
        <v>107.4</v>
      </c>
      <c r="K26" s="15">
        <f>INDEX('Valuación diaria'!$M$5:$M$354,E26)</f>
        <v>46303</v>
      </c>
      <c r="L26" s="14">
        <f>COUNTIFS(CETES!$A$5:$A$95,A26,CETES!$B$5:$B$95,C26)</f>
        <v>0</v>
      </c>
      <c r="M26" s="14" t="str">
        <f>IF(L26=0,"",INDEX(CETES!$E$5:$E$95,MATCH(A26&amp;"|"&amp;C26,CETES!$AG$5:$AG$95,0)))</f>
        <v/>
      </c>
      <c r="N26" s="26" t="str">
        <f>IF(L26=0,"",INDEX(CETES!$AD$5:$AD$95,MATCH(A26&amp;"|"&amp;C26,CETES!$AG$5:$AG$95,0)))</f>
        <v/>
      </c>
      <c r="O26" s="15" t="str">
        <f>IF(L26=0,"",INDEX(CETES!$Y$5:$Y$95,MATCH(A26&amp;"|"&amp;C26,CETES!$AG$5:$AG$95,0)))</f>
        <v/>
      </c>
      <c r="P26" s="15" t="str">
        <f>IF(L26=0,"",INDEX(CETES!$Z$5:$Z$95,MATCH(A26&amp;"|"&amp;C26,CETES!$AG$5:$AG$95,0)))</f>
        <v/>
      </c>
      <c r="Q26" s="17">
        <f>INDEX('Valuación diaria'!$O$5:$O$354,E26)</f>
        <v>10740</v>
      </c>
      <c r="R26" s="17">
        <f>INDEX('Valuación diaria'!$P$5:$P$354,E26)</f>
        <v>400.10000000000036</v>
      </c>
    </row>
    <row r="27" spans="1:18" x14ac:dyDescent="0.3">
      <c r="A27" s="20">
        <v>46303</v>
      </c>
      <c r="B27" s="21" t="s">
        <v>94</v>
      </c>
      <c r="C27" s="21" t="s">
        <v>126</v>
      </c>
      <c r="D27" s="21" t="s">
        <v>113</v>
      </c>
      <c r="E27" s="14">
        <f>MATCH(A27&amp;"|"&amp;B27&amp;"|"&amp;C27&amp;"|"&amp;D27,'Valuación diaria'!$S$5:$S$354,0)</f>
        <v>283</v>
      </c>
      <c r="F27" s="11" t="str">
        <f>IF(COUNTIFS(Transacciones!$T$5:$T$20,B27&amp;"|"&amp;C27&amp;"|"&amp;D27,Transacciones!$F$5:$F$20,"&lt;="&amp;A27)&gt;0,"sí","no")</f>
        <v>sí</v>
      </c>
      <c r="G27" s="14">
        <f>INDEX('Valuación diaria'!$I$5:$I$354,E27)</f>
        <v>40</v>
      </c>
      <c r="H27" s="18">
        <f>INDEX('Valuación diaria'!$K$5:$K$354,E27)</f>
        <v>49.386499999999998</v>
      </c>
      <c r="I27" s="17">
        <f>INDEX('Valuación diaria'!$L$5:$L$354,E27)</f>
        <v>1975.46</v>
      </c>
      <c r="J27" s="18">
        <f>INDEX('Valuación diaria'!$N$5:$N$354,E27)</f>
        <v>51.77</v>
      </c>
      <c r="K27" s="15">
        <f>INDEX('Valuación diaria'!$M$5:$M$354,E27)</f>
        <v>46303</v>
      </c>
      <c r="L27" s="14">
        <f>COUNTIFS(CETES!$A$5:$A$95,A27,CETES!$B$5:$B$95,C27)</f>
        <v>0</v>
      </c>
      <c r="M27" s="14" t="str">
        <f>IF(L27=0,"",INDEX(CETES!$E$5:$E$95,MATCH(A27&amp;"|"&amp;C27,CETES!$AG$5:$AG$95,0)))</f>
        <v/>
      </c>
      <c r="N27" s="26" t="str">
        <f>IF(L27=0,"",INDEX(CETES!$AD$5:$AD$95,MATCH(A27&amp;"|"&amp;C27,CETES!$AG$5:$AG$95,0)))</f>
        <v/>
      </c>
      <c r="O27" s="15" t="str">
        <f>IF(L27=0,"",INDEX(CETES!$Y$5:$Y$95,MATCH(A27&amp;"|"&amp;C27,CETES!$AG$5:$AG$95,0)))</f>
        <v/>
      </c>
      <c r="P27" s="15" t="str">
        <f>IF(L27=0,"",INDEX(CETES!$Z$5:$Z$95,MATCH(A27&amp;"|"&amp;C27,CETES!$AG$5:$AG$95,0)))</f>
        <v/>
      </c>
      <c r="Q27" s="17">
        <f>INDEX('Valuación diaria'!$O$5:$O$354,E27)</f>
        <v>2070.8000000000002</v>
      </c>
      <c r="R27" s="17">
        <f>INDEX('Valuación diaria'!$P$5:$P$354,E27)</f>
        <v>95.340000000000146</v>
      </c>
    </row>
    <row r="28" spans="1:18" x14ac:dyDescent="0.3">
      <c r="A28" s="20">
        <v>46303</v>
      </c>
      <c r="B28" s="21" t="s">
        <v>94</v>
      </c>
      <c r="C28" s="21" t="s">
        <v>129</v>
      </c>
      <c r="D28" s="21" t="s">
        <v>112</v>
      </c>
      <c r="E28" s="14">
        <f>MATCH(A28&amp;"|"&amp;B28&amp;"|"&amp;C28&amp;"|"&amp;D28,'Valuación diaria'!$S$5:$S$354,0)</f>
        <v>284</v>
      </c>
      <c r="F28" s="11" t="str">
        <f>IF(COUNTIFS(Transacciones!$T$5:$T$20,B28&amp;"|"&amp;C28&amp;"|"&amp;D28,Transacciones!$F$5:$F$20,"&lt;="&amp;A28)&gt;0,"sí","no")</f>
        <v>sí</v>
      </c>
      <c r="G28" s="14">
        <f>INDEX('Valuación diaria'!$I$5:$I$354,E28)</f>
        <v>300</v>
      </c>
      <c r="H28" s="18">
        <f>INDEX('Valuación diaria'!$K$5:$K$354,E28)</f>
        <v>24.4833</v>
      </c>
      <c r="I28" s="17">
        <f>INDEX('Valuación diaria'!$L$5:$L$354,E28)</f>
        <v>7344.99</v>
      </c>
      <c r="J28" s="18">
        <f>INDEX('Valuación diaria'!$N$5:$N$354,E28)</f>
        <v>24.887499999999999</v>
      </c>
      <c r="K28" s="15">
        <f>INDEX('Valuación diaria'!$M$5:$M$354,E28)</f>
        <v>46302</v>
      </c>
      <c r="L28" s="14">
        <f>COUNTIFS(CETES!$A$5:$A$95,A28,CETES!$B$5:$B$95,C28)</f>
        <v>0</v>
      </c>
      <c r="M28" s="14" t="str">
        <f>IF(L28=0,"",INDEX(CETES!$E$5:$E$95,MATCH(A28&amp;"|"&amp;C28,CETES!$AG$5:$AG$95,0)))</f>
        <v/>
      </c>
      <c r="N28" s="26" t="str">
        <f>IF(L28=0,"",INDEX(CETES!$AD$5:$AD$95,MATCH(A28&amp;"|"&amp;C28,CETES!$AG$5:$AG$95,0)))</f>
        <v/>
      </c>
      <c r="O28" s="15" t="str">
        <f>IF(L28=0,"",INDEX(CETES!$Y$5:$Y$95,MATCH(A28&amp;"|"&amp;C28,CETES!$AG$5:$AG$95,0)))</f>
        <v/>
      </c>
      <c r="P28" s="15" t="str">
        <f>IF(L28=0,"",INDEX(CETES!$Z$5:$Z$95,MATCH(A28&amp;"|"&amp;C28,CETES!$AG$5:$AG$95,0)))</f>
        <v/>
      </c>
      <c r="Q28" s="17">
        <f>INDEX('Valuación diaria'!$O$5:$O$354,E28)</f>
        <v>7466.25</v>
      </c>
      <c r="R28" s="17">
        <f>INDEX('Valuación diaria'!$P$5:$P$354,E28)</f>
        <v>121.26000000000022</v>
      </c>
    </row>
    <row r="29" spans="1:18" x14ac:dyDescent="0.3">
      <c r="A29" s="20">
        <v>46303</v>
      </c>
      <c r="B29" s="21" t="s">
        <v>94</v>
      </c>
      <c r="C29" s="21" t="s">
        <v>132</v>
      </c>
      <c r="D29" s="21" t="s">
        <v>112</v>
      </c>
      <c r="E29" s="14">
        <f>MATCH(A29&amp;"|"&amp;B29&amp;"|"&amp;C29&amp;"|"&amp;D29,'Valuación diaria'!$S$5:$S$354,0)</f>
        <v>285</v>
      </c>
      <c r="F29" s="11" t="str">
        <f>IF(COUNTIFS(Transacciones!$T$5:$T$20,B29&amp;"|"&amp;C29&amp;"|"&amp;D29,Transacciones!$F$5:$F$20,"&lt;="&amp;A29)&gt;0,"sí","no")</f>
        <v>sí</v>
      </c>
      <c r="G29" s="14">
        <f>INDEX('Valuación diaria'!$I$5:$I$354,E29)</f>
        <v>0</v>
      </c>
      <c r="H29" s="18">
        <f>INDEX('Valuación diaria'!$K$5:$K$354,E29)</f>
        <v>0</v>
      </c>
      <c r="I29" s="17">
        <f>INDEX('Valuación diaria'!$L$5:$L$354,E29)</f>
        <v>0</v>
      </c>
      <c r="J29" s="18" t="str">
        <f>INDEX('Valuación diaria'!$N$5:$N$354,E29)</f>
        <v/>
      </c>
      <c r="K29" s="15" t="str">
        <f>INDEX('Valuación diaria'!$M$5:$M$354,E29)</f>
        <v/>
      </c>
      <c r="L29" s="14">
        <f>COUNTIFS(CETES!$A$5:$A$95,A29,CETES!$B$5:$B$95,C29)</f>
        <v>0</v>
      </c>
      <c r="M29" s="14" t="str">
        <f>IF(L29=0,"",INDEX(CETES!$E$5:$E$95,MATCH(A29&amp;"|"&amp;C29,CETES!$AG$5:$AG$95,0)))</f>
        <v/>
      </c>
      <c r="N29" s="26" t="str">
        <f>IF(L29=0,"",INDEX(CETES!$AD$5:$AD$95,MATCH(A29&amp;"|"&amp;C29,CETES!$AG$5:$AG$95,0)))</f>
        <v/>
      </c>
      <c r="O29" s="15" t="str">
        <f>IF(L29=0,"",INDEX(CETES!$Y$5:$Y$95,MATCH(A29&amp;"|"&amp;C29,CETES!$AG$5:$AG$95,0)))</f>
        <v/>
      </c>
      <c r="P29" s="15" t="str">
        <f>IF(L29=0,"",INDEX(CETES!$Z$5:$Z$95,MATCH(A29&amp;"|"&amp;C29,CETES!$AG$5:$AG$95,0)))</f>
        <v/>
      </c>
      <c r="Q29" s="17">
        <f>INDEX('Valuación diaria'!$O$5:$O$354,E29)</f>
        <v>0</v>
      </c>
      <c r="R29" s="17">
        <f>INDEX('Valuación diaria'!$P$5:$P$354,E29)</f>
        <v>0</v>
      </c>
    </row>
    <row r="30" spans="1:18" x14ac:dyDescent="0.3">
      <c r="A30" s="20">
        <v>46303</v>
      </c>
      <c r="B30" s="21" t="s">
        <v>94</v>
      </c>
      <c r="C30" s="21" t="s">
        <v>132</v>
      </c>
      <c r="D30" s="21" t="s">
        <v>113</v>
      </c>
      <c r="E30" s="14">
        <f>MATCH(A30&amp;"|"&amp;B30&amp;"|"&amp;C30&amp;"|"&amp;D30,'Valuación diaria'!$S$5:$S$354,0)</f>
        <v>286</v>
      </c>
      <c r="F30" s="11" t="str">
        <f>IF(COUNTIFS(Transacciones!$T$5:$T$20,B30&amp;"|"&amp;C30&amp;"|"&amp;D30,Transacciones!$F$5:$F$20,"&lt;="&amp;A30)&gt;0,"sí","no")</f>
        <v>sí</v>
      </c>
      <c r="G30" s="14">
        <f>INDEX('Valuación diaria'!$I$5:$I$354,E30)</f>
        <v>0</v>
      </c>
      <c r="H30" s="18">
        <f>INDEX('Valuación diaria'!$K$5:$K$354,E30)</f>
        <v>0</v>
      </c>
      <c r="I30" s="17">
        <f>INDEX('Valuación diaria'!$L$5:$L$354,E30)</f>
        <v>0</v>
      </c>
      <c r="J30" s="18" t="str">
        <f>INDEX('Valuación diaria'!$N$5:$N$354,E30)</f>
        <v/>
      </c>
      <c r="K30" s="15" t="str">
        <f>INDEX('Valuación diaria'!$M$5:$M$354,E30)</f>
        <v/>
      </c>
      <c r="L30" s="14">
        <f>COUNTIFS(CETES!$A$5:$A$95,A30,CETES!$B$5:$B$95,C30)</f>
        <v>0</v>
      </c>
      <c r="M30" s="14" t="str">
        <f>IF(L30=0,"",INDEX(CETES!$E$5:$E$95,MATCH(A30&amp;"|"&amp;C30,CETES!$AG$5:$AG$95,0)))</f>
        <v/>
      </c>
      <c r="N30" s="26" t="str">
        <f>IF(L30=0,"",INDEX(CETES!$AD$5:$AD$95,MATCH(A30&amp;"|"&amp;C30,CETES!$AG$5:$AG$95,0)))</f>
        <v/>
      </c>
      <c r="O30" s="15" t="str">
        <f>IF(L30=0,"",INDEX(CETES!$Y$5:$Y$95,MATCH(A30&amp;"|"&amp;C30,CETES!$AG$5:$AG$95,0)))</f>
        <v/>
      </c>
      <c r="P30" s="15" t="str">
        <f>IF(L30=0,"",INDEX(CETES!$Z$5:$Z$95,MATCH(A30&amp;"|"&amp;C30,CETES!$AG$5:$AG$95,0)))</f>
        <v/>
      </c>
      <c r="Q30" s="17">
        <f>INDEX('Valuación diaria'!$O$5:$O$354,E30)</f>
        <v>0</v>
      </c>
      <c r="R30" s="17">
        <f>INDEX('Valuación diaria'!$P$5:$P$354,E30)</f>
        <v>0</v>
      </c>
    </row>
    <row r="31" spans="1:18" x14ac:dyDescent="0.3">
      <c r="A31" s="20">
        <v>46303</v>
      </c>
      <c r="B31" s="21" t="s">
        <v>94</v>
      </c>
      <c r="C31" s="21" t="s">
        <v>135</v>
      </c>
      <c r="D31" s="21" t="s">
        <v>113</v>
      </c>
      <c r="E31" s="14">
        <f>MATCH(A31&amp;"|"&amp;B31&amp;"|"&amp;C31&amp;"|"&amp;D31,'Valuación diaria'!$S$5:$S$354,0)</f>
        <v>287</v>
      </c>
      <c r="F31" s="11" t="str">
        <f>IF(COUNTIFS(Transacciones!$T$5:$T$20,B31&amp;"|"&amp;C31&amp;"|"&amp;D31,Transacciones!$F$5:$F$20,"&lt;="&amp;A31)&gt;0,"sí","no")</f>
        <v>sí</v>
      </c>
      <c r="G31" s="14">
        <f>INDEX('Valuación diaria'!$I$5:$I$354,E31)</f>
        <v>1000</v>
      </c>
      <c r="H31" s="18">
        <f>INDEX('Valuación diaria'!$K$5:$K$354,E31)</f>
        <v>9.9528566000000005</v>
      </c>
      <c r="I31" s="17">
        <f>INDEX('Valuación diaria'!$L$5:$L$354,E31)</f>
        <v>9952.856600000001</v>
      </c>
      <c r="J31" s="18">
        <f>INDEX('Valuación diaria'!$N$5:$N$354,E31)</f>
        <v>9.9528566000000005</v>
      </c>
      <c r="K31" s="15">
        <f>INDEX('Valuación diaria'!$M$5:$M$354,E31)</f>
        <v>46303</v>
      </c>
      <c r="L31" s="14">
        <f>COUNTIFS(CETES!$A$5:$A$95,A31,CETES!$B$5:$B$95,C31)</f>
        <v>1</v>
      </c>
      <c r="M31" s="14">
        <f>IF(L31=0,"",INDEX(CETES!$E$5:$E$95,MATCH(A31&amp;"|"&amp;C31,CETES!$AG$5:$AG$95,0)))</f>
        <v>28</v>
      </c>
      <c r="N31" s="26">
        <f>IF(L31=0,"",INDEX(CETES!$AD$5:$AD$95,MATCH(A31&amp;"|"&amp;C31,CETES!$AG$5:$AG$95,0)))</f>
        <v>6.09</v>
      </c>
      <c r="O31" s="15">
        <f>IF(L31=0,"",INDEX(CETES!$Y$5:$Y$95,MATCH(A31&amp;"|"&amp;C31,CETES!$AG$5:$AG$95,0)))</f>
        <v>46303</v>
      </c>
      <c r="P31" s="15">
        <f>IF(L31=0,"",INDEX(CETES!$Z$5:$Z$95,MATCH(A31&amp;"|"&amp;C31,CETES!$AG$5:$AG$95,0)))</f>
        <v>46303</v>
      </c>
      <c r="Q31" s="17">
        <f>INDEX('Valuación diaria'!$O$5:$O$354,E31)</f>
        <v>9952.856600000001</v>
      </c>
      <c r="R31" s="17">
        <f>INDEX('Valuación diaria'!$P$5:$P$354,E31)</f>
        <v>0</v>
      </c>
    </row>
    <row r="32" spans="1:18" x14ac:dyDescent="0.3">
      <c r="A32" s="20">
        <v>46303</v>
      </c>
      <c r="B32" s="21" t="s">
        <v>94</v>
      </c>
      <c r="C32" s="21" t="s">
        <v>137</v>
      </c>
      <c r="D32" s="21" t="s">
        <v>112</v>
      </c>
      <c r="E32" s="14">
        <f>MATCH(A32&amp;"|"&amp;B32&amp;"|"&amp;C32&amp;"|"&amp;D32,'Valuación diaria'!$S$5:$S$354,0)</f>
        <v>288</v>
      </c>
      <c r="F32" s="11" t="str">
        <f>IF(COUNTIFS(Transacciones!$T$5:$T$20,B32&amp;"|"&amp;C32&amp;"|"&amp;D32,Transacciones!$F$5:$F$20,"&lt;="&amp;A32)&gt;0,"sí","no")</f>
        <v>sí</v>
      </c>
      <c r="G32" s="14">
        <f>INDEX('Valuación diaria'!$I$5:$I$354,E32)</f>
        <v>1000</v>
      </c>
      <c r="H32" s="18">
        <f>INDEX('Valuación diaria'!$K$5:$K$354,E32)</f>
        <v>9.8344372</v>
      </c>
      <c r="I32" s="17">
        <f>INDEX('Valuación diaria'!$L$5:$L$354,E32)</f>
        <v>9834.4372000000003</v>
      </c>
      <c r="J32" s="18">
        <f>INDEX('Valuación diaria'!$N$5:$N$354,E32)</f>
        <v>9.8742406000000003</v>
      </c>
      <c r="K32" s="15">
        <f>INDEX('Valuación diaria'!$M$5:$M$354,E32)</f>
        <v>46303</v>
      </c>
      <c r="L32" s="14">
        <f>COUNTIFS(CETES!$A$5:$A$95,A32,CETES!$B$5:$B$95,C32)</f>
        <v>1</v>
      </c>
      <c r="M32" s="14">
        <f>IF(L32=0,"",INDEX(CETES!$E$5:$E$95,MATCH(A32&amp;"|"&amp;C32,CETES!$AG$5:$AG$95,0)))</f>
        <v>70</v>
      </c>
      <c r="N32" s="26">
        <f>IF(L32=0,"",INDEX(CETES!$AD$5:$AD$95,MATCH(A32&amp;"|"&amp;C32,CETES!$AG$5:$AG$95,0)))</f>
        <v>6.55</v>
      </c>
      <c r="O32" s="15">
        <f>IF(L32=0,"",INDEX(CETES!$Y$5:$Y$95,MATCH(A32&amp;"|"&amp;C32,CETES!$AG$5:$AG$95,0)))</f>
        <v>46303</v>
      </c>
      <c r="P32" s="15">
        <f>IF(L32=0,"",INDEX(CETES!$Z$5:$Z$95,MATCH(A32&amp;"|"&amp;C32,CETES!$AG$5:$AG$95,0)))</f>
        <v>46303</v>
      </c>
      <c r="Q32" s="17">
        <f>INDEX('Valuación diaria'!$O$5:$O$354,E32)</f>
        <v>9874.240600000001</v>
      </c>
      <c r="R32" s="17">
        <f>INDEX('Valuación diaria'!$P$5:$P$354,E32)</f>
        <v>39.803400000000693</v>
      </c>
    </row>
    <row r="33" spans="1:18" x14ac:dyDescent="0.3">
      <c r="A33" s="20">
        <v>46303</v>
      </c>
      <c r="B33" s="21" t="s">
        <v>94</v>
      </c>
      <c r="C33" s="21" t="s">
        <v>139</v>
      </c>
      <c r="D33" s="21" t="s">
        <v>113</v>
      </c>
      <c r="E33" s="14">
        <f>MATCH(A33&amp;"|"&amp;B33&amp;"|"&amp;C33&amp;"|"&amp;D33,'Valuación diaria'!$S$5:$S$354,0)</f>
        <v>289</v>
      </c>
      <c r="F33" s="11" t="str">
        <f>IF(COUNTIFS(Transacciones!$T$5:$T$20,B33&amp;"|"&amp;C33&amp;"|"&amp;D33,Transacciones!$F$5:$F$20,"&lt;="&amp;A33)&gt;0,"sí","no")</f>
        <v>sí</v>
      </c>
      <c r="G33" s="14">
        <f>INDEX('Valuación diaria'!$I$5:$I$354,E33)</f>
        <v>500</v>
      </c>
      <c r="H33" s="18">
        <f>INDEX('Valuación diaria'!$K$5:$K$354,E33)</f>
        <v>9.6629249999999995</v>
      </c>
      <c r="I33" s="17">
        <f>INDEX('Valuación diaria'!$L$5:$L$354,E33)</f>
        <v>4831.4624999999996</v>
      </c>
      <c r="J33" s="18">
        <f>INDEX('Valuación diaria'!$N$5:$N$354,E33)</f>
        <v>9.7011450000000004</v>
      </c>
      <c r="K33" s="15">
        <f>INDEX('Valuación diaria'!$M$5:$M$354,E33)</f>
        <v>46303</v>
      </c>
      <c r="L33" s="14">
        <f>COUNTIFS(CETES!$A$5:$A$95,A33,CETES!$B$5:$B$95,C33)</f>
        <v>1</v>
      </c>
      <c r="M33" s="14">
        <f>IF(L33=0,"",INDEX(CETES!$E$5:$E$95,MATCH(A33&amp;"|"&amp;C33,CETES!$AG$5:$AG$95,0)))</f>
        <v>161</v>
      </c>
      <c r="N33" s="26">
        <f>IF(L33=0,"",INDEX(CETES!$AD$5:$AD$95,MATCH(A33&amp;"|"&amp;C33,CETES!$AG$5:$AG$95,0)))</f>
        <v>6.8883333333333336</v>
      </c>
      <c r="O33" s="15">
        <f>IF(L33=0,"",INDEX(CETES!$Y$5:$Y$95,MATCH(A33&amp;"|"&amp;C33,CETES!$AG$5:$AG$95,0)))</f>
        <v>46303</v>
      </c>
      <c r="P33" s="15">
        <f>IF(L33=0,"",INDEX(CETES!$Z$5:$Z$95,MATCH(A33&amp;"|"&amp;C33,CETES!$AG$5:$AG$95,0)))</f>
        <v>46303</v>
      </c>
      <c r="Q33" s="17">
        <f>INDEX('Valuación diaria'!$O$5:$O$354,E33)</f>
        <v>4850.5725000000002</v>
      </c>
      <c r="R33" s="17">
        <f>INDEX('Valuación diaria'!$P$5:$P$354,E33)</f>
        <v>19.110000000000582</v>
      </c>
    </row>
    <row r="34" spans="1:18" x14ac:dyDescent="0.3">
      <c r="A34" s="20">
        <v>46303</v>
      </c>
      <c r="B34" s="21" t="s">
        <v>103</v>
      </c>
      <c r="C34" s="21" t="s">
        <v>123</v>
      </c>
      <c r="D34" s="21" t="s">
        <v>112</v>
      </c>
      <c r="E34" s="14">
        <f>MATCH(A34&amp;"|"&amp;B34&amp;"|"&amp;C34&amp;"|"&amp;D34,'Valuación diaria'!$S$5:$S$354,0)</f>
        <v>290</v>
      </c>
      <c r="F34" s="11" t="str">
        <f>IF(COUNTIFS(Transacciones!$T$5:$T$20,B34&amp;"|"&amp;C34&amp;"|"&amp;D34,Transacciones!$F$5:$F$20,"&lt;="&amp;A34)&gt;0,"sí","no")</f>
        <v>sí</v>
      </c>
      <c r="G34" s="14">
        <f>INDEX('Valuación diaria'!$I$5:$I$354,E34)</f>
        <v>150</v>
      </c>
      <c r="H34" s="18">
        <f>INDEX('Valuación diaria'!$K$5:$K$354,E34)</f>
        <v>103.90046666666666</v>
      </c>
      <c r="I34" s="17">
        <f>INDEX('Valuación diaria'!$L$5:$L$354,E34)</f>
        <v>15585.07</v>
      </c>
      <c r="J34" s="18">
        <f>INDEX('Valuación diaria'!$N$5:$N$354,E34)</f>
        <v>107.4</v>
      </c>
      <c r="K34" s="15">
        <f>INDEX('Valuación diaria'!$M$5:$M$354,E34)</f>
        <v>46303</v>
      </c>
      <c r="L34" s="14">
        <f>COUNTIFS(CETES!$A$5:$A$95,A34,CETES!$B$5:$B$95,C34)</f>
        <v>0</v>
      </c>
      <c r="M34" s="14" t="str">
        <f>IF(L34=0,"",INDEX(CETES!$E$5:$E$95,MATCH(A34&amp;"|"&amp;C34,CETES!$AG$5:$AG$95,0)))</f>
        <v/>
      </c>
      <c r="N34" s="26" t="str">
        <f>IF(L34=0,"",INDEX(CETES!$AD$5:$AD$95,MATCH(A34&amp;"|"&amp;C34,CETES!$AG$5:$AG$95,0)))</f>
        <v/>
      </c>
      <c r="O34" s="15" t="str">
        <f>IF(L34=0,"",INDEX(CETES!$Y$5:$Y$95,MATCH(A34&amp;"|"&amp;C34,CETES!$AG$5:$AG$95,0)))</f>
        <v/>
      </c>
      <c r="P34" s="15" t="str">
        <f>IF(L34=0,"",INDEX(CETES!$Z$5:$Z$95,MATCH(A34&amp;"|"&amp;C34,CETES!$AG$5:$AG$95,0)))</f>
        <v/>
      </c>
      <c r="Q34" s="17">
        <f>INDEX('Valuación diaria'!$O$5:$O$354,E34)</f>
        <v>16110</v>
      </c>
      <c r="R34" s="17">
        <f>INDEX('Valuación diaria'!$P$5:$P$354,E34)</f>
        <v>524.93000000000029</v>
      </c>
    </row>
    <row r="35" spans="1:18" x14ac:dyDescent="0.3">
      <c r="A35" s="20">
        <v>46309</v>
      </c>
      <c r="B35" s="21" t="s">
        <v>94</v>
      </c>
      <c r="C35" s="21" t="s">
        <v>123</v>
      </c>
      <c r="D35" s="21" t="s">
        <v>112</v>
      </c>
      <c r="E35" s="14">
        <f>MATCH(A35&amp;"|"&amp;B35&amp;"|"&amp;C35&amp;"|"&amp;D35,'Valuación diaria'!$S$5:$S$354,0)</f>
        <v>341</v>
      </c>
      <c r="F35" s="11" t="str">
        <f>IF(COUNTIFS(Transacciones!$T$5:$T$20,B35&amp;"|"&amp;C35&amp;"|"&amp;D35,Transacciones!$F$5:$F$20,"&lt;="&amp;A35)&gt;0,"sí","no")</f>
        <v>sí</v>
      </c>
      <c r="G35" s="14">
        <f>INDEX('Valuación diaria'!$I$5:$I$354,E35)</f>
        <v>120</v>
      </c>
      <c r="H35" s="18">
        <f>INDEX('Valuación diaria'!$K$5:$K$354,E35)</f>
        <v>100.23985</v>
      </c>
      <c r="I35" s="17">
        <f>INDEX('Valuación diaria'!$L$5:$L$354,E35)</f>
        <v>12028.782000000001</v>
      </c>
      <c r="J35" s="18">
        <f>INDEX('Valuación diaria'!$N$5:$N$354,E35)</f>
        <v>111.05</v>
      </c>
      <c r="K35" s="15">
        <f>INDEX('Valuación diaria'!$M$5:$M$354,E35)</f>
        <v>46309</v>
      </c>
      <c r="L35" s="14">
        <f>COUNTIFS(CETES!$A$5:$A$95,A35,CETES!$B$5:$B$95,C35)</f>
        <v>0</v>
      </c>
      <c r="M35" s="14" t="str">
        <f>IF(L35=0,"",INDEX(CETES!$E$5:$E$95,MATCH(A35&amp;"|"&amp;C35,CETES!$AG$5:$AG$95,0)))</f>
        <v/>
      </c>
      <c r="N35" s="26" t="str">
        <f>IF(L35=0,"",INDEX(CETES!$AD$5:$AD$95,MATCH(A35&amp;"|"&amp;C35,CETES!$AG$5:$AG$95,0)))</f>
        <v/>
      </c>
      <c r="O35" s="15" t="str">
        <f>IF(L35=0,"",INDEX(CETES!$Y$5:$Y$95,MATCH(A35&amp;"|"&amp;C35,CETES!$AG$5:$AG$95,0)))</f>
        <v/>
      </c>
      <c r="P35" s="15" t="str">
        <f>IF(L35=0,"",INDEX(CETES!$Z$5:$Z$95,MATCH(A35&amp;"|"&amp;C35,CETES!$AG$5:$AG$95,0)))</f>
        <v/>
      </c>
      <c r="Q35" s="17">
        <f>INDEX('Valuación diaria'!$O$5:$O$354,E35)</f>
        <v>13326</v>
      </c>
      <c r="R35" s="17">
        <f>INDEX('Valuación diaria'!$P$5:$P$354,E35)</f>
        <v>1297.2179999999989</v>
      </c>
    </row>
    <row r="36" spans="1:18" x14ac:dyDescent="0.3">
      <c r="A36" s="20">
        <v>46309</v>
      </c>
      <c r="B36" s="21" t="s">
        <v>94</v>
      </c>
      <c r="C36" s="21" t="s">
        <v>123</v>
      </c>
      <c r="D36" s="21" t="s">
        <v>113</v>
      </c>
      <c r="E36" s="14">
        <f>MATCH(A36&amp;"|"&amp;B36&amp;"|"&amp;C36&amp;"|"&amp;D36,'Valuación diaria'!$S$5:$S$354,0)</f>
        <v>342</v>
      </c>
      <c r="F36" s="11" t="str">
        <f>IF(COUNTIFS(Transacciones!$T$5:$T$20,B36&amp;"|"&amp;C36&amp;"|"&amp;D36,Transacciones!$F$5:$F$20,"&lt;="&amp;A36)&gt;0,"sí","no")</f>
        <v>sí</v>
      </c>
      <c r="G36" s="14">
        <f>INDEX('Valuación diaria'!$I$5:$I$354,E36)</f>
        <v>100</v>
      </c>
      <c r="H36" s="18">
        <f>INDEX('Valuación diaria'!$K$5:$K$354,E36)</f>
        <v>103.399</v>
      </c>
      <c r="I36" s="17">
        <f>INDEX('Valuación diaria'!$L$5:$L$354,E36)</f>
        <v>10339.9</v>
      </c>
      <c r="J36" s="18">
        <f>INDEX('Valuación diaria'!$N$5:$N$354,E36)</f>
        <v>111.05</v>
      </c>
      <c r="K36" s="15">
        <f>INDEX('Valuación diaria'!$M$5:$M$354,E36)</f>
        <v>46309</v>
      </c>
      <c r="L36" s="14">
        <f>COUNTIFS(CETES!$A$5:$A$95,A36,CETES!$B$5:$B$95,C36)</f>
        <v>0</v>
      </c>
      <c r="M36" s="14" t="str">
        <f>IF(L36=0,"",INDEX(CETES!$E$5:$E$95,MATCH(A36&amp;"|"&amp;C36,CETES!$AG$5:$AG$95,0)))</f>
        <v/>
      </c>
      <c r="N36" s="26" t="str">
        <f>IF(L36=0,"",INDEX(CETES!$AD$5:$AD$95,MATCH(A36&amp;"|"&amp;C36,CETES!$AG$5:$AG$95,0)))</f>
        <v/>
      </c>
      <c r="O36" s="15" t="str">
        <f>IF(L36=0,"",INDEX(CETES!$Y$5:$Y$95,MATCH(A36&amp;"|"&amp;C36,CETES!$AG$5:$AG$95,0)))</f>
        <v/>
      </c>
      <c r="P36" s="15" t="str">
        <f>IF(L36=0,"",INDEX(CETES!$Z$5:$Z$95,MATCH(A36&amp;"|"&amp;C36,CETES!$AG$5:$AG$95,0)))</f>
        <v/>
      </c>
      <c r="Q36" s="17">
        <f>INDEX('Valuación diaria'!$O$5:$O$354,E36)</f>
        <v>11105</v>
      </c>
      <c r="R36" s="17">
        <f>INDEX('Valuación diaria'!$P$5:$P$354,E36)</f>
        <v>765.10000000000036</v>
      </c>
    </row>
    <row r="37" spans="1:18" x14ac:dyDescent="0.3">
      <c r="A37" s="20">
        <v>46309</v>
      </c>
      <c r="B37" s="21" t="s">
        <v>94</v>
      </c>
      <c r="C37" s="21" t="s">
        <v>126</v>
      </c>
      <c r="D37" s="21" t="s">
        <v>113</v>
      </c>
      <c r="E37" s="14">
        <f>MATCH(A37&amp;"|"&amp;B37&amp;"|"&amp;C37&amp;"|"&amp;D37,'Valuación diaria'!$S$5:$S$354,0)</f>
        <v>343</v>
      </c>
      <c r="F37" s="11" t="str">
        <f>IF(COUNTIFS(Transacciones!$T$5:$T$20,B37&amp;"|"&amp;C37&amp;"|"&amp;D37,Transacciones!$F$5:$F$20,"&lt;="&amp;A37)&gt;0,"sí","no")</f>
        <v>sí</v>
      </c>
      <c r="G37" s="14">
        <f>INDEX('Valuación diaria'!$I$5:$I$354,E37)</f>
        <v>40</v>
      </c>
      <c r="H37" s="18">
        <f>INDEX('Valuación diaria'!$K$5:$K$354,E37)</f>
        <v>49.386499999999998</v>
      </c>
      <c r="I37" s="17">
        <f>INDEX('Valuación diaria'!$L$5:$L$354,E37)</f>
        <v>1975.46</v>
      </c>
      <c r="J37" s="18">
        <f>INDEX('Valuación diaria'!$N$5:$N$354,E37)</f>
        <v>52.95</v>
      </c>
      <c r="K37" s="15">
        <f>INDEX('Valuación diaria'!$M$5:$M$354,E37)</f>
        <v>46309</v>
      </c>
      <c r="L37" s="14">
        <f>COUNTIFS(CETES!$A$5:$A$95,A37,CETES!$B$5:$B$95,C37)</f>
        <v>0</v>
      </c>
      <c r="M37" s="14" t="str">
        <f>IF(L37=0,"",INDEX(CETES!$E$5:$E$95,MATCH(A37&amp;"|"&amp;C37,CETES!$AG$5:$AG$95,0)))</f>
        <v/>
      </c>
      <c r="N37" s="26" t="str">
        <f>IF(L37=0,"",INDEX(CETES!$AD$5:$AD$95,MATCH(A37&amp;"|"&amp;C37,CETES!$AG$5:$AG$95,0)))</f>
        <v/>
      </c>
      <c r="O37" s="15" t="str">
        <f>IF(L37=0,"",INDEX(CETES!$Y$5:$Y$95,MATCH(A37&amp;"|"&amp;C37,CETES!$AG$5:$AG$95,0)))</f>
        <v/>
      </c>
      <c r="P37" s="15" t="str">
        <f>IF(L37=0,"",INDEX(CETES!$Z$5:$Z$95,MATCH(A37&amp;"|"&amp;C37,CETES!$AG$5:$AG$95,0)))</f>
        <v/>
      </c>
      <c r="Q37" s="17">
        <f>INDEX('Valuación diaria'!$O$5:$O$354,E37)</f>
        <v>2118</v>
      </c>
      <c r="R37" s="17">
        <f>INDEX('Valuación diaria'!$P$5:$P$354,E37)</f>
        <v>142.53999999999996</v>
      </c>
    </row>
    <row r="38" spans="1:18" x14ac:dyDescent="0.3">
      <c r="A38" s="20">
        <v>46309</v>
      </c>
      <c r="B38" s="21" t="s">
        <v>94</v>
      </c>
      <c r="C38" s="21" t="s">
        <v>129</v>
      </c>
      <c r="D38" s="21" t="s">
        <v>112</v>
      </c>
      <c r="E38" s="14">
        <f>MATCH(A38&amp;"|"&amp;B38&amp;"|"&amp;C38&amp;"|"&amp;D38,'Valuación diaria'!$S$5:$S$354,0)</f>
        <v>344</v>
      </c>
      <c r="F38" s="11" t="str">
        <f>IF(COUNTIFS(Transacciones!$T$5:$T$20,B38&amp;"|"&amp;C38&amp;"|"&amp;D38,Transacciones!$F$5:$F$20,"&lt;="&amp;A38)&gt;0,"sí","no")</f>
        <v>sí</v>
      </c>
      <c r="G38" s="14">
        <f>INDEX('Valuación diaria'!$I$5:$I$354,E38)</f>
        <v>300</v>
      </c>
      <c r="H38" s="18">
        <f>INDEX('Valuación diaria'!$K$5:$K$354,E38)</f>
        <v>24.4833</v>
      </c>
      <c r="I38" s="17">
        <f>INDEX('Valuación diaria'!$L$5:$L$354,E38)</f>
        <v>7344.99</v>
      </c>
      <c r="J38" s="18">
        <f>INDEX('Valuación diaria'!$N$5:$N$354,E38)</f>
        <v>25.622499999999999</v>
      </c>
      <c r="K38" s="15">
        <f>INDEX('Valuación diaria'!$M$5:$M$354,E38)</f>
        <v>46309</v>
      </c>
      <c r="L38" s="14">
        <f>COUNTIFS(CETES!$A$5:$A$95,A38,CETES!$B$5:$B$95,C38)</f>
        <v>0</v>
      </c>
      <c r="M38" s="14" t="str">
        <f>IF(L38=0,"",INDEX(CETES!$E$5:$E$95,MATCH(A38&amp;"|"&amp;C38,CETES!$AG$5:$AG$95,0)))</f>
        <v/>
      </c>
      <c r="N38" s="26" t="str">
        <f>IF(L38=0,"",INDEX(CETES!$AD$5:$AD$95,MATCH(A38&amp;"|"&amp;C38,CETES!$AG$5:$AG$95,0)))</f>
        <v/>
      </c>
      <c r="O38" s="15" t="str">
        <f>IF(L38=0,"",INDEX(CETES!$Y$5:$Y$95,MATCH(A38&amp;"|"&amp;C38,CETES!$AG$5:$AG$95,0)))</f>
        <v/>
      </c>
      <c r="P38" s="15" t="str">
        <f>IF(L38=0,"",INDEX(CETES!$Z$5:$Z$95,MATCH(A38&amp;"|"&amp;C38,CETES!$AG$5:$AG$95,0)))</f>
        <v/>
      </c>
      <c r="Q38" s="17">
        <f>INDEX('Valuación diaria'!$O$5:$O$354,E38)</f>
        <v>7686.75</v>
      </c>
      <c r="R38" s="17">
        <f>INDEX('Valuación diaria'!$P$5:$P$354,E38)</f>
        <v>341.76000000000022</v>
      </c>
    </row>
    <row r="39" spans="1:18" x14ac:dyDescent="0.3">
      <c r="A39" s="20">
        <v>46309</v>
      </c>
      <c r="B39" s="21" t="s">
        <v>94</v>
      </c>
      <c r="C39" s="21" t="s">
        <v>132</v>
      </c>
      <c r="D39" s="21" t="s">
        <v>112</v>
      </c>
      <c r="E39" s="14">
        <f>MATCH(A39&amp;"|"&amp;B39&amp;"|"&amp;C39&amp;"|"&amp;D39,'Valuación diaria'!$S$5:$S$354,0)</f>
        <v>345</v>
      </c>
      <c r="F39" s="11" t="str">
        <f>IF(COUNTIFS(Transacciones!$T$5:$T$20,B39&amp;"|"&amp;C39&amp;"|"&amp;D39,Transacciones!$F$5:$F$20,"&lt;="&amp;A39)&gt;0,"sí","no")</f>
        <v>sí</v>
      </c>
      <c r="G39" s="14">
        <f>INDEX('Valuación diaria'!$I$5:$I$354,E39)</f>
        <v>0</v>
      </c>
      <c r="H39" s="18">
        <f>INDEX('Valuación diaria'!$K$5:$K$354,E39)</f>
        <v>0</v>
      </c>
      <c r="I39" s="17">
        <f>INDEX('Valuación diaria'!$L$5:$L$354,E39)</f>
        <v>0</v>
      </c>
      <c r="J39" s="18" t="str">
        <f>INDEX('Valuación diaria'!$N$5:$N$354,E39)</f>
        <v/>
      </c>
      <c r="K39" s="15" t="str">
        <f>INDEX('Valuación diaria'!$M$5:$M$354,E39)</f>
        <v/>
      </c>
      <c r="L39" s="14">
        <f>COUNTIFS(CETES!$A$5:$A$95,A39,CETES!$B$5:$B$95,C39)</f>
        <v>0</v>
      </c>
      <c r="M39" s="14" t="str">
        <f>IF(L39=0,"",INDEX(CETES!$E$5:$E$95,MATCH(A39&amp;"|"&amp;C39,CETES!$AG$5:$AG$95,0)))</f>
        <v/>
      </c>
      <c r="N39" s="26" t="str">
        <f>IF(L39=0,"",INDEX(CETES!$AD$5:$AD$95,MATCH(A39&amp;"|"&amp;C39,CETES!$AG$5:$AG$95,0)))</f>
        <v/>
      </c>
      <c r="O39" s="15" t="str">
        <f>IF(L39=0,"",INDEX(CETES!$Y$5:$Y$95,MATCH(A39&amp;"|"&amp;C39,CETES!$AG$5:$AG$95,0)))</f>
        <v/>
      </c>
      <c r="P39" s="15" t="str">
        <f>IF(L39=0,"",INDEX(CETES!$Z$5:$Z$95,MATCH(A39&amp;"|"&amp;C39,CETES!$AG$5:$AG$95,0)))</f>
        <v/>
      </c>
      <c r="Q39" s="17">
        <f>INDEX('Valuación diaria'!$O$5:$O$354,E39)</f>
        <v>0</v>
      </c>
      <c r="R39" s="17">
        <f>INDEX('Valuación diaria'!$P$5:$P$354,E39)</f>
        <v>0</v>
      </c>
    </row>
    <row r="40" spans="1:18" x14ac:dyDescent="0.3">
      <c r="A40" s="20">
        <v>46309</v>
      </c>
      <c r="B40" s="21" t="s">
        <v>94</v>
      </c>
      <c r="C40" s="21" t="s">
        <v>132</v>
      </c>
      <c r="D40" s="21" t="s">
        <v>113</v>
      </c>
      <c r="E40" s="14">
        <f>MATCH(A40&amp;"|"&amp;B40&amp;"|"&amp;C40&amp;"|"&amp;D40,'Valuación diaria'!$S$5:$S$354,0)</f>
        <v>346</v>
      </c>
      <c r="F40" s="11" t="str">
        <f>IF(COUNTIFS(Transacciones!$T$5:$T$20,B40&amp;"|"&amp;C40&amp;"|"&amp;D40,Transacciones!$F$5:$F$20,"&lt;="&amp;A40)&gt;0,"sí","no")</f>
        <v>sí</v>
      </c>
      <c r="G40" s="14">
        <f>INDEX('Valuación diaria'!$I$5:$I$354,E40)</f>
        <v>0</v>
      </c>
      <c r="H40" s="18">
        <f>INDEX('Valuación diaria'!$K$5:$K$354,E40)</f>
        <v>0</v>
      </c>
      <c r="I40" s="17">
        <f>INDEX('Valuación diaria'!$L$5:$L$354,E40)</f>
        <v>0</v>
      </c>
      <c r="J40" s="18" t="str">
        <f>INDEX('Valuación diaria'!$N$5:$N$354,E40)</f>
        <v/>
      </c>
      <c r="K40" s="15" t="str">
        <f>INDEX('Valuación diaria'!$M$5:$M$354,E40)</f>
        <v/>
      </c>
      <c r="L40" s="14">
        <f>COUNTIFS(CETES!$A$5:$A$95,A40,CETES!$B$5:$B$95,C40)</f>
        <v>0</v>
      </c>
      <c r="M40" s="14" t="str">
        <f>IF(L40=0,"",INDEX(CETES!$E$5:$E$95,MATCH(A40&amp;"|"&amp;C40,CETES!$AG$5:$AG$95,0)))</f>
        <v/>
      </c>
      <c r="N40" s="26" t="str">
        <f>IF(L40=0,"",INDEX(CETES!$AD$5:$AD$95,MATCH(A40&amp;"|"&amp;C40,CETES!$AG$5:$AG$95,0)))</f>
        <v/>
      </c>
      <c r="O40" s="15" t="str">
        <f>IF(L40=0,"",INDEX(CETES!$Y$5:$Y$95,MATCH(A40&amp;"|"&amp;C40,CETES!$AG$5:$AG$95,0)))</f>
        <v/>
      </c>
      <c r="P40" s="15" t="str">
        <f>IF(L40=0,"",INDEX(CETES!$Z$5:$Z$95,MATCH(A40&amp;"|"&amp;C40,CETES!$AG$5:$AG$95,0)))</f>
        <v/>
      </c>
      <c r="Q40" s="17">
        <f>INDEX('Valuación diaria'!$O$5:$O$354,E40)</f>
        <v>0</v>
      </c>
      <c r="R40" s="17">
        <f>INDEX('Valuación diaria'!$P$5:$P$354,E40)</f>
        <v>0</v>
      </c>
    </row>
    <row r="41" spans="1:18" x14ac:dyDescent="0.3">
      <c r="A41" s="20">
        <v>46309</v>
      </c>
      <c r="B41" s="21" t="s">
        <v>94</v>
      </c>
      <c r="C41" s="21" t="s">
        <v>135</v>
      </c>
      <c r="D41" s="21" t="s">
        <v>113</v>
      </c>
      <c r="E41" s="14">
        <f>MATCH(A41&amp;"|"&amp;B41&amp;"|"&amp;C41&amp;"|"&amp;D41,'Valuación diaria'!$S$5:$S$354,0)</f>
        <v>347</v>
      </c>
      <c r="F41" s="11" t="str">
        <f>IF(COUNTIFS(Transacciones!$T$5:$T$20,B41&amp;"|"&amp;C41&amp;"|"&amp;D41,Transacciones!$F$5:$F$20,"&lt;="&amp;A41)&gt;0,"sí","no")</f>
        <v>sí</v>
      </c>
      <c r="G41" s="14">
        <f>INDEX('Valuación diaria'!$I$5:$I$354,E41)</f>
        <v>1000</v>
      </c>
      <c r="H41" s="18">
        <f>INDEX('Valuación diaria'!$K$5:$K$354,E41)</f>
        <v>9.9528566000000005</v>
      </c>
      <c r="I41" s="17">
        <f>INDEX('Valuación diaria'!$L$5:$L$354,E41)</f>
        <v>9952.856600000001</v>
      </c>
      <c r="J41" s="18">
        <f>INDEX('Valuación diaria'!$N$5:$N$354,E41)</f>
        <v>9.9629212999999996</v>
      </c>
      <c r="K41" s="15">
        <f>INDEX('Valuación diaria'!$M$5:$M$354,E41)</f>
        <v>46309</v>
      </c>
      <c r="L41" s="14">
        <f>COUNTIFS(CETES!$A$5:$A$95,A41,CETES!$B$5:$B$95,C41)</f>
        <v>1</v>
      </c>
      <c r="M41" s="14">
        <f>IF(L41=0,"",INDEX(CETES!$E$5:$E$95,MATCH(A41&amp;"|"&amp;C41,CETES!$AG$5:$AG$95,0)))</f>
        <v>22</v>
      </c>
      <c r="N41" s="26">
        <f>IF(L41=0,"",INDEX(CETES!$AD$5:$AD$95,MATCH(A41&amp;"|"&amp;C41,CETES!$AG$5:$AG$95,0)))</f>
        <v>6.09</v>
      </c>
      <c r="O41" s="15">
        <f>IF(L41=0,"",INDEX(CETES!$Y$5:$Y$95,MATCH(A41&amp;"|"&amp;C41,CETES!$AG$5:$AG$95,0)))</f>
        <v>46303</v>
      </c>
      <c r="P41" s="15">
        <f>IF(L41=0,"",INDEX(CETES!$Z$5:$Z$95,MATCH(A41&amp;"|"&amp;C41,CETES!$AG$5:$AG$95,0)))</f>
        <v>46303</v>
      </c>
      <c r="Q41" s="17">
        <f>INDEX('Valuación diaria'!$O$5:$O$354,E41)</f>
        <v>9962.9213</v>
      </c>
      <c r="R41" s="17">
        <f>INDEX('Valuación diaria'!$P$5:$P$354,E41)</f>
        <v>10.064699999998993</v>
      </c>
    </row>
    <row r="42" spans="1:18" x14ac:dyDescent="0.3">
      <c r="A42" s="20">
        <v>46309</v>
      </c>
      <c r="B42" s="21" t="s">
        <v>94</v>
      </c>
      <c r="C42" s="21" t="s">
        <v>137</v>
      </c>
      <c r="D42" s="21" t="s">
        <v>112</v>
      </c>
      <c r="E42" s="14">
        <f>MATCH(A42&amp;"|"&amp;B42&amp;"|"&amp;C42&amp;"|"&amp;D42,'Valuación diaria'!$S$5:$S$354,0)</f>
        <v>348</v>
      </c>
      <c r="F42" s="11" t="str">
        <f>IF(COUNTIFS(Transacciones!$T$5:$T$20,B42&amp;"|"&amp;C42&amp;"|"&amp;D42,Transacciones!$F$5:$F$20,"&lt;="&amp;A42)&gt;0,"sí","no")</f>
        <v>sí</v>
      </c>
      <c r="G42" s="14">
        <f>INDEX('Valuación diaria'!$I$5:$I$354,E42)</f>
        <v>1000</v>
      </c>
      <c r="H42" s="18">
        <f>INDEX('Valuación diaria'!$K$5:$K$354,E42)</f>
        <v>9.8344372</v>
      </c>
      <c r="I42" s="17">
        <f>INDEX('Valuación diaria'!$L$5:$L$354,E42)</f>
        <v>9834.4372000000003</v>
      </c>
      <c r="J42" s="18">
        <f>INDEX('Valuación diaria'!$N$5:$N$354,E42)</f>
        <v>9.8860375000000005</v>
      </c>
      <c r="K42" s="15">
        <f>INDEX('Valuación diaria'!$M$5:$M$354,E42)</f>
        <v>46309</v>
      </c>
      <c r="L42" s="14">
        <f>COUNTIFS(CETES!$A$5:$A$95,A42,CETES!$B$5:$B$95,C42)</f>
        <v>1</v>
      </c>
      <c r="M42" s="14">
        <f>IF(L42=0,"",INDEX(CETES!$E$5:$E$95,MATCH(A42&amp;"|"&amp;C42,CETES!$AG$5:$AG$95,0)))</f>
        <v>64</v>
      </c>
      <c r="N42" s="26">
        <f>IF(L42=0,"",INDEX(CETES!$AD$5:$AD$95,MATCH(A42&amp;"|"&amp;C42,CETES!$AG$5:$AG$95,0)))</f>
        <v>6.484285714285714</v>
      </c>
      <c r="O42" s="15">
        <f>IF(L42=0,"",INDEX(CETES!$Y$5:$Y$95,MATCH(A42&amp;"|"&amp;C42,CETES!$AG$5:$AG$95,0)))</f>
        <v>46303</v>
      </c>
      <c r="P42" s="15">
        <f>IF(L42=0,"",INDEX(CETES!$Z$5:$Z$95,MATCH(A42&amp;"|"&amp;C42,CETES!$AG$5:$AG$95,0)))</f>
        <v>46303</v>
      </c>
      <c r="Q42" s="17">
        <f>INDEX('Valuación diaria'!$O$5:$O$354,E42)</f>
        <v>9886.0375000000004</v>
      </c>
      <c r="R42" s="17">
        <f>INDEX('Valuación diaria'!$P$5:$P$354,E42)</f>
        <v>51.600300000000061</v>
      </c>
    </row>
    <row r="43" spans="1:18" x14ac:dyDescent="0.3">
      <c r="A43" s="20">
        <v>46309</v>
      </c>
      <c r="B43" s="21" t="s">
        <v>94</v>
      </c>
      <c r="C43" s="21" t="s">
        <v>139</v>
      </c>
      <c r="D43" s="21" t="s">
        <v>113</v>
      </c>
      <c r="E43" s="14">
        <f>MATCH(A43&amp;"|"&amp;B43&amp;"|"&amp;C43&amp;"|"&amp;D43,'Valuación diaria'!$S$5:$S$354,0)</f>
        <v>349</v>
      </c>
      <c r="F43" s="11" t="str">
        <f>IF(COUNTIFS(Transacciones!$T$5:$T$20,B43&amp;"|"&amp;C43&amp;"|"&amp;D43,Transacciones!$F$5:$F$20,"&lt;="&amp;A43)&gt;0,"sí","no")</f>
        <v>sí</v>
      </c>
      <c r="G43" s="14">
        <f>INDEX('Valuación diaria'!$I$5:$I$354,E43)</f>
        <v>500</v>
      </c>
      <c r="H43" s="18">
        <f>INDEX('Valuación diaria'!$K$5:$K$354,E43)</f>
        <v>9.6629249999999995</v>
      </c>
      <c r="I43" s="17">
        <f>INDEX('Valuación diaria'!$L$5:$L$354,E43)</f>
        <v>4831.4624999999996</v>
      </c>
      <c r="J43" s="18">
        <f>INDEX('Valuación diaria'!$N$5:$N$354,E43)</f>
        <v>9.7123387999999995</v>
      </c>
      <c r="K43" s="15">
        <f>INDEX('Valuación diaria'!$M$5:$M$354,E43)</f>
        <v>46309</v>
      </c>
      <c r="L43" s="14">
        <f>COUNTIFS(CETES!$A$5:$A$95,A43,CETES!$B$5:$B$95,C43)</f>
        <v>1</v>
      </c>
      <c r="M43" s="14">
        <f>IF(L43=0,"",INDEX(CETES!$E$5:$E$95,MATCH(A43&amp;"|"&amp;C43,CETES!$AG$5:$AG$95,0)))</f>
        <v>155</v>
      </c>
      <c r="N43" s="26">
        <f>IF(L43=0,"",INDEX(CETES!$AD$5:$AD$95,MATCH(A43&amp;"|"&amp;C43,CETES!$AG$5:$AG$95,0)))</f>
        <v>6.8790476190476193</v>
      </c>
      <c r="O43" s="15">
        <f>IF(L43=0,"",INDEX(CETES!$Y$5:$Y$95,MATCH(A43&amp;"|"&amp;C43,CETES!$AG$5:$AG$95,0)))</f>
        <v>46303</v>
      </c>
      <c r="P43" s="15">
        <f>IF(L43=0,"",INDEX(CETES!$Z$5:$Z$95,MATCH(A43&amp;"|"&amp;C43,CETES!$AG$5:$AG$95,0)))</f>
        <v>46303</v>
      </c>
      <c r="Q43" s="17">
        <f>INDEX('Valuación diaria'!$O$5:$O$354,E43)</f>
        <v>4856.1693999999998</v>
      </c>
      <c r="R43" s="17">
        <f>INDEX('Valuación diaria'!$P$5:$P$354,E43)</f>
        <v>24.706900000000132</v>
      </c>
    </row>
    <row r="44" spans="1:18" x14ac:dyDescent="0.3">
      <c r="A44" s="20">
        <v>46309</v>
      </c>
      <c r="B44" s="21" t="s">
        <v>103</v>
      </c>
      <c r="C44" s="21" t="s">
        <v>123</v>
      </c>
      <c r="D44" s="21" t="s">
        <v>112</v>
      </c>
      <c r="E44" s="14">
        <f>MATCH(A44&amp;"|"&amp;B44&amp;"|"&amp;C44&amp;"|"&amp;D44,'Valuación diaria'!$S$5:$S$354,0)</f>
        <v>350</v>
      </c>
      <c r="F44" s="11" t="str">
        <f>IF(COUNTIFS(Transacciones!$T$5:$T$20,B44&amp;"|"&amp;C44&amp;"|"&amp;D44,Transacciones!$F$5:$F$20,"&lt;="&amp;A44)&gt;0,"sí","no")</f>
        <v>sí</v>
      </c>
      <c r="G44" s="14">
        <f>INDEX('Valuación diaria'!$I$5:$I$354,E44)</f>
        <v>150</v>
      </c>
      <c r="H44" s="18">
        <f>INDEX('Valuación diaria'!$K$5:$K$354,E44)</f>
        <v>103.90046666666666</v>
      </c>
      <c r="I44" s="17">
        <f>INDEX('Valuación diaria'!$L$5:$L$354,E44)</f>
        <v>15585.07</v>
      </c>
      <c r="J44" s="18">
        <f>INDEX('Valuación diaria'!$N$5:$N$354,E44)</f>
        <v>111.05</v>
      </c>
      <c r="K44" s="15">
        <f>INDEX('Valuación diaria'!$M$5:$M$354,E44)</f>
        <v>46309</v>
      </c>
      <c r="L44" s="14">
        <f>COUNTIFS(CETES!$A$5:$A$95,A44,CETES!$B$5:$B$95,C44)</f>
        <v>0</v>
      </c>
      <c r="M44" s="14" t="str">
        <f>IF(L44=0,"",INDEX(CETES!$E$5:$E$95,MATCH(A44&amp;"|"&amp;C44,CETES!$AG$5:$AG$95,0)))</f>
        <v/>
      </c>
      <c r="N44" s="26" t="str">
        <f>IF(L44=0,"",INDEX(CETES!$AD$5:$AD$95,MATCH(A44&amp;"|"&amp;C44,CETES!$AG$5:$AG$95,0)))</f>
        <v/>
      </c>
      <c r="O44" s="15" t="str">
        <f>IF(L44=0,"",INDEX(CETES!$Y$5:$Y$95,MATCH(A44&amp;"|"&amp;C44,CETES!$AG$5:$AG$95,0)))</f>
        <v/>
      </c>
      <c r="P44" s="15" t="str">
        <f>IF(L44=0,"",INDEX(CETES!$Z$5:$Z$95,MATCH(A44&amp;"|"&amp;C44,CETES!$AG$5:$AG$95,0)))</f>
        <v/>
      </c>
      <c r="Q44" s="17">
        <f>INDEX('Valuación diaria'!$O$5:$O$354,E44)</f>
        <v>16657.5</v>
      </c>
      <c r="R44" s="17">
        <f>INDEX('Valuación diaria'!$P$5:$P$354,E44)</f>
        <v>1072.4300000000003</v>
      </c>
    </row>
    <row r="46" spans="1:18" x14ac:dyDescent="0.3">
      <c r="A46" s="7" t="s">
        <v>342</v>
      </c>
    </row>
    <row r="47" spans="1:18" ht="26.4" x14ac:dyDescent="0.3">
      <c r="A47" s="8" t="s">
        <v>80</v>
      </c>
      <c r="B47" s="8" t="s">
        <v>319</v>
      </c>
      <c r="C47" s="8" t="s">
        <v>320</v>
      </c>
      <c r="D47" s="8" t="s">
        <v>322</v>
      </c>
      <c r="E47" s="8" t="s">
        <v>325</v>
      </c>
      <c r="F47" s="8" t="s">
        <v>328</v>
      </c>
      <c r="G47" s="8" t="s">
        <v>329</v>
      </c>
      <c r="H47" s="8" t="s">
        <v>343</v>
      </c>
    </row>
    <row r="48" spans="1:18" x14ac:dyDescent="0.3">
      <c r="A48" s="20">
        <v>46278</v>
      </c>
      <c r="B48" s="21" t="s">
        <v>94</v>
      </c>
      <c r="C48" s="21" t="s">
        <v>123</v>
      </c>
      <c r="D48" s="14">
        <f>SUMIFS(Posiciones!$G$5:$G$44,Posiciones!$A$5:$A$44,A48,Posiciones!$B$5:$B$44,B48,Posiciones!$C$5:$C$44,C48)</f>
        <v>200</v>
      </c>
      <c r="E48" s="17">
        <f>SUMIFS(Posiciones!$I$5:$I$44,Posiciones!$A$5:$A$44,A48,Posiciones!$B$5:$B$44,B48,Posiciones!$C$5:$C$44,C48)</f>
        <v>20047.97</v>
      </c>
      <c r="F48" s="17">
        <f>SUMIFS(Posiciones!$Q$5:$Q$44,Posiciones!$A$5:$A$44,A48,Posiciones!$B$5:$B$44,B48,Posiciones!$C$5:$C$44,C48)</f>
        <v>20370</v>
      </c>
      <c r="G48" s="17">
        <f>SUMIFS(Posiciones!$R$5:$R$44,Posiciones!$A$5:$A$44,A48,Posiciones!$B$5:$B$44,B48,Posiciones!$C$5:$C$44,C48)</f>
        <v>322.02999999999884</v>
      </c>
      <c r="H48" s="14">
        <f>COUNTIFS(Posiciones!$A$5:$A$44,A48,Posiciones!$B$5:$B$44,B48,Posiciones!$C$5:$C$44,C48,Posiciones!$G$5:$G$44,"&gt;0")</f>
        <v>1</v>
      </c>
    </row>
    <row r="49" spans="1:8" x14ac:dyDescent="0.3">
      <c r="A49" s="20">
        <v>46278</v>
      </c>
      <c r="B49" s="21" t="s">
        <v>94</v>
      </c>
      <c r="C49" s="21" t="s">
        <v>126</v>
      </c>
      <c r="D49" s="14">
        <f>SUMIFS(Posiciones!$G$5:$G$44,Posiciones!$A$5:$A$44,A49,Posiciones!$B$5:$B$44,B49,Posiciones!$C$5:$C$44,C49)</f>
        <v>100</v>
      </c>
      <c r="E49" s="17">
        <f>SUMIFS(Posiciones!$I$5:$I$44,Posiciones!$A$5:$A$44,A49,Posiciones!$B$5:$B$44,B49,Posiciones!$C$5:$C$44,C49)</f>
        <v>5019.51</v>
      </c>
      <c r="F49" s="17">
        <f>SUMIFS(Posiciones!$Q$5:$Q$44,Posiciones!$A$5:$A$44,A49,Posiciones!$B$5:$B$44,B49,Posiciones!$C$5:$C$44,C49)</f>
        <v>5062</v>
      </c>
      <c r="G49" s="17">
        <f>SUMIFS(Posiciones!$R$5:$R$44,Posiciones!$A$5:$A$44,A49,Posiciones!$B$5:$B$44,B49,Posiciones!$C$5:$C$44,C49)</f>
        <v>42.489999999999782</v>
      </c>
      <c r="H49" s="14">
        <f>COUNTIFS(Posiciones!$A$5:$A$44,A49,Posiciones!$B$5:$B$44,B49,Posiciones!$C$5:$C$44,C49,Posiciones!$G$5:$G$44,"&gt;0")</f>
        <v>1</v>
      </c>
    </row>
    <row r="50" spans="1:8" x14ac:dyDescent="0.3">
      <c r="A50" s="20">
        <v>46278</v>
      </c>
      <c r="B50" s="21" t="s">
        <v>94</v>
      </c>
      <c r="C50" s="21" t="s">
        <v>129</v>
      </c>
      <c r="D50" s="14">
        <f>SUMIFS(Posiciones!$G$5:$G$44,Posiciones!$A$5:$A$44,A50,Posiciones!$B$5:$B$44,B50,Posiciones!$C$5:$C$44,C50)</f>
        <v>400</v>
      </c>
      <c r="E50" s="17">
        <f>SUMIFS(Posiciones!$I$5:$I$44,Posiciones!$A$5:$A$44,A50,Posiciones!$B$5:$B$44,B50,Posiciones!$C$5:$C$44,C50)</f>
        <v>10021.98</v>
      </c>
      <c r="F50" s="17">
        <f>SUMIFS(Posiciones!$Q$5:$Q$44,Posiciones!$A$5:$A$44,A50,Posiciones!$B$5:$B$44,B50,Posiciones!$C$5:$C$44,C50)</f>
        <v>10006</v>
      </c>
      <c r="G50" s="17">
        <f>SUMIFS(Posiciones!$R$5:$R$44,Posiciones!$A$5:$A$44,A50,Posiciones!$B$5:$B$44,B50,Posiciones!$C$5:$C$44,C50)</f>
        <v>-15.979999999999563</v>
      </c>
      <c r="H50" s="14">
        <f>COUNTIFS(Posiciones!$A$5:$A$44,A50,Posiciones!$B$5:$B$44,B50,Posiciones!$C$5:$C$44,C50,Posiciones!$G$5:$G$44,"&gt;0")</f>
        <v>1</v>
      </c>
    </row>
    <row r="51" spans="1:8" x14ac:dyDescent="0.3">
      <c r="A51" s="20">
        <v>46278</v>
      </c>
      <c r="B51" s="21" t="s">
        <v>94</v>
      </c>
      <c r="C51" s="21" t="s">
        <v>132</v>
      </c>
      <c r="D51" s="14">
        <f>SUMIFS(Posiciones!$G$5:$G$44,Posiciones!$A$5:$A$44,A51,Posiciones!$B$5:$B$44,B51,Posiciones!$C$5:$C$44,C51)</f>
        <v>2500</v>
      </c>
      <c r="E51" s="17">
        <f>SUMIFS(Posiciones!$I$5:$I$44,Posiciones!$A$5:$A$44,A51,Posiciones!$B$5:$B$44,B51,Posiciones!$C$5:$C$44,C51)</f>
        <v>24879.06</v>
      </c>
      <c r="F51" s="17">
        <f>SUMIFS(Posiciones!$Q$5:$Q$44,Posiciones!$A$5:$A$44,A51,Posiciones!$B$5:$B$44,B51,Posiciones!$C$5:$C$44,C51)</f>
        <v>24891.962</v>
      </c>
      <c r="G51" s="17">
        <f>SUMIFS(Posiciones!$R$5:$R$44,Posiciones!$A$5:$A$44,A51,Posiciones!$B$5:$B$44,B51,Posiciones!$C$5:$C$44,C51)</f>
        <v>12.901999999996406</v>
      </c>
      <c r="H51" s="14">
        <f>COUNTIFS(Posiciones!$A$5:$A$44,A51,Posiciones!$B$5:$B$44,B51,Posiciones!$C$5:$C$44,C51,Posiciones!$G$5:$G$44,"&gt;0")</f>
        <v>2</v>
      </c>
    </row>
    <row r="52" spans="1:8" x14ac:dyDescent="0.3">
      <c r="A52" s="20">
        <v>46278</v>
      </c>
      <c r="B52" s="21" t="s">
        <v>94</v>
      </c>
      <c r="C52" s="21" t="s">
        <v>135</v>
      </c>
      <c r="D52" s="14">
        <f>SUMIFS(Posiciones!$G$5:$G$44,Posiciones!$A$5:$A$44,A52,Posiciones!$B$5:$B$44,B52,Posiciones!$C$5:$C$44,C52)</f>
        <v>0</v>
      </c>
      <c r="E52" s="17">
        <f>SUMIFS(Posiciones!$I$5:$I$44,Posiciones!$A$5:$A$44,A52,Posiciones!$B$5:$B$44,B52,Posiciones!$C$5:$C$44,C52)</f>
        <v>0</v>
      </c>
      <c r="F52" s="17">
        <f>SUMIFS(Posiciones!$Q$5:$Q$44,Posiciones!$A$5:$A$44,A52,Posiciones!$B$5:$B$44,B52,Posiciones!$C$5:$C$44,C52)</f>
        <v>0</v>
      </c>
      <c r="G52" s="17">
        <f>SUMIFS(Posiciones!$R$5:$R$44,Posiciones!$A$5:$A$44,A52,Posiciones!$B$5:$B$44,B52,Posiciones!$C$5:$C$44,C52)</f>
        <v>0</v>
      </c>
      <c r="H52" s="14">
        <f>COUNTIFS(Posiciones!$A$5:$A$44,A52,Posiciones!$B$5:$B$44,B52,Posiciones!$C$5:$C$44,C52,Posiciones!$G$5:$G$44,"&gt;0")</f>
        <v>0</v>
      </c>
    </row>
    <row r="53" spans="1:8" x14ac:dyDescent="0.3">
      <c r="A53" s="20">
        <v>46278</v>
      </c>
      <c r="B53" s="21" t="s">
        <v>94</v>
      </c>
      <c r="C53" s="21" t="s">
        <v>137</v>
      </c>
      <c r="D53" s="14">
        <f>SUMIFS(Posiciones!$G$5:$G$44,Posiciones!$A$5:$A$44,A53,Posiciones!$B$5:$B$44,B53,Posiciones!$C$5:$C$44,C53)</f>
        <v>0</v>
      </c>
      <c r="E53" s="17">
        <f>SUMIFS(Posiciones!$I$5:$I$44,Posiciones!$A$5:$A$44,A53,Posiciones!$B$5:$B$44,B53,Posiciones!$C$5:$C$44,C53)</f>
        <v>0</v>
      </c>
      <c r="F53" s="17">
        <f>SUMIFS(Posiciones!$Q$5:$Q$44,Posiciones!$A$5:$A$44,A53,Posiciones!$B$5:$B$44,B53,Posiciones!$C$5:$C$44,C53)</f>
        <v>0</v>
      </c>
      <c r="G53" s="17">
        <f>SUMIFS(Posiciones!$R$5:$R$44,Posiciones!$A$5:$A$44,A53,Posiciones!$B$5:$B$44,B53,Posiciones!$C$5:$C$44,C53)</f>
        <v>0</v>
      </c>
      <c r="H53" s="14">
        <f>COUNTIFS(Posiciones!$A$5:$A$44,A53,Posiciones!$B$5:$B$44,B53,Posiciones!$C$5:$C$44,C53,Posiciones!$G$5:$G$44,"&gt;0")</f>
        <v>0</v>
      </c>
    </row>
    <row r="54" spans="1:8" x14ac:dyDescent="0.3">
      <c r="A54" s="20">
        <v>46278</v>
      </c>
      <c r="B54" s="21" t="s">
        <v>94</v>
      </c>
      <c r="C54" s="21" t="s">
        <v>139</v>
      </c>
      <c r="D54" s="14">
        <f>SUMIFS(Posiciones!$G$5:$G$44,Posiciones!$A$5:$A$44,A54,Posiciones!$B$5:$B$44,B54,Posiciones!$C$5:$C$44,C54)</f>
        <v>0</v>
      </c>
      <c r="E54" s="17">
        <f>SUMIFS(Posiciones!$I$5:$I$44,Posiciones!$A$5:$A$44,A54,Posiciones!$B$5:$B$44,B54,Posiciones!$C$5:$C$44,C54)</f>
        <v>0</v>
      </c>
      <c r="F54" s="17">
        <f>SUMIFS(Posiciones!$Q$5:$Q$44,Posiciones!$A$5:$A$44,A54,Posiciones!$B$5:$B$44,B54,Posiciones!$C$5:$C$44,C54)</f>
        <v>0</v>
      </c>
      <c r="G54" s="17">
        <f>SUMIFS(Posiciones!$R$5:$R$44,Posiciones!$A$5:$A$44,A54,Posiciones!$B$5:$B$44,B54,Posiciones!$C$5:$C$44,C54)</f>
        <v>0</v>
      </c>
      <c r="H54" s="14">
        <f>COUNTIFS(Posiciones!$A$5:$A$44,A54,Posiciones!$B$5:$B$44,B54,Posiciones!$C$5:$C$44,C54,Posiciones!$G$5:$G$44,"&gt;0")</f>
        <v>0</v>
      </c>
    </row>
    <row r="55" spans="1:8" x14ac:dyDescent="0.3">
      <c r="A55" s="20">
        <v>46278</v>
      </c>
      <c r="B55" s="21" t="s">
        <v>103</v>
      </c>
      <c r="C55" s="21" t="s">
        <v>123</v>
      </c>
      <c r="D55" s="14">
        <f>SUMIFS(Posiciones!$G$5:$G$44,Posiciones!$A$5:$A$44,A55,Posiciones!$B$5:$B$44,B55,Posiciones!$C$5:$C$44,C55)</f>
        <v>0</v>
      </c>
      <c r="E55" s="17">
        <f>SUMIFS(Posiciones!$I$5:$I$44,Posiciones!$A$5:$A$44,A55,Posiciones!$B$5:$B$44,B55,Posiciones!$C$5:$C$44,C55)</f>
        <v>0</v>
      </c>
      <c r="F55" s="17">
        <f>SUMIFS(Posiciones!$Q$5:$Q$44,Posiciones!$A$5:$A$44,A55,Posiciones!$B$5:$B$44,B55,Posiciones!$C$5:$C$44,C55)</f>
        <v>0</v>
      </c>
      <c r="G55" s="17">
        <f>SUMIFS(Posiciones!$R$5:$R$44,Posiciones!$A$5:$A$44,A55,Posiciones!$B$5:$B$44,B55,Posiciones!$C$5:$C$44,C55)</f>
        <v>0</v>
      </c>
      <c r="H55" s="14">
        <f>COUNTIFS(Posiciones!$A$5:$A$44,A55,Posiciones!$B$5:$B$44,B55,Posiciones!$C$5:$C$44,C55,Posiciones!$G$5:$G$44,"&gt;0")</f>
        <v>0</v>
      </c>
    </row>
    <row r="56" spans="1:8" x14ac:dyDescent="0.3">
      <c r="A56" s="20">
        <v>46281</v>
      </c>
      <c r="B56" s="21" t="s">
        <v>94</v>
      </c>
      <c r="C56" s="21" t="s">
        <v>123</v>
      </c>
      <c r="D56" s="14">
        <f>SUMIFS(Posiciones!$G$5:$G$44,Posiciones!$A$5:$A$44,A56,Posiciones!$B$5:$B$44,B56,Posiciones!$C$5:$C$44,C56)</f>
        <v>300</v>
      </c>
      <c r="E56" s="17">
        <f>SUMIFS(Posiciones!$I$5:$I$44,Posiciones!$A$5:$A$44,A56,Posiciones!$B$5:$B$44,B56,Posiciones!$C$5:$C$44,C56)</f>
        <v>30387.870000000003</v>
      </c>
      <c r="F56" s="17">
        <f>SUMIFS(Posiciones!$Q$5:$Q$44,Posiciones!$A$5:$A$44,A56,Posiciones!$B$5:$B$44,B56,Posiciones!$C$5:$C$44,C56)</f>
        <v>31425</v>
      </c>
      <c r="G56" s="17">
        <f>SUMIFS(Posiciones!$R$5:$R$44,Posiciones!$A$5:$A$44,A56,Posiciones!$B$5:$B$44,B56,Posiciones!$C$5:$C$44,C56)</f>
        <v>1037.1299999999992</v>
      </c>
      <c r="H56" s="14">
        <f>COUNTIFS(Posiciones!$A$5:$A$44,A56,Posiciones!$B$5:$B$44,B56,Posiciones!$C$5:$C$44,C56,Posiciones!$G$5:$G$44,"&gt;0")</f>
        <v>2</v>
      </c>
    </row>
    <row r="57" spans="1:8" x14ac:dyDescent="0.3">
      <c r="A57" s="20">
        <v>46281</v>
      </c>
      <c r="B57" s="21" t="s">
        <v>94</v>
      </c>
      <c r="C57" s="21" t="s">
        <v>126</v>
      </c>
      <c r="D57" s="14">
        <f>SUMIFS(Posiciones!$G$5:$G$44,Posiciones!$A$5:$A$44,A57,Posiciones!$B$5:$B$44,B57,Posiciones!$C$5:$C$44,C57)</f>
        <v>100</v>
      </c>
      <c r="E57" s="17">
        <f>SUMIFS(Posiciones!$I$5:$I$44,Posiciones!$A$5:$A$44,A57,Posiciones!$B$5:$B$44,B57,Posiciones!$C$5:$C$44,C57)</f>
        <v>5019.51</v>
      </c>
      <c r="F57" s="17">
        <f>SUMIFS(Posiciones!$Q$5:$Q$44,Posiciones!$A$5:$A$44,A57,Posiciones!$B$5:$B$44,B57,Posiciones!$C$5:$C$44,C57)</f>
        <v>5148</v>
      </c>
      <c r="G57" s="17">
        <f>SUMIFS(Posiciones!$R$5:$R$44,Posiciones!$A$5:$A$44,A57,Posiciones!$B$5:$B$44,B57,Posiciones!$C$5:$C$44,C57)</f>
        <v>128.48999999999978</v>
      </c>
      <c r="H57" s="14">
        <f>COUNTIFS(Posiciones!$A$5:$A$44,A57,Posiciones!$B$5:$B$44,B57,Posiciones!$C$5:$C$44,C57,Posiciones!$G$5:$G$44,"&gt;0")</f>
        <v>1</v>
      </c>
    </row>
    <row r="58" spans="1:8" x14ac:dyDescent="0.3">
      <c r="A58" s="20">
        <v>46281</v>
      </c>
      <c r="B58" s="21" t="s">
        <v>94</v>
      </c>
      <c r="C58" s="21" t="s">
        <v>129</v>
      </c>
      <c r="D58" s="14">
        <f>SUMIFS(Posiciones!$G$5:$G$44,Posiciones!$A$5:$A$44,A58,Posiciones!$B$5:$B$44,B58,Posiciones!$C$5:$C$44,C58)</f>
        <v>400</v>
      </c>
      <c r="E58" s="17">
        <f>SUMIFS(Posiciones!$I$5:$I$44,Posiciones!$A$5:$A$44,A58,Posiciones!$B$5:$B$44,B58,Posiciones!$C$5:$C$44,C58)</f>
        <v>10021.98</v>
      </c>
      <c r="F58" s="17">
        <f>SUMIFS(Posiciones!$Q$5:$Q$44,Posiciones!$A$5:$A$44,A58,Posiciones!$B$5:$B$44,B58,Posiciones!$C$5:$C$44,C58)</f>
        <v>10164</v>
      </c>
      <c r="G58" s="17">
        <f>SUMIFS(Posiciones!$R$5:$R$44,Posiciones!$A$5:$A$44,A58,Posiciones!$B$5:$B$44,B58,Posiciones!$C$5:$C$44,C58)</f>
        <v>142.02000000000044</v>
      </c>
      <c r="H58" s="14">
        <f>COUNTIFS(Posiciones!$A$5:$A$44,A58,Posiciones!$B$5:$B$44,B58,Posiciones!$C$5:$C$44,C58,Posiciones!$G$5:$G$44,"&gt;0")</f>
        <v>1</v>
      </c>
    </row>
    <row r="59" spans="1:8" x14ac:dyDescent="0.3">
      <c r="A59" s="20">
        <v>46281</v>
      </c>
      <c r="B59" s="21" t="s">
        <v>94</v>
      </c>
      <c r="C59" s="21" t="s">
        <v>132</v>
      </c>
      <c r="D59" s="14">
        <f>SUMIFS(Posiciones!$G$5:$G$44,Posiciones!$A$5:$A$44,A59,Posiciones!$B$5:$B$44,B59,Posiciones!$C$5:$C$44,C59)</f>
        <v>2500</v>
      </c>
      <c r="E59" s="17">
        <f>SUMIFS(Posiciones!$I$5:$I$44,Posiciones!$A$5:$A$44,A59,Posiciones!$B$5:$B$44,B59,Posiciones!$C$5:$C$44,C59)</f>
        <v>24879.06</v>
      </c>
      <c r="F59" s="17">
        <f>SUMIFS(Posiciones!$Q$5:$Q$44,Posiciones!$A$5:$A$44,A59,Posiciones!$B$5:$B$44,B59,Posiciones!$C$5:$C$44,C59)</f>
        <v>24904.877249999998</v>
      </c>
      <c r="G59" s="17">
        <f>SUMIFS(Posiciones!$R$5:$R$44,Posiciones!$A$5:$A$44,A59,Posiciones!$B$5:$B$44,B59,Posiciones!$C$5:$C$44,C59)</f>
        <v>25.817249999998239</v>
      </c>
      <c r="H59" s="14">
        <f>COUNTIFS(Posiciones!$A$5:$A$44,A59,Posiciones!$B$5:$B$44,B59,Posiciones!$C$5:$C$44,C59,Posiciones!$G$5:$G$44,"&gt;0")</f>
        <v>2</v>
      </c>
    </row>
    <row r="60" spans="1:8" x14ac:dyDescent="0.3">
      <c r="A60" s="20">
        <v>46281</v>
      </c>
      <c r="B60" s="21" t="s">
        <v>94</v>
      </c>
      <c r="C60" s="21" t="s">
        <v>135</v>
      </c>
      <c r="D60" s="14">
        <f>SUMIFS(Posiciones!$G$5:$G$44,Posiciones!$A$5:$A$44,A60,Posiciones!$B$5:$B$44,B60,Posiciones!$C$5:$C$44,C60)</f>
        <v>0</v>
      </c>
      <c r="E60" s="17">
        <f>SUMIFS(Posiciones!$I$5:$I$44,Posiciones!$A$5:$A$44,A60,Posiciones!$B$5:$B$44,B60,Posiciones!$C$5:$C$44,C60)</f>
        <v>0</v>
      </c>
      <c r="F60" s="17">
        <f>SUMIFS(Posiciones!$Q$5:$Q$44,Posiciones!$A$5:$A$44,A60,Posiciones!$B$5:$B$44,B60,Posiciones!$C$5:$C$44,C60)</f>
        <v>0</v>
      </c>
      <c r="G60" s="17">
        <f>SUMIFS(Posiciones!$R$5:$R$44,Posiciones!$A$5:$A$44,A60,Posiciones!$B$5:$B$44,B60,Posiciones!$C$5:$C$44,C60)</f>
        <v>0</v>
      </c>
      <c r="H60" s="14">
        <f>COUNTIFS(Posiciones!$A$5:$A$44,A60,Posiciones!$B$5:$B$44,B60,Posiciones!$C$5:$C$44,C60,Posiciones!$G$5:$G$44,"&gt;0")</f>
        <v>0</v>
      </c>
    </row>
    <row r="61" spans="1:8" x14ac:dyDescent="0.3">
      <c r="A61" s="20">
        <v>46281</v>
      </c>
      <c r="B61" s="21" t="s">
        <v>94</v>
      </c>
      <c r="C61" s="21" t="s">
        <v>137</v>
      </c>
      <c r="D61" s="14">
        <f>SUMIFS(Posiciones!$G$5:$G$44,Posiciones!$A$5:$A$44,A61,Posiciones!$B$5:$B$44,B61,Posiciones!$C$5:$C$44,C61)</f>
        <v>0</v>
      </c>
      <c r="E61" s="17">
        <f>SUMIFS(Posiciones!$I$5:$I$44,Posiciones!$A$5:$A$44,A61,Posiciones!$B$5:$B$44,B61,Posiciones!$C$5:$C$44,C61)</f>
        <v>0</v>
      </c>
      <c r="F61" s="17">
        <f>SUMIFS(Posiciones!$Q$5:$Q$44,Posiciones!$A$5:$A$44,A61,Posiciones!$B$5:$B$44,B61,Posiciones!$C$5:$C$44,C61)</f>
        <v>0</v>
      </c>
      <c r="G61" s="17">
        <f>SUMIFS(Posiciones!$R$5:$R$44,Posiciones!$A$5:$A$44,A61,Posiciones!$B$5:$B$44,B61,Posiciones!$C$5:$C$44,C61)</f>
        <v>0</v>
      </c>
      <c r="H61" s="14">
        <f>COUNTIFS(Posiciones!$A$5:$A$44,A61,Posiciones!$B$5:$B$44,B61,Posiciones!$C$5:$C$44,C61,Posiciones!$G$5:$G$44,"&gt;0")</f>
        <v>0</v>
      </c>
    </row>
    <row r="62" spans="1:8" x14ac:dyDescent="0.3">
      <c r="A62" s="20">
        <v>46281</v>
      </c>
      <c r="B62" s="21" t="s">
        <v>94</v>
      </c>
      <c r="C62" s="21" t="s">
        <v>139</v>
      </c>
      <c r="D62" s="14">
        <f>SUMIFS(Posiciones!$G$5:$G$44,Posiciones!$A$5:$A$44,A62,Posiciones!$B$5:$B$44,B62,Posiciones!$C$5:$C$44,C62)</f>
        <v>0</v>
      </c>
      <c r="E62" s="17">
        <f>SUMIFS(Posiciones!$I$5:$I$44,Posiciones!$A$5:$A$44,A62,Posiciones!$B$5:$B$44,B62,Posiciones!$C$5:$C$44,C62)</f>
        <v>0</v>
      </c>
      <c r="F62" s="17">
        <f>SUMIFS(Posiciones!$Q$5:$Q$44,Posiciones!$A$5:$A$44,A62,Posiciones!$B$5:$B$44,B62,Posiciones!$C$5:$C$44,C62)</f>
        <v>0</v>
      </c>
      <c r="G62" s="17">
        <f>SUMIFS(Posiciones!$R$5:$R$44,Posiciones!$A$5:$A$44,A62,Posiciones!$B$5:$B$44,B62,Posiciones!$C$5:$C$44,C62)</f>
        <v>0</v>
      </c>
      <c r="H62" s="14">
        <f>COUNTIFS(Posiciones!$A$5:$A$44,A62,Posiciones!$B$5:$B$44,B62,Posiciones!$C$5:$C$44,C62,Posiciones!$G$5:$G$44,"&gt;0")</f>
        <v>0</v>
      </c>
    </row>
    <row r="63" spans="1:8" x14ac:dyDescent="0.3">
      <c r="A63" s="20">
        <v>46281</v>
      </c>
      <c r="B63" s="21" t="s">
        <v>103</v>
      </c>
      <c r="C63" s="21" t="s">
        <v>123</v>
      </c>
      <c r="D63" s="14">
        <f>SUMIFS(Posiciones!$G$5:$G$44,Posiciones!$A$5:$A$44,A63,Posiciones!$B$5:$B$44,B63,Posiciones!$C$5:$C$44,C63)</f>
        <v>150</v>
      </c>
      <c r="E63" s="17">
        <f>SUMIFS(Posiciones!$I$5:$I$44,Posiciones!$A$5:$A$44,A63,Posiciones!$B$5:$B$44,B63,Posiciones!$C$5:$C$44,C63)</f>
        <v>15585.07</v>
      </c>
      <c r="F63" s="17">
        <f>SUMIFS(Posiciones!$Q$5:$Q$44,Posiciones!$A$5:$A$44,A63,Posiciones!$B$5:$B$44,B63,Posiciones!$C$5:$C$44,C63)</f>
        <v>15712.5</v>
      </c>
      <c r="G63" s="17">
        <f>SUMIFS(Posiciones!$R$5:$R$44,Posiciones!$A$5:$A$44,A63,Posiciones!$B$5:$B$44,B63,Posiciones!$C$5:$C$44,C63)</f>
        <v>127.43000000000029</v>
      </c>
      <c r="H63" s="14">
        <f>COUNTIFS(Posiciones!$A$5:$A$44,A63,Posiciones!$B$5:$B$44,B63,Posiciones!$C$5:$C$44,C63,Posiciones!$G$5:$G$44,"&gt;0")</f>
        <v>1</v>
      </c>
    </row>
    <row r="64" spans="1:8" x14ac:dyDescent="0.3">
      <c r="A64" s="20">
        <v>46303</v>
      </c>
      <c r="B64" s="21" t="s">
        <v>94</v>
      </c>
      <c r="C64" s="21" t="s">
        <v>123</v>
      </c>
      <c r="D64" s="14">
        <f>SUMIFS(Posiciones!$G$5:$G$44,Posiciones!$A$5:$A$44,A64,Posiciones!$B$5:$B$44,B64,Posiciones!$C$5:$C$44,C64)</f>
        <v>220</v>
      </c>
      <c r="E64" s="17">
        <f>SUMIFS(Posiciones!$I$5:$I$44,Posiciones!$A$5:$A$44,A64,Posiciones!$B$5:$B$44,B64,Posiciones!$C$5:$C$44,C64)</f>
        <v>22368.682000000001</v>
      </c>
      <c r="F64" s="17">
        <f>SUMIFS(Posiciones!$Q$5:$Q$44,Posiciones!$A$5:$A$44,A64,Posiciones!$B$5:$B$44,B64,Posiciones!$C$5:$C$44,C64)</f>
        <v>23628</v>
      </c>
      <c r="G64" s="17">
        <f>SUMIFS(Posiciones!$R$5:$R$44,Posiciones!$A$5:$A$44,A64,Posiciones!$B$5:$B$44,B64,Posiciones!$C$5:$C$44,C64)</f>
        <v>1259.3179999999993</v>
      </c>
      <c r="H64" s="14">
        <f>COUNTIFS(Posiciones!$A$5:$A$44,A64,Posiciones!$B$5:$B$44,B64,Posiciones!$C$5:$C$44,C64,Posiciones!$G$5:$G$44,"&gt;0")</f>
        <v>2</v>
      </c>
    </row>
    <row r="65" spans="1:8" x14ac:dyDescent="0.3">
      <c r="A65" s="20">
        <v>46303</v>
      </c>
      <c r="B65" s="21" t="s">
        <v>94</v>
      </c>
      <c r="C65" s="21" t="s">
        <v>126</v>
      </c>
      <c r="D65" s="14">
        <f>SUMIFS(Posiciones!$G$5:$G$44,Posiciones!$A$5:$A$44,A65,Posiciones!$B$5:$B$44,B65,Posiciones!$C$5:$C$44,C65)</f>
        <v>40</v>
      </c>
      <c r="E65" s="17">
        <f>SUMIFS(Posiciones!$I$5:$I$44,Posiciones!$A$5:$A$44,A65,Posiciones!$B$5:$B$44,B65,Posiciones!$C$5:$C$44,C65)</f>
        <v>1975.46</v>
      </c>
      <c r="F65" s="17">
        <f>SUMIFS(Posiciones!$Q$5:$Q$44,Posiciones!$A$5:$A$44,A65,Posiciones!$B$5:$B$44,B65,Posiciones!$C$5:$C$44,C65)</f>
        <v>2070.8000000000002</v>
      </c>
      <c r="G65" s="17">
        <f>SUMIFS(Posiciones!$R$5:$R$44,Posiciones!$A$5:$A$44,A65,Posiciones!$B$5:$B$44,B65,Posiciones!$C$5:$C$44,C65)</f>
        <v>95.340000000000146</v>
      </c>
      <c r="H65" s="14">
        <f>COUNTIFS(Posiciones!$A$5:$A$44,A65,Posiciones!$B$5:$B$44,B65,Posiciones!$C$5:$C$44,C65,Posiciones!$G$5:$G$44,"&gt;0")</f>
        <v>1</v>
      </c>
    </row>
    <row r="66" spans="1:8" x14ac:dyDescent="0.3">
      <c r="A66" s="20">
        <v>46303</v>
      </c>
      <c r="B66" s="21" t="s">
        <v>94</v>
      </c>
      <c r="C66" s="21" t="s">
        <v>129</v>
      </c>
      <c r="D66" s="14">
        <f>SUMIFS(Posiciones!$G$5:$G$44,Posiciones!$A$5:$A$44,A66,Posiciones!$B$5:$B$44,B66,Posiciones!$C$5:$C$44,C66)</f>
        <v>300</v>
      </c>
      <c r="E66" s="17">
        <f>SUMIFS(Posiciones!$I$5:$I$44,Posiciones!$A$5:$A$44,A66,Posiciones!$B$5:$B$44,B66,Posiciones!$C$5:$C$44,C66)</f>
        <v>7344.99</v>
      </c>
      <c r="F66" s="17">
        <f>SUMIFS(Posiciones!$Q$5:$Q$44,Posiciones!$A$5:$A$44,A66,Posiciones!$B$5:$B$44,B66,Posiciones!$C$5:$C$44,C66)</f>
        <v>7466.25</v>
      </c>
      <c r="G66" s="17">
        <f>SUMIFS(Posiciones!$R$5:$R$44,Posiciones!$A$5:$A$44,A66,Posiciones!$B$5:$B$44,B66,Posiciones!$C$5:$C$44,C66)</f>
        <v>121.26000000000022</v>
      </c>
      <c r="H66" s="14">
        <f>COUNTIFS(Posiciones!$A$5:$A$44,A66,Posiciones!$B$5:$B$44,B66,Posiciones!$C$5:$C$44,C66,Posiciones!$G$5:$G$44,"&gt;0")</f>
        <v>1</v>
      </c>
    </row>
    <row r="67" spans="1:8" x14ac:dyDescent="0.3">
      <c r="A67" s="20">
        <v>46303</v>
      </c>
      <c r="B67" s="21" t="s">
        <v>94</v>
      </c>
      <c r="C67" s="21" t="s">
        <v>132</v>
      </c>
      <c r="D67" s="14">
        <f>SUMIFS(Posiciones!$G$5:$G$44,Posiciones!$A$5:$A$44,A67,Posiciones!$B$5:$B$44,B67,Posiciones!$C$5:$C$44,C67)</f>
        <v>0</v>
      </c>
      <c r="E67" s="17">
        <f>SUMIFS(Posiciones!$I$5:$I$44,Posiciones!$A$5:$A$44,A67,Posiciones!$B$5:$B$44,B67,Posiciones!$C$5:$C$44,C67)</f>
        <v>0</v>
      </c>
      <c r="F67" s="17">
        <f>SUMIFS(Posiciones!$Q$5:$Q$44,Posiciones!$A$5:$A$44,A67,Posiciones!$B$5:$B$44,B67,Posiciones!$C$5:$C$44,C67)</f>
        <v>0</v>
      </c>
      <c r="G67" s="17">
        <f>SUMIFS(Posiciones!$R$5:$R$44,Posiciones!$A$5:$A$44,A67,Posiciones!$B$5:$B$44,B67,Posiciones!$C$5:$C$44,C67)</f>
        <v>0</v>
      </c>
      <c r="H67" s="14">
        <f>COUNTIFS(Posiciones!$A$5:$A$44,A67,Posiciones!$B$5:$B$44,B67,Posiciones!$C$5:$C$44,C67,Posiciones!$G$5:$G$44,"&gt;0")</f>
        <v>0</v>
      </c>
    </row>
    <row r="68" spans="1:8" x14ac:dyDescent="0.3">
      <c r="A68" s="20">
        <v>46303</v>
      </c>
      <c r="B68" s="21" t="s">
        <v>94</v>
      </c>
      <c r="C68" s="21" t="s">
        <v>135</v>
      </c>
      <c r="D68" s="14">
        <f>SUMIFS(Posiciones!$G$5:$G$44,Posiciones!$A$5:$A$44,A68,Posiciones!$B$5:$B$44,B68,Posiciones!$C$5:$C$44,C68)</f>
        <v>1000</v>
      </c>
      <c r="E68" s="17">
        <f>SUMIFS(Posiciones!$I$5:$I$44,Posiciones!$A$5:$A$44,A68,Posiciones!$B$5:$B$44,B68,Posiciones!$C$5:$C$44,C68)</f>
        <v>9952.856600000001</v>
      </c>
      <c r="F68" s="17">
        <f>SUMIFS(Posiciones!$Q$5:$Q$44,Posiciones!$A$5:$A$44,A68,Posiciones!$B$5:$B$44,B68,Posiciones!$C$5:$C$44,C68)</f>
        <v>9952.856600000001</v>
      </c>
      <c r="G68" s="17">
        <f>SUMIFS(Posiciones!$R$5:$R$44,Posiciones!$A$5:$A$44,A68,Posiciones!$B$5:$B$44,B68,Posiciones!$C$5:$C$44,C68)</f>
        <v>0</v>
      </c>
      <c r="H68" s="14">
        <f>COUNTIFS(Posiciones!$A$5:$A$44,A68,Posiciones!$B$5:$B$44,B68,Posiciones!$C$5:$C$44,C68,Posiciones!$G$5:$G$44,"&gt;0")</f>
        <v>1</v>
      </c>
    </row>
    <row r="69" spans="1:8" x14ac:dyDescent="0.3">
      <c r="A69" s="20">
        <v>46303</v>
      </c>
      <c r="B69" s="21" t="s">
        <v>94</v>
      </c>
      <c r="C69" s="21" t="s">
        <v>137</v>
      </c>
      <c r="D69" s="14">
        <f>SUMIFS(Posiciones!$G$5:$G$44,Posiciones!$A$5:$A$44,A69,Posiciones!$B$5:$B$44,B69,Posiciones!$C$5:$C$44,C69)</f>
        <v>1000</v>
      </c>
      <c r="E69" s="17">
        <f>SUMIFS(Posiciones!$I$5:$I$44,Posiciones!$A$5:$A$44,A69,Posiciones!$B$5:$B$44,B69,Posiciones!$C$5:$C$44,C69)</f>
        <v>9834.4372000000003</v>
      </c>
      <c r="F69" s="17">
        <f>SUMIFS(Posiciones!$Q$5:$Q$44,Posiciones!$A$5:$A$44,A69,Posiciones!$B$5:$B$44,B69,Posiciones!$C$5:$C$44,C69)</f>
        <v>9874.240600000001</v>
      </c>
      <c r="G69" s="17">
        <f>SUMIFS(Posiciones!$R$5:$R$44,Posiciones!$A$5:$A$44,A69,Posiciones!$B$5:$B$44,B69,Posiciones!$C$5:$C$44,C69)</f>
        <v>39.803400000000693</v>
      </c>
      <c r="H69" s="14">
        <f>COUNTIFS(Posiciones!$A$5:$A$44,A69,Posiciones!$B$5:$B$44,B69,Posiciones!$C$5:$C$44,C69,Posiciones!$G$5:$G$44,"&gt;0")</f>
        <v>1</v>
      </c>
    </row>
    <row r="70" spans="1:8" x14ac:dyDescent="0.3">
      <c r="A70" s="20">
        <v>46303</v>
      </c>
      <c r="B70" s="21" t="s">
        <v>94</v>
      </c>
      <c r="C70" s="21" t="s">
        <v>139</v>
      </c>
      <c r="D70" s="14">
        <f>SUMIFS(Posiciones!$G$5:$G$44,Posiciones!$A$5:$A$44,A70,Posiciones!$B$5:$B$44,B70,Posiciones!$C$5:$C$44,C70)</f>
        <v>500</v>
      </c>
      <c r="E70" s="17">
        <f>SUMIFS(Posiciones!$I$5:$I$44,Posiciones!$A$5:$A$44,A70,Posiciones!$B$5:$B$44,B70,Posiciones!$C$5:$C$44,C70)</f>
        <v>4831.4624999999996</v>
      </c>
      <c r="F70" s="17">
        <f>SUMIFS(Posiciones!$Q$5:$Q$44,Posiciones!$A$5:$A$44,A70,Posiciones!$B$5:$B$44,B70,Posiciones!$C$5:$C$44,C70)</f>
        <v>4850.5725000000002</v>
      </c>
      <c r="G70" s="17">
        <f>SUMIFS(Posiciones!$R$5:$R$44,Posiciones!$A$5:$A$44,A70,Posiciones!$B$5:$B$44,B70,Posiciones!$C$5:$C$44,C70)</f>
        <v>19.110000000000582</v>
      </c>
      <c r="H70" s="14">
        <f>COUNTIFS(Posiciones!$A$5:$A$44,A70,Posiciones!$B$5:$B$44,B70,Posiciones!$C$5:$C$44,C70,Posiciones!$G$5:$G$44,"&gt;0")</f>
        <v>1</v>
      </c>
    </row>
    <row r="71" spans="1:8" x14ac:dyDescent="0.3">
      <c r="A71" s="20">
        <v>46303</v>
      </c>
      <c r="B71" s="21" t="s">
        <v>103</v>
      </c>
      <c r="C71" s="21" t="s">
        <v>123</v>
      </c>
      <c r="D71" s="14">
        <f>SUMIFS(Posiciones!$G$5:$G$44,Posiciones!$A$5:$A$44,A71,Posiciones!$B$5:$B$44,B71,Posiciones!$C$5:$C$44,C71)</f>
        <v>150</v>
      </c>
      <c r="E71" s="17">
        <f>SUMIFS(Posiciones!$I$5:$I$44,Posiciones!$A$5:$A$44,A71,Posiciones!$B$5:$B$44,B71,Posiciones!$C$5:$C$44,C71)</f>
        <v>15585.07</v>
      </c>
      <c r="F71" s="17">
        <f>SUMIFS(Posiciones!$Q$5:$Q$44,Posiciones!$A$5:$A$44,A71,Posiciones!$B$5:$B$44,B71,Posiciones!$C$5:$C$44,C71)</f>
        <v>16110</v>
      </c>
      <c r="G71" s="17">
        <f>SUMIFS(Posiciones!$R$5:$R$44,Posiciones!$A$5:$A$44,A71,Posiciones!$B$5:$B$44,B71,Posiciones!$C$5:$C$44,C71)</f>
        <v>524.93000000000029</v>
      </c>
      <c r="H71" s="14">
        <f>COUNTIFS(Posiciones!$A$5:$A$44,A71,Posiciones!$B$5:$B$44,B71,Posiciones!$C$5:$C$44,C71,Posiciones!$G$5:$G$44,"&gt;0")</f>
        <v>1</v>
      </c>
    </row>
    <row r="72" spans="1:8" x14ac:dyDescent="0.3">
      <c r="A72" s="20">
        <v>46309</v>
      </c>
      <c r="B72" s="21" t="s">
        <v>94</v>
      </c>
      <c r="C72" s="21" t="s">
        <v>123</v>
      </c>
      <c r="D72" s="14">
        <f>SUMIFS(Posiciones!$G$5:$G$44,Posiciones!$A$5:$A$44,A72,Posiciones!$B$5:$B$44,B72,Posiciones!$C$5:$C$44,C72)</f>
        <v>220</v>
      </c>
      <c r="E72" s="17">
        <f>SUMIFS(Posiciones!$I$5:$I$44,Posiciones!$A$5:$A$44,A72,Posiciones!$B$5:$B$44,B72,Posiciones!$C$5:$C$44,C72)</f>
        <v>22368.682000000001</v>
      </c>
      <c r="F72" s="17">
        <f>SUMIFS(Posiciones!$Q$5:$Q$44,Posiciones!$A$5:$A$44,A72,Posiciones!$B$5:$B$44,B72,Posiciones!$C$5:$C$44,C72)</f>
        <v>24431</v>
      </c>
      <c r="G72" s="17">
        <f>SUMIFS(Posiciones!$R$5:$R$44,Posiciones!$A$5:$A$44,A72,Posiciones!$B$5:$B$44,B72,Posiciones!$C$5:$C$44,C72)</f>
        <v>2062.3179999999993</v>
      </c>
      <c r="H72" s="14">
        <f>COUNTIFS(Posiciones!$A$5:$A$44,A72,Posiciones!$B$5:$B$44,B72,Posiciones!$C$5:$C$44,C72,Posiciones!$G$5:$G$44,"&gt;0")</f>
        <v>2</v>
      </c>
    </row>
    <row r="73" spans="1:8" x14ac:dyDescent="0.3">
      <c r="A73" s="20">
        <v>46309</v>
      </c>
      <c r="B73" s="21" t="s">
        <v>94</v>
      </c>
      <c r="C73" s="21" t="s">
        <v>126</v>
      </c>
      <c r="D73" s="14">
        <f>SUMIFS(Posiciones!$G$5:$G$44,Posiciones!$A$5:$A$44,A73,Posiciones!$B$5:$B$44,B73,Posiciones!$C$5:$C$44,C73)</f>
        <v>40</v>
      </c>
      <c r="E73" s="17">
        <f>SUMIFS(Posiciones!$I$5:$I$44,Posiciones!$A$5:$A$44,A73,Posiciones!$B$5:$B$44,B73,Posiciones!$C$5:$C$44,C73)</f>
        <v>1975.46</v>
      </c>
      <c r="F73" s="17">
        <f>SUMIFS(Posiciones!$Q$5:$Q$44,Posiciones!$A$5:$A$44,A73,Posiciones!$B$5:$B$44,B73,Posiciones!$C$5:$C$44,C73)</f>
        <v>2118</v>
      </c>
      <c r="G73" s="17">
        <f>SUMIFS(Posiciones!$R$5:$R$44,Posiciones!$A$5:$A$44,A73,Posiciones!$B$5:$B$44,B73,Posiciones!$C$5:$C$44,C73)</f>
        <v>142.53999999999996</v>
      </c>
      <c r="H73" s="14">
        <f>COUNTIFS(Posiciones!$A$5:$A$44,A73,Posiciones!$B$5:$B$44,B73,Posiciones!$C$5:$C$44,C73,Posiciones!$G$5:$G$44,"&gt;0")</f>
        <v>1</v>
      </c>
    </row>
    <row r="74" spans="1:8" x14ac:dyDescent="0.3">
      <c r="A74" s="20">
        <v>46309</v>
      </c>
      <c r="B74" s="21" t="s">
        <v>94</v>
      </c>
      <c r="C74" s="21" t="s">
        <v>129</v>
      </c>
      <c r="D74" s="14">
        <f>SUMIFS(Posiciones!$G$5:$G$44,Posiciones!$A$5:$A$44,A74,Posiciones!$B$5:$B$44,B74,Posiciones!$C$5:$C$44,C74)</f>
        <v>300</v>
      </c>
      <c r="E74" s="17">
        <f>SUMIFS(Posiciones!$I$5:$I$44,Posiciones!$A$5:$A$44,A74,Posiciones!$B$5:$B$44,B74,Posiciones!$C$5:$C$44,C74)</f>
        <v>7344.99</v>
      </c>
      <c r="F74" s="17">
        <f>SUMIFS(Posiciones!$Q$5:$Q$44,Posiciones!$A$5:$A$44,A74,Posiciones!$B$5:$B$44,B74,Posiciones!$C$5:$C$44,C74)</f>
        <v>7686.75</v>
      </c>
      <c r="G74" s="17">
        <f>SUMIFS(Posiciones!$R$5:$R$44,Posiciones!$A$5:$A$44,A74,Posiciones!$B$5:$B$44,B74,Posiciones!$C$5:$C$44,C74)</f>
        <v>341.76000000000022</v>
      </c>
      <c r="H74" s="14">
        <f>COUNTIFS(Posiciones!$A$5:$A$44,A74,Posiciones!$B$5:$B$44,B74,Posiciones!$C$5:$C$44,C74,Posiciones!$G$5:$G$44,"&gt;0")</f>
        <v>1</v>
      </c>
    </row>
    <row r="75" spans="1:8" x14ac:dyDescent="0.3">
      <c r="A75" s="20">
        <v>46309</v>
      </c>
      <c r="B75" s="21" t="s">
        <v>94</v>
      </c>
      <c r="C75" s="21" t="s">
        <v>132</v>
      </c>
      <c r="D75" s="14">
        <f>SUMIFS(Posiciones!$G$5:$G$44,Posiciones!$A$5:$A$44,A75,Posiciones!$B$5:$B$44,B75,Posiciones!$C$5:$C$44,C75)</f>
        <v>0</v>
      </c>
      <c r="E75" s="17">
        <f>SUMIFS(Posiciones!$I$5:$I$44,Posiciones!$A$5:$A$44,A75,Posiciones!$B$5:$B$44,B75,Posiciones!$C$5:$C$44,C75)</f>
        <v>0</v>
      </c>
      <c r="F75" s="17">
        <f>SUMIFS(Posiciones!$Q$5:$Q$44,Posiciones!$A$5:$A$44,A75,Posiciones!$B$5:$B$44,B75,Posiciones!$C$5:$C$44,C75)</f>
        <v>0</v>
      </c>
      <c r="G75" s="17">
        <f>SUMIFS(Posiciones!$R$5:$R$44,Posiciones!$A$5:$A$44,A75,Posiciones!$B$5:$B$44,B75,Posiciones!$C$5:$C$44,C75)</f>
        <v>0</v>
      </c>
      <c r="H75" s="14">
        <f>COUNTIFS(Posiciones!$A$5:$A$44,A75,Posiciones!$B$5:$B$44,B75,Posiciones!$C$5:$C$44,C75,Posiciones!$G$5:$G$44,"&gt;0")</f>
        <v>0</v>
      </c>
    </row>
    <row r="76" spans="1:8" x14ac:dyDescent="0.3">
      <c r="A76" s="20">
        <v>46309</v>
      </c>
      <c r="B76" s="21" t="s">
        <v>94</v>
      </c>
      <c r="C76" s="21" t="s">
        <v>135</v>
      </c>
      <c r="D76" s="14">
        <f>SUMIFS(Posiciones!$G$5:$G$44,Posiciones!$A$5:$A$44,A76,Posiciones!$B$5:$B$44,B76,Posiciones!$C$5:$C$44,C76)</f>
        <v>1000</v>
      </c>
      <c r="E76" s="17">
        <f>SUMIFS(Posiciones!$I$5:$I$44,Posiciones!$A$5:$A$44,A76,Posiciones!$B$5:$B$44,B76,Posiciones!$C$5:$C$44,C76)</f>
        <v>9952.856600000001</v>
      </c>
      <c r="F76" s="17">
        <f>SUMIFS(Posiciones!$Q$5:$Q$44,Posiciones!$A$5:$A$44,A76,Posiciones!$B$5:$B$44,B76,Posiciones!$C$5:$C$44,C76)</f>
        <v>9962.9213</v>
      </c>
      <c r="G76" s="17">
        <f>SUMIFS(Posiciones!$R$5:$R$44,Posiciones!$A$5:$A$44,A76,Posiciones!$B$5:$B$44,B76,Posiciones!$C$5:$C$44,C76)</f>
        <v>10.064699999998993</v>
      </c>
      <c r="H76" s="14">
        <f>COUNTIFS(Posiciones!$A$5:$A$44,A76,Posiciones!$B$5:$B$44,B76,Posiciones!$C$5:$C$44,C76,Posiciones!$G$5:$G$44,"&gt;0")</f>
        <v>1</v>
      </c>
    </row>
    <row r="77" spans="1:8" x14ac:dyDescent="0.3">
      <c r="A77" s="20">
        <v>46309</v>
      </c>
      <c r="B77" s="21" t="s">
        <v>94</v>
      </c>
      <c r="C77" s="21" t="s">
        <v>137</v>
      </c>
      <c r="D77" s="14">
        <f>SUMIFS(Posiciones!$G$5:$G$44,Posiciones!$A$5:$A$44,A77,Posiciones!$B$5:$B$44,B77,Posiciones!$C$5:$C$44,C77)</f>
        <v>1000</v>
      </c>
      <c r="E77" s="17">
        <f>SUMIFS(Posiciones!$I$5:$I$44,Posiciones!$A$5:$A$44,A77,Posiciones!$B$5:$B$44,B77,Posiciones!$C$5:$C$44,C77)</f>
        <v>9834.4372000000003</v>
      </c>
      <c r="F77" s="17">
        <f>SUMIFS(Posiciones!$Q$5:$Q$44,Posiciones!$A$5:$A$44,A77,Posiciones!$B$5:$B$44,B77,Posiciones!$C$5:$C$44,C77)</f>
        <v>9886.0375000000004</v>
      </c>
      <c r="G77" s="17">
        <f>SUMIFS(Posiciones!$R$5:$R$44,Posiciones!$A$5:$A$44,A77,Posiciones!$B$5:$B$44,B77,Posiciones!$C$5:$C$44,C77)</f>
        <v>51.600300000000061</v>
      </c>
      <c r="H77" s="14">
        <f>COUNTIFS(Posiciones!$A$5:$A$44,A77,Posiciones!$B$5:$B$44,B77,Posiciones!$C$5:$C$44,C77,Posiciones!$G$5:$G$44,"&gt;0")</f>
        <v>1</v>
      </c>
    </row>
    <row r="78" spans="1:8" x14ac:dyDescent="0.3">
      <c r="A78" s="20">
        <v>46309</v>
      </c>
      <c r="B78" s="21" t="s">
        <v>94</v>
      </c>
      <c r="C78" s="21" t="s">
        <v>139</v>
      </c>
      <c r="D78" s="14">
        <f>SUMIFS(Posiciones!$G$5:$G$44,Posiciones!$A$5:$A$44,A78,Posiciones!$B$5:$B$44,B78,Posiciones!$C$5:$C$44,C78)</f>
        <v>500</v>
      </c>
      <c r="E78" s="17">
        <f>SUMIFS(Posiciones!$I$5:$I$44,Posiciones!$A$5:$A$44,A78,Posiciones!$B$5:$B$44,B78,Posiciones!$C$5:$C$44,C78)</f>
        <v>4831.4624999999996</v>
      </c>
      <c r="F78" s="17">
        <f>SUMIFS(Posiciones!$Q$5:$Q$44,Posiciones!$A$5:$A$44,A78,Posiciones!$B$5:$B$44,B78,Posiciones!$C$5:$C$44,C78)</f>
        <v>4856.1693999999998</v>
      </c>
      <c r="G78" s="17">
        <f>SUMIFS(Posiciones!$R$5:$R$44,Posiciones!$A$5:$A$44,A78,Posiciones!$B$5:$B$44,B78,Posiciones!$C$5:$C$44,C78)</f>
        <v>24.706900000000132</v>
      </c>
      <c r="H78" s="14">
        <f>COUNTIFS(Posiciones!$A$5:$A$44,A78,Posiciones!$B$5:$B$44,B78,Posiciones!$C$5:$C$44,C78,Posiciones!$G$5:$G$44,"&gt;0")</f>
        <v>1</v>
      </c>
    </row>
    <row r="79" spans="1:8" x14ac:dyDescent="0.3">
      <c r="A79" s="20">
        <v>46309</v>
      </c>
      <c r="B79" s="21" t="s">
        <v>103</v>
      </c>
      <c r="C79" s="21" t="s">
        <v>123</v>
      </c>
      <c r="D79" s="14">
        <f>SUMIFS(Posiciones!$G$5:$G$44,Posiciones!$A$5:$A$44,A79,Posiciones!$B$5:$B$44,B79,Posiciones!$C$5:$C$44,C79)</f>
        <v>150</v>
      </c>
      <c r="E79" s="17">
        <f>SUMIFS(Posiciones!$I$5:$I$44,Posiciones!$A$5:$A$44,A79,Posiciones!$B$5:$B$44,B79,Posiciones!$C$5:$C$44,C79)</f>
        <v>15585.07</v>
      </c>
      <c r="F79" s="17">
        <f>SUMIFS(Posiciones!$Q$5:$Q$44,Posiciones!$A$5:$A$44,A79,Posiciones!$B$5:$B$44,B79,Posiciones!$C$5:$C$44,C79)</f>
        <v>16657.5</v>
      </c>
      <c r="G79" s="17">
        <f>SUMIFS(Posiciones!$R$5:$R$44,Posiciones!$A$5:$A$44,A79,Posiciones!$B$5:$B$44,B79,Posiciones!$C$5:$C$44,C79)</f>
        <v>1072.4300000000003</v>
      </c>
      <c r="H79" s="14">
        <f>COUNTIFS(Posiciones!$A$5:$A$44,A79,Posiciones!$B$5:$B$44,B79,Posiciones!$C$5:$C$44,C79,Posiciones!$G$5:$G$44,"&gt;0")</f>
        <v>1</v>
      </c>
    </row>
    <row r="81" spans="1:8" x14ac:dyDescent="0.3">
      <c r="A81" s="7" t="s">
        <v>344</v>
      </c>
    </row>
    <row r="82" spans="1:8" ht="39.6" x14ac:dyDescent="0.3">
      <c r="A82" s="8" t="s">
        <v>80</v>
      </c>
      <c r="B82" s="8" t="s">
        <v>319</v>
      </c>
      <c r="C82" s="8" t="s">
        <v>325</v>
      </c>
      <c r="D82" s="8" t="s">
        <v>345</v>
      </c>
      <c r="E82" s="8" t="s">
        <v>329</v>
      </c>
      <c r="F82" s="8" t="s">
        <v>346</v>
      </c>
      <c r="G82" s="8" t="s">
        <v>347</v>
      </c>
      <c r="H82" s="8" t="s">
        <v>348</v>
      </c>
    </row>
    <row r="83" spans="1:8" x14ac:dyDescent="0.3">
      <c r="A83" s="20">
        <v>46278</v>
      </c>
      <c r="B83" s="21" t="s">
        <v>94</v>
      </c>
      <c r="C83" s="17">
        <f>SUMIFS(Posiciones!$I$5:$I$44,Posiciones!$A$5:$A$44,A83,Posiciones!$B$5:$B$44,B83)</f>
        <v>59968.520000000004</v>
      </c>
      <c r="D83" s="17">
        <f>SUMIFS(Posiciones!$Q$5:$Q$44,Posiciones!$A$5:$A$44,A83,Posiciones!$B$5:$B$44,B83)</f>
        <v>60329.962</v>
      </c>
      <c r="E83" s="17">
        <f>SUMIFS(Posiciones!$R$5:$R$44,Posiciones!$A$5:$A$44,A83,Posiciones!$B$5:$B$44,B83)</f>
        <v>361.44199999999546</v>
      </c>
      <c r="F83" s="17">
        <f>SUMIFS(Posiciones!$F$48:$F$79,Posiciones!$A$48:$A$79,A83,Posiciones!$B$48:$B$79,B83)</f>
        <v>60329.962</v>
      </c>
      <c r="G83" s="17">
        <f>SUMIFS(Serie!$D$5:$D$74,Serie!$A$5:$A$74,A83,Serie!$B$5:$B$74,B83)</f>
        <v>60329.962</v>
      </c>
      <c r="H83" s="11" t="b">
        <f t="shared" ref="H83:H90" si="0">AND(ABS(D83-F83)&lt;0.000000001,ABS(D83-G83)&lt;0.000000001)</f>
        <v>1</v>
      </c>
    </row>
    <row r="84" spans="1:8" x14ac:dyDescent="0.3">
      <c r="A84" s="20">
        <v>46278</v>
      </c>
      <c r="B84" s="21" t="s">
        <v>103</v>
      </c>
      <c r="C84" s="17">
        <f>SUMIFS(Posiciones!$I$5:$I$44,Posiciones!$A$5:$A$44,A84,Posiciones!$B$5:$B$44,B84)</f>
        <v>0</v>
      </c>
      <c r="D84" s="17">
        <f>SUMIFS(Posiciones!$Q$5:$Q$44,Posiciones!$A$5:$A$44,A84,Posiciones!$B$5:$B$44,B84)</f>
        <v>0</v>
      </c>
      <c r="E84" s="17">
        <f>SUMIFS(Posiciones!$R$5:$R$44,Posiciones!$A$5:$A$44,A84,Posiciones!$B$5:$B$44,B84)</f>
        <v>0</v>
      </c>
      <c r="F84" s="17">
        <f>SUMIFS(Posiciones!$F$48:$F$79,Posiciones!$A$48:$A$79,A84,Posiciones!$B$48:$B$79,B84)</f>
        <v>0</v>
      </c>
      <c r="G84" s="17">
        <f>SUMIFS(Serie!$D$5:$D$74,Serie!$A$5:$A$74,A84,Serie!$B$5:$B$74,B84)</f>
        <v>0</v>
      </c>
      <c r="H84" s="11" t="b">
        <f t="shared" si="0"/>
        <v>1</v>
      </c>
    </row>
    <row r="85" spans="1:8" x14ac:dyDescent="0.3">
      <c r="A85" s="20">
        <v>46281</v>
      </c>
      <c r="B85" s="21" t="s">
        <v>94</v>
      </c>
      <c r="C85" s="17">
        <f>SUMIFS(Posiciones!$I$5:$I$44,Posiciones!$A$5:$A$44,A85,Posiciones!$B$5:$B$44,B85)</f>
        <v>70308.42</v>
      </c>
      <c r="D85" s="17">
        <f>SUMIFS(Posiciones!$Q$5:$Q$44,Posiciones!$A$5:$A$44,A85,Posiciones!$B$5:$B$44,B85)</f>
        <v>71641.877250000005</v>
      </c>
      <c r="E85" s="17">
        <f>SUMIFS(Posiciones!$R$5:$R$44,Posiciones!$A$5:$A$44,A85,Posiciones!$B$5:$B$44,B85)</f>
        <v>1333.4572499999977</v>
      </c>
      <c r="F85" s="17">
        <f>SUMIFS(Posiciones!$F$48:$F$79,Posiciones!$A$48:$A$79,A85,Posiciones!$B$48:$B$79,B85)</f>
        <v>71641.87724999999</v>
      </c>
      <c r="G85" s="17">
        <f>SUMIFS(Serie!$D$5:$D$74,Serie!$A$5:$A$74,A85,Serie!$B$5:$B$74,B85)</f>
        <v>71641.877250000005</v>
      </c>
      <c r="H85" s="11" t="b">
        <f t="shared" si="0"/>
        <v>1</v>
      </c>
    </row>
    <row r="86" spans="1:8" x14ac:dyDescent="0.3">
      <c r="A86" s="20">
        <v>46281</v>
      </c>
      <c r="B86" s="21" t="s">
        <v>103</v>
      </c>
      <c r="C86" s="17">
        <f>SUMIFS(Posiciones!$I$5:$I$44,Posiciones!$A$5:$A$44,A86,Posiciones!$B$5:$B$44,B86)</f>
        <v>15585.07</v>
      </c>
      <c r="D86" s="17">
        <f>SUMIFS(Posiciones!$Q$5:$Q$44,Posiciones!$A$5:$A$44,A86,Posiciones!$B$5:$B$44,B86)</f>
        <v>15712.5</v>
      </c>
      <c r="E86" s="17">
        <f>SUMIFS(Posiciones!$R$5:$R$44,Posiciones!$A$5:$A$44,A86,Posiciones!$B$5:$B$44,B86)</f>
        <v>127.43000000000029</v>
      </c>
      <c r="F86" s="17">
        <f>SUMIFS(Posiciones!$F$48:$F$79,Posiciones!$A$48:$A$79,A86,Posiciones!$B$48:$B$79,B86)</f>
        <v>15712.5</v>
      </c>
      <c r="G86" s="17">
        <f>SUMIFS(Serie!$D$5:$D$74,Serie!$A$5:$A$74,A86,Serie!$B$5:$B$74,B86)</f>
        <v>15712.5</v>
      </c>
      <c r="H86" s="11" t="b">
        <f t="shared" si="0"/>
        <v>1</v>
      </c>
    </row>
    <row r="87" spans="1:8" x14ac:dyDescent="0.3">
      <c r="A87" s="20">
        <v>46303</v>
      </c>
      <c r="B87" s="21" t="s">
        <v>94</v>
      </c>
      <c r="C87" s="17">
        <f>SUMIFS(Posiciones!$I$5:$I$44,Posiciones!$A$5:$A$44,A87,Posiciones!$B$5:$B$44,B87)</f>
        <v>56307.888299999999</v>
      </c>
      <c r="D87" s="17">
        <f>SUMIFS(Posiciones!$Q$5:$Q$44,Posiciones!$A$5:$A$44,A87,Posiciones!$B$5:$B$44,B87)</f>
        <v>57842.719700000009</v>
      </c>
      <c r="E87" s="17">
        <f>SUMIFS(Posiciones!$R$5:$R$44,Posiciones!$A$5:$A$44,A87,Posiciones!$B$5:$B$44,B87)</f>
        <v>1534.8314000000009</v>
      </c>
      <c r="F87" s="17">
        <f>SUMIFS(Posiciones!$F$48:$F$79,Posiciones!$A$48:$A$79,A87,Posiciones!$B$48:$B$79,B87)</f>
        <v>57842.719700000009</v>
      </c>
      <c r="G87" s="17">
        <f>SUMIFS(Serie!$D$5:$D$74,Serie!$A$5:$A$74,A87,Serie!$B$5:$B$74,B87)</f>
        <v>57842.719700000009</v>
      </c>
      <c r="H87" s="11" t="b">
        <f t="shared" si="0"/>
        <v>1</v>
      </c>
    </row>
    <row r="88" spans="1:8" x14ac:dyDescent="0.3">
      <c r="A88" s="20">
        <v>46303</v>
      </c>
      <c r="B88" s="21" t="s">
        <v>103</v>
      </c>
      <c r="C88" s="17">
        <f>SUMIFS(Posiciones!$I$5:$I$44,Posiciones!$A$5:$A$44,A88,Posiciones!$B$5:$B$44,B88)</f>
        <v>15585.07</v>
      </c>
      <c r="D88" s="17">
        <f>SUMIFS(Posiciones!$Q$5:$Q$44,Posiciones!$A$5:$A$44,A88,Posiciones!$B$5:$B$44,B88)</f>
        <v>16110</v>
      </c>
      <c r="E88" s="17">
        <f>SUMIFS(Posiciones!$R$5:$R$44,Posiciones!$A$5:$A$44,A88,Posiciones!$B$5:$B$44,B88)</f>
        <v>524.93000000000029</v>
      </c>
      <c r="F88" s="17">
        <f>SUMIFS(Posiciones!$F$48:$F$79,Posiciones!$A$48:$A$79,A88,Posiciones!$B$48:$B$79,B88)</f>
        <v>16110</v>
      </c>
      <c r="G88" s="17">
        <f>SUMIFS(Serie!$D$5:$D$74,Serie!$A$5:$A$74,A88,Serie!$B$5:$B$74,B88)</f>
        <v>16110</v>
      </c>
      <c r="H88" s="11" t="b">
        <f t="shared" si="0"/>
        <v>1</v>
      </c>
    </row>
    <row r="89" spans="1:8" x14ac:dyDescent="0.3">
      <c r="A89" s="20">
        <v>46309</v>
      </c>
      <c r="B89" s="21" t="s">
        <v>94</v>
      </c>
      <c r="C89" s="17">
        <f>SUMIFS(Posiciones!$I$5:$I$44,Posiciones!$A$5:$A$44,A89,Posiciones!$B$5:$B$44,B89)</f>
        <v>56307.888299999999</v>
      </c>
      <c r="D89" s="17">
        <f>SUMIFS(Posiciones!$Q$5:$Q$44,Posiciones!$A$5:$A$44,A89,Posiciones!$B$5:$B$44,B89)</f>
        <v>58940.878199999999</v>
      </c>
      <c r="E89" s="17">
        <f>SUMIFS(Posiciones!$R$5:$R$44,Posiciones!$A$5:$A$44,A89,Posiciones!$B$5:$B$44,B89)</f>
        <v>2632.9898999999987</v>
      </c>
      <c r="F89" s="17">
        <f>SUMIFS(Posiciones!$F$48:$F$79,Posiciones!$A$48:$A$79,A89,Posiciones!$B$48:$B$79,B89)</f>
        <v>58940.878199999999</v>
      </c>
      <c r="G89" s="17">
        <f>SUMIFS(Serie!$D$5:$D$74,Serie!$A$5:$A$74,A89,Serie!$B$5:$B$74,B89)</f>
        <v>58940.878199999999</v>
      </c>
      <c r="H89" s="11" t="b">
        <f t="shared" si="0"/>
        <v>1</v>
      </c>
    </row>
    <row r="90" spans="1:8" x14ac:dyDescent="0.3">
      <c r="A90" s="20">
        <v>46309</v>
      </c>
      <c r="B90" s="21" t="s">
        <v>103</v>
      </c>
      <c r="C90" s="17">
        <f>SUMIFS(Posiciones!$I$5:$I$44,Posiciones!$A$5:$A$44,A90,Posiciones!$B$5:$B$44,B90)</f>
        <v>15585.07</v>
      </c>
      <c r="D90" s="17">
        <f>SUMIFS(Posiciones!$Q$5:$Q$44,Posiciones!$A$5:$A$44,A90,Posiciones!$B$5:$B$44,B90)</f>
        <v>16657.5</v>
      </c>
      <c r="E90" s="17">
        <f>SUMIFS(Posiciones!$R$5:$R$44,Posiciones!$A$5:$A$44,A90,Posiciones!$B$5:$B$44,B90)</f>
        <v>1072.4300000000003</v>
      </c>
      <c r="F90" s="17">
        <f>SUMIFS(Posiciones!$F$48:$F$79,Posiciones!$A$48:$A$79,A90,Posiciones!$B$48:$B$79,B90)</f>
        <v>16657.5</v>
      </c>
      <c r="G90" s="17">
        <f>SUMIFS(Serie!$D$5:$D$74,Serie!$A$5:$A$74,A90,Serie!$B$5:$B$74,B90)</f>
        <v>16657.5</v>
      </c>
      <c r="H90" s="11" t="b">
        <f t="shared" si="0"/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1" customWidth="1"/>
    <col min="3" max="3" width="18" customWidth="1"/>
    <col min="4" max="4" width="14" customWidth="1"/>
    <col min="5" max="5" width="13" customWidth="1"/>
    <col min="6" max="6" width="12" customWidth="1"/>
    <col min="7" max="7" width="13" customWidth="1"/>
    <col min="8" max="8" width="12" customWidth="1"/>
    <col min="9" max="10" width="14" customWidth="1"/>
    <col min="11" max="11" width="17" customWidth="1"/>
    <col min="12" max="12" width="15" customWidth="1"/>
    <col min="13" max="14" width="16" customWidth="1"/>
    <col min="15" max="15" width="17" customWidth="1"/>
  </cols>
  <sheetData>
    <row r="1" spans="1:15" ht="17.399999999999999" x14ac:dyDescent="0.3">
      <c r="A1" s="5" t="s">
        <v>349</v>
      </c>
    </row>
    <row r="2" spans="1:15" x14ac:dyDescent="0.3">
      <c r="A2" s="6" t="s">
        <v>350</v>
      </c>
    </row>
    <row r="4" spans="1:15" ht="26.4" x14ac:dyDescent="0.3">
      <c r="A4" s="8" t="s">
        <v>177</v>
      </c>
      <c r="B4" s="8" t="s">
        <v>319</v>
      </c>
      <c r="C4" s="8" t="s">
        <v>316</v>
      </c>
      <c r="D4" s="8" t="s">
        <v>351</v>
      </c>
      <c r="E4" s="8" t="s">
        <v>352</v>
      </c>
      <c r="F4" s="8" t="s">
        <v>353</v>
      </c>
      <c r="G4" s="8" t="s">
        <v>354</v>
      </c>
      <c r="H4" s="8" t="s">
        <v>355</v>
      </c>
      <c r="I4" s="8" t="s">
        <v>356</v>
      </c>
      <c r="J4" s="8" t="s">
        <v>357</v>
      </c>
      <c r="K4" s="8" t="s">
        <v>358</v>
      </c>
      <c r="L4" s="8" t="s">
        <v>359</v>
      </c>
      <c r="M4" s="8" t="s">
        <v>360</v>
      </c>
      <c r="N4" s="8" t="s">
        <v>361</v>
      </c>
      <c r="O4" s="8" t="s">
        <v>362</v>
      </c>
    </row>
    <row r="5" spans="1:15" x14ac:dyDescent="0.3">
      <c r="A5" s="20">
        <v>46275</v>
      </c>
      <c r="B5" s="21" t="s">
        <v>94</v>
      </c>
      <c r="C5" s="11" t="str">
        <f t="shared" ref="C5:C36" si="0">A5&amp;"|"&amp;B5</f>
        <v>46275|Principal</v>
      </c>
      <c r="D5" s="17">
        <f>SUMIFS('Valuación diaria'!$O$5:$O$354,'Valuación diaria'!$A$5:$A$354,A5,'Valuación diaria'!$B$5:$B$354,B5)</f>
        <v>49929.06</v>
      </c>
      <c r="E5" s="17">
        <f>SUMIFS(Transacciones!$R$5:$R$20,Transacciones!$B$5:$B$20,B5,Transacciones!$F$5:$F$20,A5)</f>
        <v>49946.540000000008</v>
      </c>
      <c r="F5" s="17">
        <f>SUMIFS(Transacciones!$S$5:$S$20,Transacciones!$B$5:$B$20,B5,Transacciones!$F$5:$F$20,A5)</f>
        <v>0</v>
      </c>
      <c r="G5" s="17">
        <f>SUMIFS('Valuación diaria'!$Q$5:$Q$354,'Valuación diaria'!$A$5:$A$354,A5,'Valuación diaria'!$B$5:$B$354,B5)</f>
        <v>0</v>
      </c>
      <c r="H5" s="17">
        <f t="shared" ref="H5:H36" si="1">F5+G5</f>
        <v>0</v>
      </c>
      <c r="I5" s="17" t="str">
        <f>IF(A5=Entradas!$B$8,"",D4)</f>
        <v/>
      </c>
      <c r="J5" s="17" t="str">
        <f>IF(A5=Entradas!$B$8,"",I5+E5)</f>
        <v/>
      </c>
      <c r="K5" s="27" t="str">
        <f>IF(A5=Entradas!$B$8,"",IF(J5=0,0,(D5+H5)/J5-1))</f>
        <v/>
      </c>
      <c r="L5" s="26" t="str">
        <f>IF(A5=Entradas!$B$8,"",K5*100)</f>
        <v/>
      </c>
      <c r="M5" s="27">
        <f>IF(A5=Entradas!$B$8,1,M4*(1+K5))</f>
        <v>1</v>
      </c>
      <c r="N5" s="27">
        <f>IF(A5=Entradas!$B$8,1,MAX(N4,M5))</f>
        <v>1</v>
      </c>
      <c r="O5" s="27">
        <f t="shared" ref="O5:O36" si="2">M5/N5-1</f>
        <v>0</v>
      </c>
    </row>
    <row r="6" spans="1:15" x14ac:dyDescent="0.3">
      <c r="A6" s="20">
        <v>46276</v>
      </c>
      <c r="B6" s="21" t="s">
        <v>94</v>
      </c>
      <c r="C6" s="11" t="str">
        <f t="shared" si="0"/>
        <v>46276|Principal</v>
      </c>
      <c r="D6" s="17">
        <f>SUMIFS('Valuación diaria'!$O$5:$O$354,'Valuación diaria'!$A$5:$A$354,A6,'Valuación diaria'!$B$5:$B$354,B6)</f>
        <v>60321.359249999994</v>
      </c>
      <c r="E6" s="17">
        <f>SUMIFS(Transacciones!$R$5:$R$20,Transacciones!$B$5:$B$20,B6,Transacciones!$F$5:$F$20,A6)</f>
        <v>10021.98</v>
      </c>
      <c r="F6" s="17">
        <f>SUMIFS(Transacciones!$S$5:$S$20,Transacciones!$B$5:$B$20,B6,Transacciones!$F$5:$F$20,A6)</f>
        <v>0</v>
      </c>
      <c r="G6" s="17">
        <f>SUMIFS('Valuación diaria'!$Q$5:$Q$354,'Valuación diaria'!$A$5:$A$354,A6,'Valuación diaria'!$B$5:$B$354,B6)</f>
        <v>0</v>
      </c>
      <c r="H6" s="17">
        <f t="shared" si="1"/>
        <v>0</v>
      </c>
      <c r="I6" s="17">
        <f>IF(A6=Entradas!$B$8,"",D5)</f>
        <v>49929.06</v>
      </c>
      <c r="J6" s="17">
        <f>IF(A6=Entradas!$B$8,"",I6+E6)</f>
        <v>59951.039999999994</v>
      </c>
      <c r="K6" s="27">
        <f>IF(A6=Entradas!$B$8,"",IF(J6=0,0,(D6+H6)/J6-1))</f>
        <v>6.1770279548112317E-3</v>
      </c>
      <c r="L6" s="26">
        <f>IF(A6=Entradas!$B$8,"",K6*100)</f>
        <v>0.61770279548112317</v>
      </c>
      <c r="M6" s="27">
        <f>IF(A6=Entradas!$B$8,1,M5*(1+K6))</f>
        <v>1.0061770279548112</v>
      </c>
      <c r="N6" s="27">
        <f>IF(A6=Entradas!$B$8,1,MAX(N5,M6))</f>
        <v>1.0061770279548112</v>
      </c>
      <c r="O6" s="27">
        <f t="shared" si="2"/>
        <v>0</v>
      </c>
    </row>
    <row r="7" spans="1:15" x14ac:dyDescent="0.3">
      <c r="A7" s="20">
        <v>46277</v>
      </c>
      <c r="B7" s="21" t="s">
        <v>94</v>
      </c>
      <c r="C7" s="11" t="str">
        <f t="shared" si="0"/>
        <v>46277|Principal</v>
      </c>
      <c r="D7" s="17">
        <f>SUMIFS('Valuación diaria'!$O$5:$O$354,'Valuación diaria'!$A$5:$A$354,A7,'Valuación diaria'!$B$5:$B$354,B7)</f>
        <v>60325.659749999999</v>
      </c>
      <c r="E7" s="17">
        <f>SUMIFS(Transacciones!$R$5:$R$20,Transacciones!$B$5:$B$20,B7,Transacciones!$F$5:$F$20,A7)</f>
        <v>0</v>
      </c>
      <c r="F7" s="17">
        <f>SUMIFS(Transacciones!$S$5:$S$20,Transacciones!$B$5:$B$20,B7,Transacciones!$F$5:$F$20,A7)</f>
        <v>0</v>
      </c>
      <c r="G7" s="17">
        <f>SUMIFS('Valuación diaria'!$Q$5:$Q$354,'Valuación diaria'!$A$5:$A$354,A7,'Valuación diaria'!$B$5:$B$354,B7)</f>
        <v>0</v>
      </c>
      <c r="H7" s="17">
        <f t="shared" si="1"/>
        <v>0</v>
      </c>
      <c r="I7" s="17">
        <f>IF(A7=Entradas!$B$8,"",D6)</f>
        <v>60321.359249999994</v>
      </c>
      <c r="J7" s="17">
        <f>IF(A7=Entradas!$B$8,"",I7+E7)</f>
        <v>60321.359249999994</v>
      </c>
      <c r="K7" s="27">
        <f>IF(A7=Entradas!$B$8,"",IF(J7=0,0,(D7+H7)/J7-1))</f>
        <v>7.1293154754403787E-5</v>
      </c>
      <c r="L7" s="26">
        <f>IF(A7=Entradas!$B$8,"",K7*100)</f>
        <v>7.1293154754403787E-3</v>
      </c>
      <c r="M7" s="27">
        <f>IF(A7=Entradas!$B$8,1,M6*(1+K7))</f>
        <v>1.0062487614893756</v>
      </c>
      <c r="N7" s="27">
        <f>IF(A7=Entradas!$B$8,1,MAX(N6,M7))</f>
        <v>1.0062487614893756</v>
      </c>
      <c r="O7" s="27">
        <f t="shared" si="2"/>
        <v>0</v>
      </c>
    </row>
    <row r="8" spans="1:15" x14ac:dyDescent="0.3">
      <c r="A8" s="20">
        <v>46278</v>
      </c>
      <c r="B8" s="21" t="s">
        <v>94</v>
      </c>
      <c r="C8" s="11" t="str">
        <f t="shared" si="0"/>
        <v>46278|Principal</v>
      </c>
      <c r="D8" s="17">
        <f>SUMIFS('Valuación diaria'!$O$5:$O$354,'Valuación diaria'!$A$5:$A$354,A8,'Valuación diaria'!$B$5:$B$354,B8)</f>
        <v>60329.962</v>
      </c>
      <c r="E8" s="17">
        <f>SUMIFS(Transacciones!$R$5:$R$20,Transacciones!$B$5:$B$20,B8,Transacciones!$F$5:$F$20,A8)</f>
        <v>0</v>
      </c>
      <c r="F8" s="17">
        <f>SUMIFS(Transacciones!$S$5:$S$20,Transacciones!$B$5:$B$20,B8,Transacciones!$F$5:$F$20,A8)</f>
        <v>0</v>
      </c>
      <c r="G8" s="17">
        <f>SUMIFS('Valuación diaria'!$Q$5:$Q$354,'Valuación diaria'!$A$5:$A$354,A8,'Valuación diaria'!$B$5:$B$354,B8)</f>
        <v>0</v>
      </c>
      <c r="H8" s="17">
        <f t="shared" si="1"/>
        <v>0</v>
      </c>
      <c r="I8" s="17">
        <f>IF(A8=Entradas!$B$8,"",D7)</f>
        <v>60325.659749999999</v>
      </c>
      <c r="J8" s="17">
        <f>IF(A8=Entradas!$B$8,"",I8+E8)</f>
        <v>60325.659749999999</v>
      </c>
      <c r="K8" s="27">
        <f>IF(A8=Entradas!$B$8,"",IF(J8=0,0,(D8+H8)/J8-1))</f>
        <v>7.131708161711714E-5</v>
      </c>
      <c r="L8" s="26">
        <f>IF(A8=Entradas!$B$8,"",K8*100)</f>
        <v>7.131708161711714E-3</v>
      </c>
      <c r="M8" s="27">
        <f>IF(A8=Entradas!$B$8,1,M7*(1+K8))</f>
        <v>1.0063205242144257</v>
      </c>
      <c r="N8" s="27">
        <f>IF(A8=Entradas!$B$8,1,MAX(N7,M8))</f>
        <v>1.0063205242144257</v>
      </c>
      <c r="O8" s="27">
        <f t="shared" si="2"/>
        <v>0</v>
      </c>
    </row>
    <row r="9" spans="1:15" x14ac:dyDescent="0.3">
      <c r="A9" s="20">
        <v>46279</v>
      </c>
      <c r="B9" s="21" t="s">
        <v>94</v>
      </c>
      <c r="C9" s="11" t="str">
        <f t="shared" si="0"/>
        <v>46279|Principal</v>
      </c>
      <c r="D9" s="17">
        <f>SUMIFS('Valuación diaria'!$O$5:$O$354,'Valuación diaria'!$A$5:$A$354,A9,'Valuación diaria'!$B$5:$B$354,B9)</f>
        <v>71116.265500000009</v>
      </c>
      <c r="E9" s="17">
        <f>SUMIFS(Transacciones!$R$5:$R$20,Transacciones!$B$5:$B$20,B9,Transacciones!$F$5:$F$20,A9)</f>
        <v>10339.9</v>
      </c>
      <c r="F9" s="17">
        <f>SUMIFS(Transacciones!$S$5:$S$20,Transacciones!$B$5:$B$20,B9,Transacciones!$F$5:$F$20,A9)</f>
        <v>0</v>
      </c>
      <c r="G9" s="17">
        <f>SUMIFS('Valuación diaria'!$Q$5:$Q$354,'Valuación diaria'!$A$5:$A$354,A9,'Valuación diaria'!$B$5:$B$354,B9)</f>
        <v>0</v>
      </c>
      <c r="H9" s="17">
        <f t="shared" si="1"/>
        <v>0</v>
      </c>
      <c r="I9" s="17">
        <f>IF(A9=Entradas!$B$8,"",D8)</f>
        <v>60329.962</v>
      </c>
      <c r="J9" s="17">
        <f>IF(A9=Entradas!$B$8,"",I9+E9)</f>
        <v>70669.861999999994</v>
      </c>
      <c r="K9" s="27">
        <f>IF(A9=Entradas!$B$8,"",IF(J9=0,0,(D9+H9)/J9-1))</f>
        <v>6.3167450362364708E-3</v>
      </c>
      <c r="L9" s="26">
        <f>IF(A9=Entradas!$B$8,"",K9*100)</f>
        <v>0.63167450362364708</v>
      </c>
      <c r="M9" s="27">
        <f>IF(A9=Entradas!$B$8,1,M8*(1+K9))</f>
        <v>1.0126771943906201</v>
      </c>
      <c r="N9" s="27">
        <f>IF(A9=Entradas!$B$8,1,MAX(N8,M9))</f>
        <v>1.0126771943906201</v>
      </c>
      <c r="O9" s="27">
        <f t="shared" si="2"/>
        <v>0</v>
      </c>
    </row>
    <row r="10" spans="1:15" x14ac:dyDescent="0.3">
      <c r="A10" s="20">
        <v>46280</v>
      </c>
      <c r="B10" s="21" t="s">
        <v>94</v>
      </c>
      <c r="C10" s="11" t="str">
        <f t="shared" si="0"/>
        <v>46280|Principal</v>
      </c>
      <c r="D10" s="17">
        <f>SUMIFS('Valuación diaria'!$O$5:$O$354,'Valuación diaria'!$A$5:$A$354,A10,'Valuación diaria'!$B$5:$B$354,B10)</f>
        <v>71637.570749999999</v>
      </c>
      <c r="E10" s="17">
        <f>SUMIFS(Transacciones!$R$5:$R$20,Transacciones!$B$5:$B$20,B10,Transacciones!$F$5:$F$20,A10)</f>
        <v>0</v>
      </c>
      <c r="F10" s="17">
        <f>SUMIFS(Transacciones!$S$5:$S$20,Transacciones!$B$5:$B$20,B10,Transacciones!$F$5:$F$20,A10)</f>
        <v>0</v>
      </c>
      <c r="G10" s="17">
        <f>SUMIFS('Valuación diaria'!$Q$5:$Q$354,'Valuación diaria'!$A$5:$A$354,A10,'Valuación diaria'!$B$5:$B$354,B10)</f>
        <v>0</v>
      </c>
      <c r="H10" s="17">
        <f t="shared" si="1"/>
        <v>0</v>
      </c>
      <c r="I10" s="17">
        <f>IF(A10=Entradas!$B$8,"",D9)</f>
        <v>71116.265500000009</v>
      </c>
      <c r="J10" s="17">
        <f>IF(A10=Entradas!$B$8,"",I10+E10)</f>
        <v>71116.265500000009</v>
      </c>
      <c r="K10" s="27">
        <f>IF(A10=Entradas!$B$8,"",IF(J10=0,0,(D10+H10)/J10-1))</f>
        <v>7.3303237499160456E-3</v>
      </c>
      <c r="L10" s="26">
        <f>IF(A10=Entradas!$B$8,"",K10*100)</f>
        <v>0.73303237499160456</v>
      </c>
      <c r="M10" s="27">
        <f>IF(A10=Entradas!$B$8,1,M9*(1+K10))</f>
        <v>1.0201004460796601</v>
      </c>
      <c r="N10" s="27">
        <f>IF(A10=Entradas!$B$8,1,MAX(N9,M10))</f>
        <v>1.0201004460796601</v>
      </c>
      <c r="O10" s="27">
        <f t="shared" si="2"/>
        <v>0</v>
      </c>
    </row>
    <row r="11" spans="1:15" x14ac:dyDescent="0.3">
      <c r="A11" s="20">
        <v>46281</v>
      </c>
      <c r="B11" s="21" t="s">
        <v>94</v>
      </c>
      <c r="C11" s="11" t="str">
        <f t="shared" si="0"/>
        <v>46281|Principal</v>
      </c>
      <c r="D11" s="17">
        <f>SUMIFS('Valuación diaria'!$O$5:$O$354,'Valuación diaria'!$A$5:$A$354,A11,'Valuación diaria'!$B$5:$B$354,B11)</f>
        <v>71641.877250000005</v>
      </c>
      <c r="E11" s="17">
        <f>SUMIFS(Transacciones!$R$5:$R$20,Transacciones!$B$5:$B$20,B11,Transacciones!$F$5:$F$20,A11)</f>
        <v>0</v>
      </c>
      <c r="F11" s="17">
        <f>SUMIFS(Transacciones!$S$5:$S$20,Transacciones!$B$5:$B$20,B11,Transacciones!$F$5:$F$20,A11)</f>
        <v>0</v>
      </c>
      <c r="G11" s="17">
        <f>SUMIFS('Valuación diaria'!$Q$5:$Q$354,'Valuación diaria'!$A$5:$A$354,A11,'Valuación diaria'!$B$5:$B$354,B11)</f>
        <v>0</v>
      </c>
      <c r="H11" s="17">
        <f t="shared" si="1"/>
        <v>0</v>
      </c>
      <c r="I11" s="17">
        <f>IF(A11=Entradas!$B$8,"",D10)</f>
        <v>71637.570749999999</v>
      </c>
      <c r="J11" s="17">
        <f>IF(A11=Entradas!$B$8,"",I11+E11)</f>
        <v>71637.570749999999</v>
      </c>
      <c r="K11" s="27">
        <f>IF(A11=Entradas!$B$8,"",IF(J11=0,0,(D11+H11)/J11-1))</f>
        <v>6.0115103777569345E-5</v>
      </c>
      <c r="L11" s="26">
        <f>IF(A11=Entradas!$B$8,"",K11*100)</f>
        <v>6.0115103777569345E-3</v>
      </c>
      <c r="M11" s="27">
        <f>IF(A11=Entradas!$B$8,1,M10*(1+K11))</f>
        <v>1.0201617695238396</v>
      </c>
      <c r="N11" s="27">
        <f>IF(A11=Entradas!$B$8,1,MAX(N10,M11))</f>
        <v>1.0201617695238396</v>
      </c>
      <c r="O11" s="27">
        <f t="shared" si="2"/>
        <v>0</v>
      </c>
    </row>
    <row r="12" spans="1:15" x14ac:dyDescent="0.3">
      <c r="A12" s="20">
        <v>46282</v>
      </c>
      <c r="B12" s="21" t="s">
        <v>94</v>
      </c>
      <c r="C12" s="11" t="str">
        <f t="shared" si="0"/>
        <v>46282|Principal</v>
      </c>
      <c r="D12" s="17">
        <f>SUMIFS('Valuación diaria'!$O$5:$O$354,'Valuación diaria'!$A$5:$A$354,A12,'Valuación diaria'!$B$5:$B$354,B12)</f>
        <v>85262.084949999989</v>
      </c>
      <c r="E12" s="17">
        <f>SUMIFS(Transacciones!$R$5:$R$20,Transacciones!$B$5:$B$20,B12,Transacciones!$F$5:$F$20,A12)</f>
        <v>14665.8997</v>
      </c>
      <c r="F12" s="17">
        <f>SUMIFS(Transacciones!$S$5:$S$20,Transacciones!$B$5:$B$20,B12,Transacciones!$F$5:$F$20,A12)</f>
        <v>0</v>
      </c>
      <c r="G12" s="17">
        <f>SUMIFS('Valuación diaria'!$Q$5:$Q$354,'Valuación diaria'!$A$5:$A$354,A12,'Valuación diaria'!$B$5:$B$354,B12)</f>
        <v>0</v>
      </c>
      <c r="H12" s="17">
        <f t="shared" si="1"/>
        <v>0</v>
      </c>
      <c r="I12" s="17">
        <f>IF(A12=Entradas!$B$8,"",D11)</f>
        <v>71641.877250000005</v>
      </c>
      <c r="J12" s="17">
        <f>IF(A12=Entradas!$B$8,"",I12+E12)</f>
        <v>86307.776949999999</v>
      </c>
      <c r="K12" s="27">
        <f>IF(A12=Entradas!$B$8,"",IF(J12=0,0,(D12+H12)/J12-1))</f>
        <v>-1.2115849080504115E-2</v>
      </c>
      <c r="L12" s="26">
        <f>IF(A12=Entradas!$B$8,"",K12*100)</f>
        <v>-1.2115849080504115</v>
      </c>
      <c r="M12" s="27">
        <f>IF(A12=Entradas!$B$8,1,M11*(1+K12))</f>
        <v>1.0078016434865888</v>
      </c>
      <c r="N12" s="27">
        <f>IF(A12=Entradas!$B$8,1,MAX(N11,M12))</f>
        <v>1.0201617695238396</v>
      </c>
      <c r="O12" s="27">
        <f t="shared" si="2"/>
        <v>-1.2115849080504004E-2</v>
      </c>
    </row>
    <row r="13" spans="1:15" x14ac:dyDescent="0.3">
      <c r="A13" s="20">
        <v>46283</v>
      </c>
      <c r="B13" s="21" t="s">
        <v>94</v>
      </c>
      <c r="C13" s="11" t="str">
        <f t="shared" si="0"/>
        <v>46283|Principal</v>
      </c>
      <c r="D13" s="17">
        <f>SUMIFS('Valuación diaria'!$O$5:$O$354,'Valuación diaria'!$A$5:$A$354,A13,'Valuación diaria'!$B$5:$B$354,B13)</f>
        <v>83832.298349999997</v>
      </c>
      <c r="E13" s="17">
        <f>SUMIFS(Transacciones!$R$5:$R$20,Transacciones!$B$5:$B$20,B13,Transacciones!$F$5:$F$20,A13)</f>
        <v>0</v>
      </c>
      <c r="F13" s="17">
        <f>SUMIFS(Transacciones!$S$5:$S$20,Transacciones!$B$5:$B$20,B13,Transacciones!$F$5:$F$20,A13)</f>
        <v>0</v>
      </c>
      <c r="G13" s="17">
        <f>SUMIFS('Valuación diaria'!$Q$5:$Q$354,'Valuación diaria'!$A$5:$A$354,A13,'Valuación diaria'!$B$5:$B$354,B13)</f>
        <v>0</v>
      </c>
      <c r="H13" s="17">
        <f t="shared" si="1"/>
        <v>0</v>
      </c>
      <c r="I13" s="17">
        <f>IF(A13=Entradas!$B$8,"",D12)</f>
        <v>85262.084949999989</v>
      </c>
      <c r="J13" s="17">
        <f>IF(A13=Entradas!$B$8,"",I13+E13)</f>
        <v>85262.084949999989</v>
      </c>
      <c r="K13" s="27">
        <f>IF(A13=Entradas!$B$8,"",IF(J13=0,0,(D13+H13)/J13-1))</f>
        <v>-1.6769313122455998E-2</v>
      </c>
      <c r="L13" s="26">
        <f>IF(A13=Entradas!$B$8,"",K13*100)</f>
        <v>-1.6769313122455998</v>
      </c>
      <c r="M13" s="27">
        <f>IF(A13=Entradas!$B$8,1,M12*(1+K13))</f>
        <v>0.99090150216163653</v>
      </c>
      <c r="N13" s="27">
        <f>IF(A13=Entradas!$B$8,1,MAX(N12,M13))</f>
        <v>1.0201617695238396</v>
      </c>
      <c r="O13" s="27">
        <f t="shared" si="2"/>
        <v>-2.8681987735984626E-2</v>
      </c>
    </row>
    <row r="14" spans="1:15" x14ac:dyDescent="0.3">
      <c r="A14" s="20">
        <v>46284</v>
      </c>
      <c r="B14" s="21" t="s">
        <v>94</v>
      </c>
      <c r="C14" s="11" t="str">
        <f t="shared" si="0"/>
        <v>46284|Principal</v>
      </c>
      <c r="D14" s="17">
        <f>SUMIFS('Valuación diaria'!$O$5:$O$354,'Valuación diaria'!$A$5:$A$354,A14,'Valuación diaria'!$B$5:$B$354,B14)</f>
        <v>83839.510250000007</v>
      </c>
      <c r="E14" s="17">
        <f>SUMIFS(Transacciones!$R$5:$R$20,Transacciones!$B$5:$B$20,B14,Transacciones!$F$5:$F$20,A14)</f>
        <v>0</v>
      </c>
      <c r="F14" s="17">
        <f>SUMIFS(Transacciones!$S$5:$S$20,Transacciones!$B$5:$B$20,B14,Transacciones!$F$5:$F$20,A14)</f>
        <v>0</v>
      </c>
      <c r="G14" s="17">
        <f>SUMIFS('Valuación diaria'!$Q$5:$Q$354,'Valuación diaria'!$A$5:$A$354,A14,'Valuación diaria'!$B$5:$B$354,B14)</f>
        <v>0</v>
      </c>
      <c r="H14" s="17">
        <f t="shared" si="1"/>
        <v>0</v>
      </c>
      <c r="I14" s="17">
        <f>IF(A14=Entradas!$B$8,"",D13)</f>
        <v>83832.298349999997</v>
      </c>
      <c r="J14" s="17">
        <f>IF(A14=Entradas!$B$8,"",I14+E14)</f>
        <v>83832.298349999997</v>
      </c>
      <c r="K14" s="27">
        <f>IF(A14=Entradas!$B$8,"",IF(J14=0,0,(D14+H14)/J14-1))</f>
        <v>8.602770223364864E-5</v>
      </c>
      <c r="L14" s="26">
        <f>IF(A14=Entradas!$B$8,"",K14*100)</f>
        <v>8.602770223364864E-3</v>
      </c>
      <c r="M14" s="27">
        <f>IF(A14=Entradas!$B$8,1,M13*(1+K14))</f>
        <v>0.99098674714100732</v>
      </c>
      <c r="N14" s="27">
        <f>IF(A14=Entradas!$B$8,1,MAX(N13,M14))</f>
        <v>1.0201617695238396</v>
      </c>
      <c r="O14" s="27">
        <f t="shared" si="2"/>
        <v>-2.8598427479251454E-2</v>
      </c>
    </row>
    <row r="15" spans="1:15" x14ac:dyDescent="0.3">
      <c r="A15" s="20">
        <v>46285</v>
      </c>
      <c r="B15" s="21" t="s">
        <v>94</v>
      </c>
      <c r="C15" s="11" t="str">
        <f t="shared" si="0"/>
        <v>46285|Principal</v>
      </c>
      <c r="D15" s="17">
        <f>SUMIFS('Valuación diaria'!$O$5:$O$354,'Valuación diaria'!$A$5:$A$354,A15,'Valuación diaria'!$B$5:$B$354,B15)</f>
        <v>83846.720799999996</v>
      </c>
      <c r="E15" s="17">
        <f>SUMIFS(Transacciones!$R$5:$R$20,Transacciones!$B$5:$B$20,B15,Transacciones!$F$5:$F$20,A15)</f>
        <v>0</v>
      </c>
      <c r="F15" s="17">
        <f>SUMIFS(Transacciones!$S$5:$S$20,Transacciones!$B$5:$B$20,B15,Transacciones!$F$5:$F$20,A15)</f>
        <v>0</v>
      </c>
      <c r="G15" s="17">
        <f>SUMIFS('Valuación diaria'!$Q$5:$Q$354,'Valuación diaria'!$A$5:$A$354,A15,'Valuación diaria'!$B$5:$B$354,B15)</f>
        <v>0</v>
      </c>
      <c r="H15" s="17">
        <f t="shared" si="1"/>
        <v>0</v>
      </c>
      <c r="I15" s="17">
        <f>IF(A15=Entradas!$B$8,"",D14)</f>
        <v>83839.510250000007</v>
      </c>
      <c r="J15" s="17">
        <f>IF(A15=Entradas!$B$8,"",I15+E15)</f>
        <v>83839.510250000007</v>
      </c>
      <c r="K15" s="27">
        <f>IF(A15=Entradas!$B$8,"",IF(J15=0,0,(D15+H15)/J15-1))</f>
        <v>8.6004199911116075E-5</v>
      </c>
      <c r="L15" s="26">
        <f>IF(A15=Entradas!$B$8,"",K15*100)</f>
        <v>8.6004199911116075E-3</v>
      </c>
      <c r="M15" s="27">
        <f>IF(A15=Entradas!$B$8,1,M14*(1+K15))</f>
        <v>0.99107197616331766</v>
      </c>
      <c r="N15" s="27">
        <f>IF(A15=Entradas!$B$8,1,MAX(N14,M15))</f>
        <v>1.0201617695238396</v>
      </c>
      <c r="O15" s="27">
        <f t="shared" si="2"/>
        <v>-2.8514882864214441E-2</v>
      </c>
    </row>
    <row r="16" spans="1:15" x14ac:dyDescent="0.3">
      <c r="A16" s="20">
        <v>46286</v>
      </c>
      <c r="B16" s="21" t="s">
        <v>94</v>
      </c>
      <c r="C16" s="11" t="str">
        <f t="shared" si="0"/>
        <v>46286|Principal</v>
      </c>
      <c r="D16" s="17">
        <f>SUMIFS('Valuación diaria'!$O$5:$O$354,'Valuación diaria'!$A$5:$A$354,A16,'Valuación diaria'!$B$5:$B$354,B16)</f>
        <v>82451.929599999989</v>
      </c>
      <c r="E16" s="17">
        <f>SUMIFS(Transacciones!$R$5:$R$20,Transacciones!$B$5:$B$20,B16,Transacciones!$F$5:$F$20,A16)</f>
        <v>0</v>
      </c>
      <c r="F16" s="17">
        <f>SUMIFS(Transacciones!$S$5:$S$20,Transacciones!$B$5:$B$20,B16,Transacciones!$F$5:$F$20,A16)</f>
        <v>0</v>
      </c>
      <c r="G16" s="17">
        <f>SUMIFS('Valuación diaria'!$Q$5:$Q$354,'Valuación diaria'!$A$5:$A$354,A16,'Valuación diaria'!$B$5:$B$354,B16)</f>
        <v>0</v>
      </c>
      <c r="H16" s="17">
        <f t="shared" si="1"/>
        <v>0</v>
      </c>
      <c r="I16" s="17">
        <f>IF(A16=Entradas!$B$8,"",D15)</f>
        <v>83846.720799999996</v>
      </c>
      <c r="J16" s="17">
        <f>IF(A16=Entradas!$B$8,"",I16+E16)</f>
        <v>83846.720799999996</v>
      </c>
      <c r="K16" s="27">
        <f>IF(A16=Entradas!$B$8,"",IF(J16=0,0,(D16+H16)/J16-1))</f>
        <v>-1.6635011920466236E-2</v>
      </c>
      <c r="L16" s="26">
        <f>IF(A16=Entradas!$B$8,"",K16*100)</f>
        <v>-1.6635011920466236</v>
      </c>
      <c r="M16" s="27">
        <f>IF(A16=Entradas!$B$8,1,M15*(1+K16))</f>
        <v>0.97458548202580086</v>
      </c>
      <c r="N16" s="27">
        <f>IF(A16=Entradas!$B$8,1,MAX(N15,M16))</f>
        <v>1.0201617695238396</v>
      </c>
      <c r="O16" s="27">
        <f t="shared" si="2"/>
        <v>-4.4675549368323741E-2</v>
      </c>
    </row>
    <row r="17" spans="1:15" x14ac:dyDescent="0.3">
      <c r="A17" s="20">
        <v>46287</v>
      </c>
      <c r="B17" s="21" t="s">
        <v>94</v>
      </c>
      <c r="C17" s="11" t="str">
        <f t="shared" si="0"/>
        <v>46287|Principal</v>
      </c>
      <c r="D17" s="17">
        <f>SUMIFS('Valuación diaria'!$O$5:$O$354,'Valuación diaria'!$A$5:$A$354,A17,'Valuación diaria'!$B$5:$B$354,B17)</f>
        <v>71943.136900000012</v>
      </c>
      <c r="E17" s="17">
        <f>SUMIFS(Transacciones!$R$5:$R$20,Transacciones!$B$5:$B$20,B17,Transacciones!$F$5:$F$20,A17)</f>
        <v>0</v>
      </c>
      <c r="F17" s="17">
        <f>SUMIFS(Transacciones!$S$5:$S$20,Transacciones!$B$5:$B$20,B17,Transacciones!$F$5:$F$20,A17)</f>
        <v>9256.08</v>
      </c>
      <c r="G17" s="17">
        <f>SUMIFS('Valuación diaria'!$Q$5:$Q$354,'Valuación diaria'!$A$5:$A$354,A17,'Valuación diaria'!$B$5:$B$354,B17)</f>
        <v>0</v>
      </c>
      <c r="H17" s="17">
        <f t="shared" si="1"/>
        <v>9256.08</v>
      </c>
      <c r="I17" s="17">
        <f>IF(A17=Entradas!$B$8,"",D16)</f>
        <v>82451.929599999989</v>
      </c>
      <c r="J17" s="17">
        <f>IF(A17=Entradas!$B$8,"",I17+E17)</f>
        <v>82451.929599999989</v>
      </c>
      <c r="K17" s="27">
        <f>IF(A17=Entradas!$B$8,"",IF(J17=0,0,(D17+H17)/J17-1))</f>
        <v>-1.5193249037072531E-2</v>
      </c>
      <c r="L17" s="26">
        <f>IF(A17=Entradas!$B$8,"",K17*100)</f>
        <v>-1.5193249037072531</v>
      </c>
      <c r="M17" s="27">
        <f>IF(A17=Entradas!$B$8,1,M16*(1+K17))</f>
        <v>0.95977836208946754</v>
      </c>
      <c r="N17" s="27">
        <f>IF(A17=Entradas!$B$8,1,MAX(N16,M17))</f>
        <v>1.0201617695238396</v>
      </c>
      <c r="O17" s="27">
        <f t="shared" si="2"/>
        <v>-5.9190031657975206E-2</v>
      </c>
    </row>
    <row r="18" spans="1:15" x14ac:dyDescent="0.3">
      <c r="A18" s="20">
        <v>46288</v>
      </c>
      <c r="B18" s="21" t="s">
        <v>94</v>
      </c>
      <c r="C18" s="11" t="str">
        <f t="shared" si="0"/>
        <v>46288|Principal</v>
      </c>
      <c r="D18" s="17">
        <f>SUMIFS('Valuación diaria'!$O$5:$O$354,'Valuación diaria'!$A$5:$A$354,A18,'Valuación diaria'!$B$5:$B$354,B18)</f>
        <v>71360.842550000001</v>
      </c>
      <c r="E18" s="17">
        <f>SUMIFS(Transacciones!$R$5:$R$20,Transacciones!$B$5:$B$20,B18,Transacciones!$F$5:$F$20,A18)</f>
        <v>0</v>
      </c>
      <c r="F18" s="17">
        <f>SUMIFS(Transacciones!$S$5:$S$20,Transacciones!$B$5:$B$20,B18,Transacciones!$F$5:$F$20,A18)</f>
        <v>0</v>
      </c>
      <c r="G18" s="17">
        <f>SUMIFS('Valuación diaria'!$Q$5:$Q$354,'Valuación diaria'!$A$5:$A$354,A18,'Valuación diaria'!$B$5:$B$354,B18)</f>
        <v>0</v>
      </c>
      <c r="H18" s="17">
        <f t="shared" si="1"/>
        <v>0</v>
      </c>
      <c r="I18" s="17">
        <f>IF(A18=Entradas!$B$8,"",D17)</f>
        <v>71943.136900000012</v>
      </c>
      <c r="J18" s="17">
        <f>IF(A18=Entradas!$B$8,"",I18+E18)</f>
        <v>71943.136900000012</v>
      </c>
      <c r="K18" s="27">
        <f>IF(A18=Entradas!$B$8,"",IF(J18=0,0,(D18+H18)/J18-1))</f>
        <v>-8.0938137408352873E-3</v>
      </c>
      <c r="L18" s="26">
        <f>IF(A18=Entradas!$B$8,"",K18*100)</f>
        <v>-0.80938137408352873</v>
      </c>
      <c r="M18" s="27">
        <f>IF(A18=Entradas!$B$8,1,M17*(1+K18))</f>
        <v>0.95201009479423138</v>
      </c>
      <c r="N18" s="27">
        <f>IF(A18=Entradas!$B$8,1,MAX(N17,M18))</f>
        <v>1.0201617695238396</v>
      </c>
      <c r="O18" s="27">
        <f t="shared" si="2"/>
        <v>-6.6804772307256788E-2</v>
      </c>
    </row>
    <row r="19" spans="1:15" x14ac:dyDescent="0.3">
      <c r="A19" s="20">
        <v>46289</v>
      </c>
      <c r="B19" s="21" t="s">
        <v>94</v>
      </c>
      <c r="C19" s="11" t="str">
        <f t="shared" si="0"/>
        <v>46289|Principal</v>
      </c>
      <c r="D19" s="17">
        <f>SUMIFS('Valuación diaria'!$O$5:$O$354,'Valuación diaria'!$A$5:$A$354,A19,'Valuación diaria'!$B$5:$B$354,B19)</f>
        <v>72160.526299999998</v>
      </c>
      <c r="E19" s="17">
        <f>SUMIFS(Transacciones!$R$5:$R$20,Transacciones!$B$5:$B$20,B19,Transacciones!$F$5:$F$20,A19)</f>
        <v>0</v>
      </c>
      <c r="F19" s="17">
        <f>SUMIFS(Transacciones!$S$5:$S$20,Transacciones!$B$5:$B$20,B19,Transacciones!$F$5:$F$20,A19)</f>
        <v>0</v>
      </c>
      <c r="G19" s="17">
        <f>SUMIFS('Valuación diaria'!$Q$5:$Q$354,'Valuación diaria'!$A$5:$A$354,A19,'Valuación diaria'!$B$5:$B$354,B19)</f>
        <v>0</v>
      </c>
      <c r="H19" s="17">
        <f t="shared" si="1"/>
        <v>0</v>
      </c>
      <c r="I19" s="17">
        <f>IF(A19=Entradas!$B$8,"",D18)</f>
        <v>71360.842550000001</v>
      </c>
      <c r="J19" s="17">
        <f>IF(A19=Entradas!$B$8,"",I19+E19)</f>
        <v>71360.842550000001</v>
      </c>
      <c r="K19" s="27">
        <f>IF(A19=Entradas!$B$8,"",IF(J19=0,0,(D19+H19)/J19-1))</f>
        <v>1.1206198265381939E-2</v>
      </c>
      <c r="L19" s="26">
        <f>IF(A19=Entradas!$B$8,"",K19*100)</f>
        <v>1.1206198265381939</v>
      </c>
      <c r="M19" s="27">
        <f>IF(A19=Entradas!$B$8,1,M18*(1+K19))</f>
        <v>0.96267850866714055</v>
      </c>
      <c r="N19" s="27">
        <f>IF(A19=Entradas!$B$8,1,MAX(N18,M19))</f>
        <v>1.0201617695238396</v>
      </c>
      <c r="O19" s="27">
        <f t="shared" si="2"/>
        <v>-5.6347201565423721E-2</v>
      </c>
    </row>
    <row r="20" spans="1:15" x14ac:dyDescent="0.3">
      <c r="A20" s="20">
        <v>46290</v>
      </c>
      <c r="B20" s="21" t="s">
        <v>94</v>
      </c>
      <c r="C20" s="11" t="str">
        <f t="shared" si="0"/>
        <v>46290|Principal</v>
      </c>
      <c r="D20" s="17">
        <f>SUMIFS('Valuación diaria'!$O$5:$O$354,'Valuación diaria'!$A$5:$A$354,A20,'Valuación diaria'!$B$5:$B$354,B20)</f>
        <v>70402.08170000001</v>
      </c>
      <c r="E20" s="17">
        <f>SUMIFS(Transacciones!$R$5:$R$20,Transacciones!$B$5:$B$20,B20,Transacciones!$F$5:$F$20,A20)</f>
        <v>2882.33</v>
      </c>
      <c r="F20" s="17">
        <f>SUMIFS(Transacciones!$S$5:$S$20,Transacciones!$B$5:$B$20,B20,Transacciones!$F$5:$F$20,A20)</f>
        <v>5755.26</v>
      </c>
      <c r="G20" s="17">
        <f>SUMIFS('Valuación diaria'!$Q$5:$Q$354,'Valuación diaria'!$A$5:$A$354,A20,'Valuación diaria'!$B$5:$B$354,B20)</f>
        <v>0</v>
      </c>
      <c r="H20" s="17">
        <f t="shared" si="1"/>
        <v>5755.26</v>
      </c>
      <c r="I20" s="17">
        <f>IF(A20=Entradas!$B$8,"",D19)</f>
        <v>72160.526299999998</v>
      </c>
      <c r="J20" s="17">
        <f>IF(A20=Entradas!$B$8,"",I20+E20)</f>
        <v>75042.856299999999</v>
      </c>
      <c r="K20" s="27">
        <f>IF(A20=Entradas!$B$8,"",IF(J20=0,0,(D20+H20)/J20-1))</f>
        <v>1.4851319032215482E-2</v>
      </c>
      <c r="L20" s="26">
        <f>IF(A20=Entradas!$B$8,"",K20*100)</f>
        <v>1.4851319032215482</v>
      </c>
      <c r="M20" s="27">
        <f>IF(A20=Entradas!$B$8,1,M19*(1+K20))</f>
        <v>0.97697555432481364</v>
      </c>
      <c r="N20" s="27">
        <f>IF(A20=Entradas!$B$8,1,MAX(N19,M20))</f>
        <v>1.0201617695238396</v>
      </c>
      <c r="O20" s="27">
        <f t="shared" si="2"/>
        <v>-4.2332712800228878E-2</v>
      </c>
    </row>
    <row r="21" spans="1:15" x14ac:dyDescent="0.3">
      <c r="A21" s="20">
        <v>46291</v>
      </c>
      <c r="B21" s="21" t="s">
        <v>94</v>
      </c>
      <c r="C21" s="11" t="str">
        <f t="shared" si="0"/>
        <v>46291|Principal</v>
      </c>
      <c r="D21" s="17">
        <f>SUMIFS('Valuación diaria'!$O$5:$O$354,'Valuación diaria'!$A$5:$A$354,A21,'Valuación diaria'!$B$5:$B$354,B21)</f>
        <v>70409.234649999984</v>
      </c>
      <c r="E21" s="17">
        <f>SUMIFS(Transacciones!$R$5:$R$20,Transacciones!$B$5:$B$20,B21,Transacciones!$F$5:$F$20,A21)</f>
        <v>0</v>
      </c>
      <c r="F21" s="17">
        <f>SUMIFS(Transacciones!$S$5:$S$20,Transacciones!$B$5:$B$20,B21,Transacciones!$F$5:$F$20,A21)</f>
        <v>0</v>
      </c>
      <c r="G21" s="17">
        <f>SUMIFS('Valuación diaria'!$Q$5:$Q$354,'Valuación diaria'!$A$5:$A$354,A21,'Valuación diaria'!$B$5:$B$354,B21)</f>
        <v>0</v>
      </c>
      <c r="H21" s="17">
        <f t="shared" si="1"/>
        <v>0</v>
      </c>
      <c r="I21" s="17">
        <f>IF(A21=Entradas!$B$8,"",D20)</f>
        <v>70402.08170000001</v>
      </c>
      <c r="J21" s="17">
        <f>IF(A21=Entradas!$B$8,"",I21+E21)</f>
        <v>70402.08170000001</v>
      </c>
      <c r="K21" s="27">
        <f>IF(A21=Entradas!$B$8,"",IF(J21=0,0,(D21+H21)/J21-1))</f>
        <v>1.0160139909576316E-4</v>
      </c>
      <c r="L21" s="26">
        <f>IF(A21=Entradas!$B$8,"",K21*100)</f>
        <v>1.0160139909576316E-2</v>
      </c>
      <c r="M21" s="27">
        <f>IF(A21=Entradas!$B$8,1,M20*(1+K21))</f>
        <v>0.97707481640801541</v>
      </c>
      <c r="N21" s="27">
        <f>IF(A21=Entradas!$B$8,1,MAX(N20,M21))</f>
        <v>1.0201617695238396</v>
      </c>
      <c r="O21" s="27">
        <f t="shared" si="2"/>
        <v>-4.2235412463981103E-2</v>
      </c>
    </row>
    <row r="22" spans="1:15" x14ac:dyDescent="0.3">
      <c r="A22" s="20">
        <v>46292</v>
      </c>
      <c r="B22" s="21" t="s">
        <v>94</v>
      </c>
      <c r="C22" s="11" t="str">
        <f t="shared" si="0"/>
        <v>46292|Principal</v>
      </c>
      <c r="D22" s="17">
        <f>SUMIFS('Valuación diaria'!$O$5:$O$354,'Valuación diaria'!$A$5:$A$354,A22,'Valuación diaria'!$B$5:$B$354,B22)</f>
        <v>70416.385750000001</v>
      </c>
      <c r="E22" s="17">
        <f>SUMIFS(Transacciones!$R$5:$R$20,Transacciones!$B$5:$B$20,B22,Transacciones!$F$5:$F$20,A22)</f>
        <v>0</v>
      </c>
      <c r="F22" s="17">
        <f>SUMIFS(Transacciones!$S$5:$S$20,Transacciones!$B$5:$B$20,B22,Transacciones!$F$5:$F$20,A22)</f>
        <v>0</v>
      </c>
      <c r="G22" s="17">
        <f>SUMIFS('Valuación diaria'!$Q$5:$Q$354,'Valuación diaria'!$A$5:$A$354,A22,'Valuación diaria'!$B$5:$B$354,B22)</f>
        <v>0</v>
      </c>
      <c r="H22" s="17">
        <f t="shared" si="1"/>
        <v>0</v>
      </c>
      <c r="I22" s="17">
        <f>IF(A22=Entradas!$B$8,"",D21)</f>
        <v>70409.234649999984</v>
      </c>
      <c r="J22" s="17">
        <f>IF(A22=Entradas!$B$8,"",I22+E22)</f>
        <v>70409.234649999984</v>
      </c>
      <c r="K22" s="27">
        <f>IF(A22=Entradas!$B$8,"",IF(J22=0,0,(D22+H22)/J22-1))</f>
        <v>1.0156480233836085E-4</v>
      </c>
      <c r="L22" s="26">
        <f>IF(A22=Entradas!$B$8,"",K22*100)</f>
        <v>1.0156480233836085E-2</v>
      </c>
      <c r="M22" s="27">
        <f>IF(A22=Entradas!$B$8,1,M21*(1+K22))</f>
        <v>0.97717405281861369</v>
      </c>
      <c r="N22" s="27">
        <f>IF(A22=Entradas!$B$8,1,MAX(N21,M22))</f>
        <v>1.0201617695238396</v>
      </c>
      <c r="O22" s="27">
        <f t="shared" si="2"/>
        <v>-4.2138137292961342E-2</v>
      </c>
    </row>
    <row r="23" spans="1:15" x14ac:dyDescent="0.3">
      <c r="A23" s="20">
        <v>46293</v>
      </c>
      <c r="B23" s="21" t="s">
        <v>94</v>
      </c>
      <c r="C23" s="11" t="str">
        <f t="shared" si="0"/>
        <v>46293|Principal</v>
      </c>
      <c r="D23" s="17">
        <f>SUMIFS('Valuación diaria'!$O$5:$O$354,'Valuación diaria'!$A$5:$A$354,A23,'Valuación diaria'!$B$5:$B$354,B23)</f>
        <v>71534.534500000009</v>
      </c>
      <c r="E23" s="17">
        <f>SUMIFS(Transacciones!$R$5:$R$20,Transacciones!$B$5:$B$20,B23,Transacciones!$F$5:$F$20,A23)</f>
        <v>0</v>
      </c>
      <c r="F23" s="17">
        <f>SUMIFS(Transacciones!$S$5:$S$20,Transacciones!$B$5:$B$20,B23,Transacciones!$F$5:$F$20,A23)</f>
        <v>0</v>
      </c>
      <c r="G23" s="17">
        <f>SUMIFS('Valuación diaria'!$Q$5:$Q$354,'Valuación diaria'!$A$5:$A$354,A23,'Valuación diaria'!$B$5:$B$354,B23)</f>
        <v>0</v>
      </c>
      <c r="H23" s="17">
        <f t="shared" si="1"/>
        <v>0</v>
      </c>
      <c r="I23" s="17">
        <f>IF(A23=Entradas!$B$8,"",D22)</f>
        <v>70416.385750000001</v>
      </c>
      <c r="J23" s="17">
        <f>IF(A23=Entradas!$B$8,"",I23+E23)</f>
        <v>70416.385750000001</v>
      </c>
      <c r="K23" s="27">
        <f>IF(A23=Entradas!$B$8,"",IF(J23=0,0,(D23+H23)/J23-1))</f>
        <v>1.5879098850227535E-2</v>
      </c>
      <c r="L23" s="26">
        <f>IF(A23=Entradas!$B$8,"",K23*100)</f>
        <v>1.5879098850227535</v>
      </c>
      <c r="M23" s="27">
        <f>IF(A23=Entradas!$B$8,1,M22*(1+K23))</f>
        <v>0.99269069619719796</v>
      </c>
      <c r="N23" s="27">
        <f>IF(A23=Entradas!$B$8,1,MAX(N22,M23))</f>
        <v>1.0201617695238396</v>
      </c>
      <c r="O23" s="27">
        <f t="shared" si="2"/>
        <v>-2.6928154090173129E-2</v>
      </c>
    </row>
    <row r="24" spans="1:15" x14ac:dyDescent="0.3">
      <c r="A24" s="20">
        <v>46294</v>
      </c>
      <c r="B24" s="21" t="s">
        <v>94</v>
      </c>
      <c r="C24" s="11" t="str">
        <f t="shared" si="0"/>
        <v>46294|Principal</v>
      </c>
      <c r="D24" s="17">
        <f>SUMIFS('Valuación diaria'!$O$5:$O$354,'Valuación diaria'!$A$5:$A$354,A24,'Valuación diaria'!$B$5:$B$354,B24)</f>
        <v>72653.081050000008</v>
      </c>
      <c r="E24" s="17">
        <f>SUMIFS(Transacciones!$R$5:$R$20,Transacciones!$B$5:$B$20,B24,Transacciones!$F$5:$F$20,A24)</f>
        <v>0</v>
      </c>
      <c r="F24" s="17">
        <f>SUMIFS(Transacciones!$S$5:$S$20,Transacciones!$B$5:$B$20,B24,Transacciones!$F$5:$F$20,A24)</f>
        <v>0</v>
      </c>
      <c r="G24" s="17">
        <f>SUMIFS('Valuación diaria'!$Q$5:$Q$354,'Valuación diaria'!$A$5:$A$354,A24,'Valuación diaria'!$B$5:$B$354,B24)</f>
        <v>0</v>
      </c>
      <c r="H24" s="17">
        <f t="shared" si="1"/>
        <v>0</v>
      </c>
      <c r="I24" s="17">
        <f>IF(A24=Entradas!$B$8,"",D23)</f>
        <v>71534.534500000009</v>
      </c>
      <c r="J24" s="17">
        <f>IF(A24=Entradas!$B$8,"",I24+E24)</f>
        <v>71534.534500000009</v>
      </c>
      <c r="K24" s="27">
        <f>IF(A24=Entradas!$B$8,"",IF(J24=0,0,(D24+H24)/J24-1))</f>
        <v>1.5636455284405271E-2</v>
      </c>
      <c r="L24" s="26">
        <f>IF(A24=Entradas!$B$8,"",K24*100)</f>
        <v>1.5636455284405271</v>
      </c>
      <c r="M24" s="27">
        <f>IF(A24=Entradas!$B$8,1,M23*(1+K24))</f>
        <v>1.0082128598795306</v>
      </c>
      <c r="N24" s="27">
        <f>IF(A24=Entradas!$B$8,1,MAX(N23,M24))</f>
        <v>1.0201617695238396</v>
      </c>
      <c r="O24" s="27">
        <f t="shared" si="2"/>
        <v>-1.171275968309049E-2</v>
      </c>
    </row>
    <row r="25" spans="1:15" x14ac:dyDescent="0.3">
      <c r="A25" s="20">
        <v>46295</v>
      </c>
      <c r="B25" s="21" t="s">
        <v>94</v>
      </c>
      <c r="C25" s="11" t="str">
        <f t="shared" si="0"/>
        <v>46295|Principal</v>
      </c>
      <c r="D25" s="17">
        <f>SUMIFS('Valuación diaria'!$O$5:$O$354,'Valuación diaria'!$A$5:$A$354,A25,'Valuación diaria'!$B$5:$B$354,B25)</f>
        <v>73866.025550000006</v>
      </c>
      <c r="E25" s="17">
        <f>SUMIFS(Transacciones!$R$5:$R$20,Transacciones!$B$5:$B$20,B25,Transacciones!$F$5:$F$20,A25)</f>
        <v>0</v>
      </c>
      <c r="F25" s="17">
        <f>SUMIFS(Transacciones!$S$5:$S$20,Transacciones!$B$5:$B$20,B25,Transacciones!$F$5:$F$20,A25)</f>
        <v>0</v>
      </c>
      <c r="G25" s="17">
        <f>SUMIFS('Valuación diaria'!$Q$5:$Q$354,'Valuación diaria'!$A$5:$A$354,A25,'Valuación diaria'!$B$5:$B$354,B25)</f>
        <v>0</v>
      </c>
      <c r="H25" s="17">
        <f t="shared" si="1"/>
        <v>0</v>
      </c>
      <c r="I25" s="17">
        <f>IF(A25=Entradas!$B$8,"",D24)</f>
        <v>72653.081050000008</v>
      </c>
      <c r="J25" s="17">
        <f>IF(A25=Entradas!$B$8,"",I25+E25)</f>
        <v>72653.081050000008</v>
      </c>
      <c r="K25" s="27">
        <f>IF(A25=Entradas!$B$8,"",IF(J25=0,0,(D25+H25)/J25-1))</f>
        <v>1.6695018056636091E-2</v>
      </c>
      <c r="L25" s="26">
        <f>IF(A25=Entradas!$B$8,"",K25*100)</f>
        <v>1.6695018056636091</v>
      </c>
      <c r="M25" s="27">
        <f>IF(A25=Entradas!$B$8,1,M24*(1+K25))</f>
        <v>1.0250449917801521</v>
      </c>
      <c r="N25" s="27">
        <f>IF(A25=Entradas!$B$8,1,MAX(N24,M25))</f>
        <v>1.0250449917801521</v>
      </c>
      <c r="O25" s="27">
        <f t="shared" si="2"/>
        <v>0</v>
      </c>
    </row>
    <row r="26" spans="1:15" x14ac:dyDescent="0.3">
      <c r="A26" s="20">
        <v>46296</v>
      </c>
      <c r="B26" s="21" t="s">
        <v>94</v>
      </c>
      <c r="C26" s="11" t="str">
        <f t="shared" si="0"/>
        <v>46296|Principal</v>
      </c>
      <c r="D26" s="17">
        <f>SUMIFS('Valuación diaria'!$O$5:$O$354,'Valuación diaria'!$A$5:$A$354,A26,'Valuación diaria'!$B$5:$B$354,B26)</f>
        <v>68330.434699999998</v>
      </c>
      <c r="E26" s="17">
        <f>SUMIFS(Transacciones!$R$5:$R$20,Transacciones!$B$5:$B$20,B26,Transacciones!$F$5:$F$20,A26)</f>
        <v>0</v>
      </c>
      <c r="F26" s="17">
        <f>SUMIFS(Transacciones!$S$5:$S$20,Transacciones!$B$5:$B$20,B26,Transacciones!$F$5:$F$20,A26)</f>
        <v>4994.1637500000006</v>
      </c>
      <c r="G26" s="17">
        <f>SUMIFS('Valuación diaria'!$Q$5:$Q$354,'Valuación diaria'!$A$5:$A$354,A26,'Valuación diaria'!$B$5:$B$354,B26)</f>
        <v>0</v>
      </c>
      <c r="H26" s="17">
        <f t="shared" si="1"/>
        <v>4994.1637500000006</v>
      </c>
      <c r="I26" s="17">
        <f>IF(A26=Entradas!$B$8,"",D25)</f>
        <v>73866.025550000006</v>
      </c>
      <c r="J26" s="17">
        <f>IF(A26=Entradas!$B$8,"",I26+E26)</f>
        <v>73866.025550000006</v>
      </c>
      <c r="K26" s="27">
        <f>IF(A26=Entradas!$B$8,"",IF(J26=0,0,(D26+H26)/J26-1))</f>
        <v>-7.3298528784861983E-3</v>
      </c>
      <c r="L26" s="26">
        <f>IF(A26=Entradas!$B$8,"",K26*100)</f>
        <v>-0.73298528784861983</v>
      </c>
      <c r="M26" s="27">
        <f>IF(A26=Entradas!$B$8,1,M25*(1+K26))</f>
        <v>1.0175315627965744</v>
      </c>
      <c r="N26" s="27">
        <f>IF(A26=Entradas!$B$8,1,MAX(N25,M26))</f>
        <v>1.0250449917801521</v>
      </c>
      <c r="O26" s="27">
        <f t="shared" si="2"/>
        <v>-7.3298528784861983E-3</v>
      </c>
    </row>
    <row r="27" spans="1:15" x14ac:dyDescent="0.3">
      <c r="A27" s="20">
        <v>46297</v>
      </c>
      <c r="B27" s="21" t="s">
        <v>94</v>
      </c>
      <c r="C27" s="11" t="str">
        <f t="shared" si="0"/>
        <v>46297|Principal</v>
      </c>
      <c r="D27" s="17">
        <f>SUMIFS('Valuación diaria'!$O$5:$O$354,'Valuación diaria'!$A$5:$A$354,A27,'Valuación diaria'!$B$5:$B$354,B27)</f>
        <v>59568.151100000003</v>
      </c>
      <c r="E27" s="17">
        <f>SUMIFS(Transacciones!$R$5:$R$20,Transacciones!$B$5:$B$20,B27,Transacciones!$F$5:$F$20,A27)</f>
        <v>0</v>
      </c>
      <c r="F27" s="17">
        <f>SUMIFS(Transacciones!$S$5:$S$20,Transacciones!$B$5:$B$20,B27,Transacciones!$F$5:$F$20,A27)</f>
        <v>8311.83</v>
      </c>
      <c r="G27" s="17">
        <f>SUMIFS('Valuación diaria'!$Q$5:$Q$354,'Valuación diaria'!$A$5:$A$354,A27,'Valuación diaria'!$B$5:$B$354,B27)</f>
        <v>0</v>
      </c>
      <c r="H27" s="17">
        <f t="shared" si="1"/>
        <v>8311.83</v>
      </c>
      <c r="I27" s="17">
        <f>IF(A27=Entradas!$B$8,"",D26)</f>
        <v>68330.434699999998</v>
      </c>
      <c r="J27" s="17">
        <f>IF(A27=Entradas!$B$8,"",I27+E27)</f>
        <v>68330.434699999998</v>
      </c>
      <c r="K27" s="27">
        <f>IF(A27=Entradas!$B$8,"",IF(J27=0,0,(D27+H27)/J27-1))</f>
        <v>-6.5922835406752034E-3</v>
      </c>
      <c r="L27" s="26">
        <f>IF(A27=Entradas!$B$8,"",K27*100)</f>
        <v>-0.65922835406752034</v>
      </c>
      <c r="M27" s="27">
        <f>IF(A27=Entradas!$B$8,1,M26*(1+K27))</f>
        <v>1.010823706223033</v>
      </c>
      <c r="N27" s="27">
        <f>IF(A27=Entradas!$B$8,1,MAX(N26,M27))</f>
        <v>1.0250449917801521</v>
      </c>
      <c r="O27" s="27">
        <f t="shared" si="2"/>
        <v>-1.387381595067505E-2</v>
      </c>
    </row>
    <row r="28" spans="1:15" x14ac:dyDescent="0.3">
      <c r="A28" s="20">
        <v>46298</v>
      </c>
      <c r="B28" s="21" t="s">
        <v>94</v>
      </c>
      <c r="C28" s="11" t="str">
        <f t="shared" si="0"/>
        <v>46298|Principal</v>
      </c>
      <c r="D28" s="17">
        <f>SUMIFS('Valuación diaria'!$O$5:$O$354,'Valuación diaria'!$A$5:$A$354,A28,'Valuación diaria'!$B$5:$B$354,B28)</f>
        <v>59574.462450000006</v>
      </c>
      <c r="E28" s="17">
        <f>SUMIFS(Transacciones!$R$5:$R$20,Transacciones!$B$5:$B$20,B28,Transacciones!$F$5:$F$20,A28)</f>
        <v>0</v>
      </c>
      <c r="F28" s="17">
        <f>SUMIFS(Transacciones!$S$5:$S$20,Transacciones!$B$5:$B$20,B28,Transacciones!$F$5:$F$20,A28)</f>
        <v>0</v>
      </c>
      <c r="G28" s="17">
        <f>SUMIFS('Valuación diaria'!$Q$5:$Q$354,'Valuación diaria'!$A$5:$A$354,A28,'Valuación diaria'!$B$5:$B$354,B28)</f>
        <v>0</v>
      </c>
      <c r="H28" s="17">
        <f t="shared" si="1"/>
        <v>0</v>
      </c>
      <c r="I28" s="17">
        <f>IF(A28=Entradas!$B$8,"",D27)</f>
        <v>59568.151100000003</v>
      </c>
      <c r="J28" s="17">
        <f>IF(A28=Entradas!$B$8,"",I28+E28)</f>
        <v>59568.151100000003</v>
      </c>
      <c r="K28" s="27">
        <f>IF(A28=Entradas!$B$8,"",IF(J28=0,0,(D28+H28)/J28-1))</f>
        <v>1.0595175246264077E-4</v>
      </c>
      <c r="L28" s="26">
        <f>IF(A28=Entradas!$B$8,"",K28*100)</f>
        <v>1.0595175246264077E-2</v>
      </c>
      <c r="M28" s="27">
        <f>IF(A28=Entradas!$B$8,1,M27*(1+K28))</f>
        <v>1.0109308047661381</v>
      </c>
      <c r="N28" s="27">
        <f>IF(A28=Entradas!$B$8,1,MAX(N27,M28))</f>
        <v>1.0250449917801521</v>
      </c>
      <c r="O28" s="27">
        <f t="shared" si="2"/>
        <v>-1.3769334153325818E-2</v>
      </c>
    </row>
    <row r="29" spans="1:15" x14ac:dyDescent="0.3">
      <c r="A29" s="20">
        <v>46299</v>
      </c>
      <c r="B29" s="21" t="s">
        <v>94</v>
      </c>
      <c r="C29" s="11" t="str">
        <f t="shared" si="0"/>
        <v>46299|Principal</v>
      </c>
      <c r="D29" s="17">
        <f>SUMIFS('Valuación diaria'!$O$5:$O$354,'Valuación diaria'!$A$5:$A$354,A29,'Valuación diaria'!$B$5:$B$354,B29)</f>
        <v>59580.769500000009</v>
      </c>
      <c r="E29" s="17">
        <f>SUMIFS(Transacciones!$R$5:$R$20,Transacciones!$B$5:$B$20,B29,Transacciones!$F$5:$F$20,A29)</f>
        <v>0</v>
      </c>
      <c r="F29" s="17">
        <f>SUMIFS(Transacciones!$S$5:$S$20,Transacciones!$B$5:$B$20,B29,Transacciones!$F$5:$F$20,A29)</f>
        <v>0</v>
      </c>
      <c r="G29" s="17">
        <f>SUMIFS('Valuación diaria'!$Q$5:$Q$354,'Valuación diaria'!$A$5:$A$354,A29,'Valuación diaria'!$B$5:$B$354,B29)</f>
        <v>0</v>
      </c>
      <c r="H29" s="17">
        <f t="shared" si="1"/>
        <v>0</v>
      </c>
      <c r="I29" s="17">
        <f>IF(A29=Entradas!$B$8,"",D28)</f>
        <v>59574.462450000006</v>
      </c>
      <c r="J29" s="17">
        <f>IF(A29=Entradas!$B$8,"",I29+E29)</f>
        <v>59574.462450000006</v>
      </c>
      <c r="K29" s="27">
        <f>IF(A29=Entradas!$B$8,"",IF(J29=0,0,(D29+H29)/J29-1))</f>
        <v>1.0586834929982025E-4</v>
      </c>
      <c r="L29" s="26">
        <f>IF(A29=Entradas!$B$8,"",K29*100)</f>
        <v>1.0586834929982025E-2</v>
      </c>
      <c r="M29" s="27">
        <f>IF(A29=Entradas!$B$8,1,M28*(1+K29))</f>
        <v>1.0110378303416949</v>
      </c>
      <c r="N29" s="27">
        <f>IF(A29=Entradas!$B$8,1,MAX(N28,M29))</f>
        <v>1.0250449917801521</v>
      </c>
      <c r="O29" s="27">
        <f t="shared" si="2"/>
        <v>-1.3664923540703811E-2</v>
      </c>
    </row>
    <row r="30" spans="1:15" x14ac:dyDescent="0.3">
      <c r="A30" s="20">
        <v>46300</v>
      </c>
      <c r="B30" s="21" t="s">
        <v>94</v>
      </c>
      <c r="C30" s="11" t="str">
        <f t="shared" si="0"/>
        <v>46300|Principal</v>
      </c>
      <c r="D30" s="17">
        <f>SUMIFS('Valuación diaria'!$O$5:$O$354,'Valuación diaria'!$A$5:$A$354,A30,'Valuación diaria'!$B$5:$B$354,B30)</f>
        <v>66373.071800000005</v>
      </c>
      <c r="E30" s="17">
        <f>SUMIFS(Transacciones!$R$5:$R$20,Transacciones!$B$5:$B$20,B30,Transacciones!$F$5:$F$20,A30)</f>
        <v>7344.99</v>
      </c>
      <c r="F30" s="17">
        <f>SUMIFS(Transacciones!$S$5:$S$20,Transacciones!$B$5:$B$20,B30,Transacciones!$F$5:$F$20,A30)</f>
        <v>0</v>
      </c>
      <c r="G30" s="17">
        <f>SUMIFS('Valuación diaria'!$Q$5:$Q$354,'Valuación diaria'!$A$5:$A$354,A30,'Valuación diaria'!$B$5:$B$354,B30)</f>
        <v>0</v>
      </c>
      <c r="H30" s="17">
        <f t="shared" si="1"/>
        <v>0</v>
      </c>
      <c r="I30" s="17">
        <f>IF(A30=Entradas!$B$8,"",D29)</f>
        <v>59580.769500000009</v>
      </c>
      <c r="J30" s="17">
        <f>IF(A30=Entradas!$B$8,"",I30+E30)</f>
        <v>66925.759500000015</v>
      </c>
      <c r="K30" s="27">
        <f>IF(A30=Entradas!$B$8,"",IF(J30=0,0,(D30+H30)/J30-1))</f>
        <v>-8.2582208125707712E-3</v>
      </c>
      <c r="L30" s="26">
        <f>IF(A30=Entradas!$B$8,"",K30*100)</f>
        <v>-0.82582208125707712</v>
      </c>
      <c r="M30" s="27">
        <f>IF(A30=Entradas!$B$8,1,M29*(1+K30))</f>
        <v>1.0026884566888707</v>
      </c>
      <c r="N30" s="27">
        <f>IF(A30=Entradas!$B$8,1,MAX(N29,M30))</f>
        <v>1.0250449917801521</v>
      </c>
      <c r="O30" s="27">
        <f t="shared" si="2"/>
        <v>-2.1810296397288598E-2</v>
      </c>
    </row>
    <row r="31" spans="1:15" x14ac:dyDescent="0.3">
      <c r="A31" s="20">
        <v>46301</v>
      </c>
      <c r="B31" s="21" t="s">
        <v>94</v>
      </c>
      <c r="C31" s="11" t="str">
        <f t="shared" si="0"/>
        <v>46301|Principal</v>
      </c>
      <c r="D31" s="17">
        <f>SUMIFS('Valuación diaria'!$O$5:$O$354,'Valuación diaria'!$A$5:$A$354,A31,'Valuación diaria'!$B$5:$B$354,B31)</f>
        <v>66692.269249999998</v>
      </c>
      <c r="E31" s="17">
        <f>SUMIFS(Transacciones!$R$5:$R$20,Transacciones!$B$5:$B$20,B31,Transacciones!$F$5:$F$20,A31)</f>
        <v>0</v>
      </c>
      <c r="F31" s="17">
        <f>SUMIFS(Transacciones!$S$5:$S$20,Transacciones!$B$5:$B$20,B31,Transacciones!$F$5:$F$20,A31)</f>
        <v>0</v>
      </c>
      <c r="G31" s="17">
        <f>SUMIFS('Valuación diaria'!$Q$5:$Q$354,'Valuación diaria'!$A$5:$A$354,A31,'Valuación diaria'!$B$5:$B$354,B31)</f>
        <v>0</v>
      </c>
      <c r="H31" s="17">
        <f t="shared" si="1"/>
        <v>0</v>
      </c>
      <c r="I31" s="17">
        <f>IF(A31=Entradas!$B$8,"",D30)</f>
        <v>66373.071800000005</v>
      </c>
      <c r="J31" s="17">
        <f>IF(A31=Entradas!$B$8,"",I31+E31)</f>
        <v>66373.071800000005</v>
      </c>
      <c r="K31" s="27">
        <f>IF(A31=Entradas!$B$8,"",IF(J31=0,0,(D31+H31)/J31-1))</f>
        <v>4.8091408359374199E-3</v>
      </c>
      <c r="L31" s="26">
        <f>IF(A31=Entradas!$B$8,"",K31*100)</f>
        <v>0.48091408359374199</v>
      </c>
      <c r="M31" s="27">
        <f>IF(A31=Entradas!$B$8,1,M30*(1+K31))</f>
        <v>1.0075105266916562</v>
      </c>
      <c r="N31" s="27">
        <f>IF(A31=Entradas!$B$8,1,MAX(N30,M31))</f>
        <v>1.0250449917801521</v>
      </c>
      <c r="O31" s="27">
        <f t="shared" si="2"/>
        <v>-1.7106044348399352E-2</v>
      </c>
    </row>
    <row r="32" spans="1:15" x14ac:dyDescent="0.3">
      <c r="A32" s="20">
        <v>46302</v>
      </c>
      <c r="B32" s="21" t="s">
        <v>94</v>
      </c>
      <c r="C32" s="11" t="str">
        <f t="shared" si="0"/>
        <v>46302|Principal</v>
      </c>
      <c r="D32" s="17">
        <f>SUMIFS('Valuación diaria'!$O$5:$O$354,'Valuación diaria'!$A$5:$A$354,A32,'Valuación diaria'!$B$5:$B$354,B32)</f>
        <v>67312.112150000001</v>
      </c>
      <c r="E32" s="17">
        <f>SUMIFS(Transacciones!$R$5:$R$20,Transacciones!$B$5:$B$20,B32,Transacciones!$F$5:$F$20,A32)</f>
        <v>0</v>
      </c>
      <c r="F32" s="17">
        <f>SUMIFS(Transacciones!$S$5:$S$20,Transacciones!$B$5:$B$20,B32,Transacciones!$F$5:$F$20,A32)</f>
        <v>0</v>
      </c>
      <c r="G32" s="17">
        <f>SUMIFS('Valuación diaria'!$Q$5:$Q$354,'Valuación diaria'!$A$5:$A$354,A32,'Valuación diaria'!$B$5:$B$354,B32)</f>
        <v>0</v>
      </c>
      <c r="H32" s="17">
        <f t="shared" si="1"/>
        <v>0</v>
      </c>
      <c r="I32" s="17">
        <f>IF(A32=Entradas!$B$8,"",D31)</f>
        <v>66692.269249999998</v>
      </c>
      <c r="J32" s="17">
        <f>IF(A32=Entradas!$B$8,"",I32+E32)</f>
        <v>66692.269249999998</v>
      </c>
      <c r="K32" s="27">
        <f>IF(A32=Entradas!$B$8,"",IF(J32=0,0,(D32+H32)/J32-1))</f>
        <v>9.2940742153559963E-3</v>
      </c>
      <c r="L32" s="26">
        <f>IF(A32=Entradas!$B$8,"",K32*100)</f>
        <v>0.92940742153559963</v>
      </c>
      <c r="M32" s="27">
        <f>IF(A32=Entradas!$B$8,1,M31*(1+K32))</f>
        <v>1.0168744042994808</v>
      </c>
      <c r="N32" s="27">
        <f>IF(A32=Entradas!$B$8,1,MAX(N31,M32))</f>
        <v>1.0250449917801521</v>
      </c>
      <c r="O32" s="27">
        <f t="shared" si="2"/>
        <v>-7.9709549787485567E-3</v>
      </c>
    </row>
    <row r="33" spans="1:15" x14ac:dyDescent="0.3">
      <c r="A33" s="20">
        <v>46303</v>
      </c>
      <c r="B33" s="21" t="s">
        <v>94</v>
      </c>
      <c r="C33" s="11" t="str">
        <f t="shared" si="0"/>
        <v>46303|Principal</v>
      </c>
      <c r="D33" s="17">
        <f>SUMIFS('Valuación diaria'!$O$5:$O$354,'Valuación diaria'!$A$5:$A$354,A33,'Valuación diaria'!$B$5:$B$354,B33)</f>
        <v>57842.719700000009</v>
      </c>
      <c r="E33" s="17">
        <f>SUMIFS(Transacciones!$R$5:$R$20,Transacciones!$B$5:$B$20,B33,Transacciones!$F$5:$F$20,A33)</f>
        <v>9952.856600000001</v>
      </c>
      <c r="F33" s="17">
        <f>SUMIFS(Transacciones!$S$5:$S$20,Transacciones!$B$5:$B$20,B33,Transacciones!$F$5:$F$20,A33)</f>
        <v>0</v>
      </c>
      <c r="G33" s="17">
        <f>SUMIFS('Valuación diaria'!$Q$5:$Q$354,'Valuación diaria'!$A$5:$A$354,A33,'Valuación diaria'!$B$5:$B$354,B33)</f>
        <v>20000</v>
      </c>
      <c r="H33" s="17">
        <f t="shared" si="1"/>
        <v>20000</v>
      </c>
      <c r="I33" s="17">
        <f>IF(A33=Entradas!$B$8,"",D32)</f>
        <v>67312.112150000001</v>
      </c>
      <c r="J33" s="17">
        <f>IF(A33=Entradas!$B$8,"",I33+E33)</f>
        <v>77264.96875</v>
      </c>
      <c r="K33" s="27">
        <f>IF(A33=Entradas!$B$8,"",IF(J33=0,0,(D33+H33)/J33-1))</f>
        <v>7.4775277767780146E-3</v>
      </c>
      <c r="L33" s="26">
        <f>IF(A33=Entradas!$B$8,"",K33*100)</f>
        <v>0.74775277767780146</v>
      </c>
      <c r="M33" s="27">
        <f>IF(A33=Entradas!$B$8,1,M32*(1+K33))</f>
        <v>1.0244781109031249</v>
      </c>
      <c r="N33" s="27">
        <f>IF(A33=Entradas!$B$8,1,MAX(N32,M33))</f>
        <v>1.0250449917801521</v>
      </c>
      <c r="O33" s="27">
        <f t="shared" si="2"/>
        <v>-5.5303023923147787E-4</v>
      </c>
    </row>
    <row r="34" spans="1:15" x14ac:dyDescent="0.3">
      <c r="A34" s="20">
        <v>46304</v>
      </c>
      <c r="B34" s="21" t="s">
        <v>94</v>
      </c>
      <c r="C34" s="11" t="str">
        <f t="shared" si="0"/>
        <v>46304|Principal</v>
      </c>
      <c r="D34" s="17">
        <f>SUMIFS('Valuación diaria'!$O$5:$O$354,'Valuación diaria'!$A$5:$A$354,A34,'Valuación diaria'!$B$5:$B$354,B34)</f>
        <v>58359.657749999998</v>
      </c>
      <c r="E34" s="17">
        <f>SUMIFS(Transacciones!$R$5:$R$20,Transacciones!$B$5:$B$20,B34,Transacciones!$F$5:$F$20,A34)</f>
        <v>0</v>
      </c>
      <c r="F34" s="17">
        <f>SUMIFS(Transacciones!$S$5:$S$20,Transacciones!$B$5:$B$20,B34,Transacciones!$F$5:$F$20,A34)</f>
        <v>0</v>
      </c>
      <c r="G34" s="17">
        <f>SUMIFS('Valuación diaria'!$Q$5:$Q$354,'Valuación diaria'!$A$5:$A$354,A34,'Valuación diaria'!$B$5:$B$354,B34)</f>
        <v>0</v>
      </c>
      <c r="H34" s="17">
        <f t="shared" si="1"/>
        <v>0</v>
      </c>
      <c r="I34" s="17">
        <f>IF(A34=Entradas!$B$8,"",D33)</f>
        <v>57842.719700000009</v>
      </c>
      <c r="J34" s="17">
        <f>IF(A34=Entradas!$B$8,"",I34+E34)</f>
        <v>57842.719700000009</v>
      </c>
      <c r="K34" s="27">
        <f>IF(A34=Entradas!$B$8,"",IF(J34=0,0,(D34+H34)/J34-1))</f>
        <v>8.9369596153341391E-3</v>
      </c>
      <c r="L34" s="26">
        <f>IF(A34=Entradas!$B$8,"",K34*100)</f>
        <v>0.89369596153341391</v>
      </c>
      <c r="M34" s="27">
        <f>IF(A34=Entradas!$B$8,1,M33*(1+K34))</f>
        <v>1.03363383040706</v>
      </c>
      <c r="N34" s="27">
        <f>IF(A34=Entradas!$B$8,1,MAX(N33,M34))</f>
        <v>1.03363383040706</v>
      </c>
      <c r="O34" s="27">
        <f t="shared" si="2"/>
        <v>0</v>
      </c>
    </row>
    <row r="35" spans="1:15" x14ac:dyDescent="0.3">
      <c r="A35" s="20">
        <v>46305</v>
      </c>
      <c r="B35" s="21" t="s">
        <v>94</v>
      </c>
      <c r="C35" s="11" t="str">
        <f t="shared" si="0"/>
        <v>46305|Principal</v>
      </c>
      <c r="D35" s="17">
        <f>SUMIFS('Valuación diaria'!$O$5:$O$354,'Valuación diaria'!$A$5:$A$354,A35,'Valuación diaria'!$B$5:$B$354,B35)</f>
        <v>58364.241099999999</v>
      </c>
      <c r="E35" s="17">
        <f>SUMIFS(Transacciones!$R$5:$R$20,Transacciones!$B$5:$B$20,B35,Transacciones!$F$5:$F$20,A35)</f>
        <v>0</v>
      </c>
      <c r="F35" s="17">
        <f>SUMIFS(Transacciones!$S$5:$S$20,Transacciones!$B$5:$B$20,B35,Transacciones!$F$5:$F$20,A35)</f>
        <v>0</v>
      </c>
      <c r="G35" s="17">
        <f>SUMIFS('Valuación diaria'!$Q$5:$Q$354,'Valuación diaria'!$A$5:$A$354,A35,'Valuación diaria'!$B$5:$B$354,B35)</f>
        <v>0</v>
      </c>
      <c r="H35" s="17">
        <f t="shared" si="1"/>
        <v>0</v>
      </c>
      <c r="I35" s="17">
        <f>IF(A35=Entradas!$B$8,"",D34)</f>
        <v>58359.657749999998</v>
      </c>
      <c r="J35" s="17">
        <f>IF(A35=Entradas!$B$8,"",I35+E35)</f>
        <v>58359.657749999998</v>
      </c>
      <c r="K35" s="27">
        <f>IF(A35=Entradas!$B$8,"",IF(J35=0,0,(D35+H35)/J35-1))</f>
        <v>7.8536272773099824E-5</v>
      </c>
      <c r="L35" s="26">
        <f>IF(A35=Entradas!$B$8,"",K35*100)</f>
        <v>7.8536272773099824E-3</v>
      </c>
      <c r="M35" s="27">
        <f>IF(A35=Entradas!$B$8,1,M34*(1+K35))</f>
        <v>1.0337150081555124</v>
      </c>
      <c r="N35" s="27">
        <f>IF(A35=Entradas!$B$8,1,MAX(N34,M35))</f>
        <v>1.0337150081555124</v>
      </c>
      <c r="O35" s="27">
        <f t="shared" si="2"/>
        <v>0</v>
      </c>
    </row>
    <row r="36" spans="1:15" x14ac:dyDescent="0.3">
      <c r="A36" s="20">
        <v>46306</v>
      </c>
      <c r="B36" s="21" t="s">
        <v>94</v>
      </c>
      <c r="C36" s="11" t="str">
        <f t="shared" si="0"/>
        <v>46306|Principal</v>
      </c>
      <c r="D36" s="17">
        <f>SUMIFS('Valuación diaria'!$O$5:$O$354,'Valuación diaria'!$A$5:$A$354,A36,'Valuación diaria'!$B$5:$B$354,B36)</f>
        <v>58368.819849999993</v>
      </c>
      <c r="E36" s="17">
        <f>SUMIFS(Transacciones!$R$5:$R$20,Transacciones!$B$5:$B$20,B36,Transacciones!$F$5:$F$20,A36)</f>
        <v>0</v>
      </c>
      <c r="F36" s="17">
        <f>SUMIFS(Transacciones!$S$5:$S$20,Transacciones!$B$5:$B$20,B36,Transacciones!$F$5:$F$20,A36)</f>
        <v>0</v>
      </c>
      <c r="G36" s="17">
        <f>SUMIFS('Valuación diaria'!$Q$5:$Q$354,'Valuación diaria'!$A$5:$A$354,A36,'Valuación diaria'!$B$5:$B$354,B36)</f>
        <v>0</v>
      </c>
      <c r="H36" s="17">
        <f t="shared" si="1"/>
        <v>0</v>
      </c>
      <c r="I36" s="17">
        <f>IF(A36=Entradas!$B$8,"",D35)</f>
        <v>58364.241099999999</v>
      </c>
      <c r="J36" s="17">
        <f>IF(A36=Entradas!$B$8,"",I36+E36)</f>
        <v>58364.241099999999</v>
      </c>
      <c r="K36" s="27">
        <f>IF(A36=Entradas!$B$8,"",IF(J36=0,0,(D36+H36)/J36-1))</f>
        <v>7.8451289928560541E-5</v>
      </c>
      <c r="L36" s="26">
        <f>IF(A36=Entradas!$B$8,"",K36*100)</f>
        <v>7.8451289928560541E-3</v>
      </c>
      <c r="M36" s="27">
        <f>IF(A36=Entradas!$B$8,1,M35*(1+K36))</f>
        <v>1.0337961044313206</v>
      </c>
      <c r="N36" s="27">
        <f>IF(A36=Entradas!$B$8,1,MAX(N35,M36))</f>
        <v>1.0337961044313206</v>
      </c>
      <c r="O36" s="27">
        <f t="shared" si="2"/>
        <v>0</v>
      </c>
    </row>
    <row r="37" spans="1:15" x14ac:dyDescent="0.3">
      <c r="A37" s="20">
        <v>46307</v>
      </c>
      <c r="B37" s="21" t="s">
        <v>94</v>
      </c>
      <c r="C37" s="11" t="str">
        <f t="shared" ref="C37:C68" si="3">A37&amp;"|"&amp;B37</f>
        <v>46307|Principal</v>
      </c>
      <c r="D37" s="17">
        <f>SUMIFS('Valuación diaria'!$O$5:$O$354,'Valuación diaria'!$A$5:$A$354,A37,'Valuación diaria'!$B$5:$B$354,B37)</f>
        <v>58708.693950000001</v>
      </c>
      <c r="E37" s="17">
        <f>SUMIFS(Transacciones!$R$5:$R$20,Transacciones!$B$5:$B$20,B37,Transacciones!$F$5:$F$20,A37)</f>
        <v>0</v>
      </c>
      <c r="F37" s="17">
        <f>SUMIFS(Transacciones!$S$5:$S$20,Transacciones!$B$5:$B$20,B37,Transacciones!$F$5:$F$20,A37)</f>
        <v>0</v>
      </c>
      <c r="G37" s="17">
        <f>SUMIFS('Valuación diaria'!$Q$5:$Q$354,'Valuación diaria'!$A$5:$A$354,A37,'Valuación diaria'!$B$5:$B$354,B37)</f>
        <v>0</v>
      </c>
      <c r="H37" s="17">
        <f t="shared" ref="H37:H68" si="4">F37+G37</f>
        <v>0</v>
      </c>
      <c r="I37" s="17">
        <f>IF(A37=Entradas!$B$8,"",D36)</f>
        <v>58368.819849999993</v>
      </c>
      <c r="J37" s="17">
        <f>IF(A37=Entradas!$B$8,"",I37+E37)</f>
        <v>58368.819849999993</v>
      </c>
      <c r="K37" s="27">
        <f>IF(A37=Entradas!$B$8,"",IF(J37=0,0,(D37+H37)/J37-1))</f>
        <v>5.8228708559371345E-3</v>
      </c>
      <c r="L37" s="26">
        <f>IF(A37=Entradas!$B$8,"",K37*100)</f>
        <v>0.58228708559371345</v>
      </c>
      <c r="M37" s="27">
        <f>IF(A37=Entradas!$B$8,1,M36*(1+K37))</f>
        <v>1.0398157656387952</v>
      </c>
      <c r="N37" s="27">
        <f>IF(A37=Entradas!$B$8,1,MAX(N36,M37))</f>
        <v>1.0398157656387952</v>
      </c>
      <c r="O37" s="27">
        <f t="shared" ref="O37:O68" si="5">M37/N37-1</f>
        <v>0</v>
      </c>
    </row>
    <row r="38" spans="1:15" x14ac:dyDescent="0.3">
      <c r="A38" s="20">
        <v>46308</v>
      </c>
      <c r="B38" s="21" t="s">
        <v>94</v>
      </c>
      <c r="C38" s="11" t="str">
        <f t="shared" si="3"/>
        <v>46308|Principal</v>
      </c>
      <c r="D38" s="17">
        <f>SUMIFS('Valuación diaria'!$O$5:$O$354,'Valuación diaria'!$A$5:$A$354,A38,'Valuación diaria'!$B$5:$B$354,B38)</f>
        <v>58409.163500000002</v>
      </c>
      <c r="E38" s="17">
        <f>SUMIFS(Transacciones!$R$5:$R$20,Transacciones!$B$5:$B$20,B38,Transacciones!$F$5:$F$20,A38)</f>
        <v>0</v>
      </c>
      <c r="F38" s="17">
        <f>SUMIFS(Transacciones!$S$5:$S$20,Transacciones!$B$5:$B$20,B38,Transacciones!$F$5:$F$20,A38)</f>
        <v>0</v>
      </c>
      <c r="G38" s="17">
        <f>SUMIFS('Valuación diaria'!$Q$5:$Q$354,'Valuación diaria'!$A$5:$A$354,A38,'Valuación diaria'!$B$5:$B$354,B38)</f>
        <v>0</v>
      </c>
      <c r="H38" s="17">
        <f t="shared" si="4"/>
        <v>0</v>
      </c>
      <c r="I38" s="17">
        <f>IF(A38=Entradas!$B$8,"",D37)</f>
        <v>58708.693950000001</v>
      </c>
      <c r="J38" s="17">
        <f>IF(A38=Entradas!$B$8,"",I38+E38)</f>
        <v>58708.693950000001</v>
      </c>
      <c r="K38" s="27">
        <f>IF(A38=Entradas!$B$8,"",IF(J38=0,0,(D38+H38)/J38-1))</f>
        <v>-5.1019777454953674E-3</v>
      </c>
      <c r="L38" s="26">
        <f>IF(A38=Entradas!$B$8,"",K38*100)</f>
        <v>-0.51019777454953674</v>
      </c>
      <c r="M38" s="27">
        <f>IF(A38=Entradas!$B$8,1,M37*(1+K38))</f>
        <v>1.0345106487430908</v>
      </c>
      <c r="N38" s="27">
        <f>IF(A38=Entradas!$B$8,1,MAX(N37,M38))</f>
        <v>1.0398157656387952</v>
      </c>
      <c r="O38" s="27">
        <f t="shared" si="5"/>
        <v>-5.1019777454953674E-3</v>
      </c>
    </row>
    <row r="39" spans="1:15" x14ac:dyDescent="0.3">
      <c r="A39" s="20">
        <v>46309</v>
      </c>
      <c r="B39" s="21" t="s">
        <v>94</v>
      </c>
      <c r="C39" s="11" t="str">
        <f t="shared" si="3"/>
        <v>46309|Principal</v>
      </c>
      <c r="D39" s="17">
        <f>SUMIFS('Valuación diaria'!$O$5:$O$354,'Valuación diaria'!$A$5:$A$354,A39,'Valuación diaria'!$B$5:$B$354,B39)</f>
        <v>58940.878199999999</v>
      </c>
      <c r="E39" s="17">
        <f>SUMIFS(Transacciones!$R$5:$R$20,Transacciones!$B$5:$B$20,B39,Transacciones!$F$5:$F$20,A39)</f>
        <v>0</v>
      </c>
      <c r="F39" s="17">
        <f>SUMIFS(Transacciones!$S$5:$S$20,Transacciones!$B$5:$B$20,B39,Transacciones!$F$5:$F$20,A39)</f>
        <v>0</v>
      </c>
      <c r="G39" s="17">
        <f>SUMIFS('Valuación diaria'!$Q$5:$Q$354,'Valuación diaria'!$A$5:$A$354,A39,'Valuación diaria'!$B$5:$B$354,B39)</f>
        <v>0</v>
      </c>
      <c r="H39" s="17">
        <f t="shared" si="4"/>
        <v>0</v>
      </c>
      <c r="I39" s="17">
        <f>IF(A39=Entradas!$B$8,"",D38)</f>
        <v>58409.163500000002</v>
      </c>
      <c r="J39" s="17">
        <f>IF(A39=Entradas!$B$8,"",I39+E39)</f>
        <v>58409.163500000002</v>
      </c>
      <c r="K39" s="27">
        <f>IF(A39=Entradas!$B$8,"",IF(J39=0,0,(D39+H39)/J39-1))</f>
        <v>9.1032753790420973E-3</v>
      </c>
      <c r="L39" s="26">
        <f>IF(A39=Entradas!$B$8,"",K39*100)</f>
        <v>0.91032753790420973</v>
      </c>
      <c r="M39" s="27">
        <f>IF(A39=Entradas!$B$8,1,M38*(1+K39))</f>
        <v>1.0439280840611507</v>
      </c>
      <c r="N39" s="27">
        <f>IF(A39=Entradas!$B$8,1,MAX(N38,M39))</f>
        <v>1.0439280840611507</v>
      </c>
      <c r="O39" s="27">
        <f t="shared" si="5"/>
        <v>0</v>
      </c>
    </row>
    <row r="40" spans="1:15" x14ac:dyDescent="0.3">
      <c r="A40" s="20">
        <v>46275</v>
      </c>
      <c r="B40" s="21" t="s">
        <v>103</v>
      </c>
      <c r="C40" s="11" t="str">
        <f t="shared" si="3"/>
        <v>46275|Secundario</v>
      </c>
      <c r="D40" s="17">
        <f>SUMIFS('Valuación diaria'!$O$5:$O$354,'Valuación diaria'!$A$5:$A$354,A40,'Valuación diaria'!$B$5:$B$354,B40)</f>
        <v>0</v>
      </c>
      <c r="E40" s="17">
        <f>SUMIFS(Transacciones!$R$5:$R$20,Transacciones!$B$5:$B$20,B40,Transacciones!$F$5:$F$20,A40)</f>
        <v>0</v>
      </c>
      <c r="F40" s="17">
        <f>SUMIFS(Transacciones!$S$5:$S$20,Transacciones!$B$5:$B$20,B40,Transacciones!$F$5:$F$20,A40)</f>
        <v>0</v>
      </c>
      <c r="G40" s="17">
        <f>SUMIFS('Valuación diaria'!$Q$5:$Q$354,'Valuación diaria'!$A$5:$A$354,A40,'Valuación diaria'!$B$5:$B$354,B40)</f>
        <v>0</v>
      </c>
      <c r="H40" s="17">
        <f t="shared" si="4"/>
        <v>0</v>
      </c>
      <c r="I40" s="17" t="str">
        <f>IF(A40=Entradas!$B$8,"",D39)</f>
        <v/>
      </c>
      <c r="J40" s="17" t="str">
        <f>IF(A40=Entradas!$B$8,"",I40+E40)</f>
        <v/>
      </c>
      <c r="K40" s="27" t="str">
        <f>IF(A40=Entradas!$B$8,"",IF(J40=0,0,(D40+H40)/J40-1))</f>
        <v/>
      </c>
      <c r="L40" s="26" t="str">
        <f>IF(A40=Entradas!$B$8,"",K40*100)</f>
        <v/>
      </c>
      <c r="M40" s="27">
        <f>IF(A40=Entradas!$B$8,1,M39*(1+K40))</f>
        <v>1</v>
      </c>
      <c r="N40" s="27">
        <f>IF(A40=Entradas!$B$8,1,MAX(N39,M40))</f>
        <v>1</v>
      </c>
      <c r="O40" s="27">
        <f t="shared" si="5"/>
        <v>0</v>
      </c>
    </row>
    <row r="41" spans="1:15" x14ac:dyDescent="0.3">
      <c r="A41" s="20">
        <v>46276</v>
      </c>
      <c r="B41" s="21" t="s">
        <v>103</v>
      </c>
      <c r="C41" s="11" t="str">
        <f t="shared" si="3"/>
        <v>46276|Secundario</v>
      </c>
      <c r="D41" s="17">
        <f>SUMIFS('Valuación diaria'!$O$5:$O$354,'Valuación diaria'!$A$5:$A$354,A41,'Valuación diaria'!$B$5:$B$354,B41)</f>
        <v>0</v>
      </c>
      <c r="E41" s="17">
        <f>SUMIFS(Transacciones!$R$5:$R$20,Transacciones!$B$5:$B$20,B41,Transacciones!$F$5:$F$20,A41)</f>
        <v>0</v>
      </c>
      <c r="F41" s="17">
        <f>SUMIFS(Transacciones!$S$5:$S$20,Transacciones!$B$5:$B$20,B41,Transacciones!$F$5:$F$20,A41)</f>
        <v>0</v>
      </c>
      <c r="G41" s="17">
        <f>SUMIFS('Valuación diaria'!$Q$5:$Q$354,'Valuación diaria'!$A$5:$A$354,A41,'Valuación diaria'!$B$5:$B$354,B41)</f>
        <v>0</v>
      </c>
      <c r="H41" s="17">
        <f t="shared" si="4"/>
        <v>0</v>
      </c>
      <c r="I41" s="17">
        <f>IF(A41=Entradas!$B$8,"",D40)</f>
        <v>0</v>
      </c>
      <c r="J41" s="17">
        <f>IF(A41=Entradas!$B$8,"",I41+E41)</f>
        <v>0</v>
      </c>
      <c r="K41" s="27">
        <f>IF(A41=Entradas!$B$8,"",IF(J41=0,0,(D41+H41)/J41-1))</f>
        <v>0</v>
      </c>
      <c r="L41" s="26">
        <f>IF(A41=Entradas!$B$8,"",K41*100)</f>
        <v>0</v>
      </c>
      <c r="M41" s="27">
        <f>IF(A41=Entradas!$B$8,1,M40*(1+K41))</f>
        <v>1</v>
      </c>
      <c r="N41" s="27">
        <f>IF(A41=Entradas!$B$8,1,MAX(N40,M41))</f>
        <v>1</v>
      </c>
      <c r="O41" s="27">
        <f t="shared" si="5"/>
        <v>0</v>
      </c>
    </row>
    <row r="42" spans="1:15" x14ac:dyDescent="0.3">
      <c r="A42" s="20">
        <v>46277</v>
      </c>
      <c r="B42" s="21" t="s">
        <v>103</v>
      </c>
      <c r="C42" s="11" t="str">
        <f t="shared" si="3"/>
        <v>46277|Secundario</v>
      </c>
      <c r="D42" s="17">
        <f>SUMIFS('Valuación diaria'!$O$5:$O$354,'Valuación diaria'!$A$5:$A$354,A42,'Valuación diaria'!$B$5:$B$354,B42)</f>
        <v>0</v>
      </c>
      <c r="E42" s="17">
        <f>SUMIFS(Transacciones!$R$5:$R$20,Transacciones!$B$5:$B$20,B42,Transacciones!$F$5:$F$20,A42)</f>
        <v>0</v>
      </c>
      <c r="F42" s="17">
        <f>SUMIFS(Transacciones!$S$5:$S$20,Transacciones!$B$5:$B$20,B42,Transacciones!$F$5:$F$20,A42)</f>
        <v>0</v>
      </c>
      <c r="G42" s="17">
        <f>SUMIFS('Valuación diaria'!$Q$5:$Q$354,'Valuación diaria'!$A$5:$A$354,A42,'Valuación diaria'!$B$5:$B$354,B42)</f>
        <v>0</v>
      </c>
      <c r="H42" s="17">
        <f t="shared" si="4"/>
        <v>0</v>
      </c>
      <c r="I42" s="17">
        <f>IF(A42=Entradas!$B$8,"",D41)</f>
        <v>0</v>
      </c>
      <c r="J42" s="17">
        <f>IF(A42=Entradas!$B$8,"",I42+E42)</f>
        <v>0</v>
      </c>
      <c r="K42" s="27">
        <f>IF(A42=Entradas!$B$8,"",IF(J42=0,0,(D42+H42)/J42-1))</f>
        <v>0</v>
      </c>
      <c r="L42" s="26">
        <f>IF(A42=Entradas!$B$8,"",K42*100)</f>
        <v>0</v>
      </c>
      <c r="M42" s="27">
        <f>IF(A42=Entradas!$B$8,1,M41*(1+K42))</f>
        <v>1</v>
      </c>
      <c r="N42" s="27">
        <f>IF(A42=Entradas!$B$8,1,MAX(N41,M42))</f>
        <v>1</v>
      </c>
      <c r="O42" s="27">
        <f t="shared" si="5"/>
        <v>0</v>
      </c>
    </row>
    <row r="43" spans="1:15" x14ac:dyDescent="0.3">
      <c r="A43" s="20">
        <v>46278</v>
      </c>
      <c r="B43" s="21" t="s">
        <v>103</v>
      </c>
      <c r="C43" s="11" t="str">
        <f t="shared" si="3"/>
        <v>46278|Secundario</v>
      </c>
      <c r="D43" s="17">
        <f>SUMIFS('Valuación diaria'!$O$5:$O$354,'Valuación diaria'!$A$5:$A$354,A43,'Valuación diaria'!$B$5:$B$354,B43)</f>
        <v>0</v>
      </c>
      <c r="E43" s="17">
        <f>SUMIFS(Transacciones!$R$5:$R$20,Transacciones!$B$5:$B$20,B43,Transacciones!$F$5:$F$20,A43)</f>
        <v>0</v>
      </c>
      <c r="F43" s="17">
        <f>SUMIFS(Transacciones!$S$5:$S$20,Transacciones!$B$5:$B$20,B43,Transacciones!$F$5:$F$20,A43)</f>
        <v>0</v>
      </c>
      <c r="G43" s="17">
        <f>SUMIFS('Valuación diaria'!$Q$5:$Q$354,'Valuación diaria'!$A$5:$A$354,A43,'Valuación diaria'!$B$5:$B$354,B43)</f>
        <v>0</v>
      </c>
      <c r="H43" s="17">
        <f t="shared" si="4"/>
        <v>0</v>
      </c>
      <c r="I43" s="17">
        <f>IF(A43=Entradas!$B$8,"",D42)</f>
        <v>0</v>
      </c>
      <c r="J43" s="17">
        <f>IF(A43=Entradas!$B$8,"",I43+E43)</f>
        <v>0</v>
      </c>
      <c r="K43" s="27">
        <f>IF(A43=Entradas!$B$8,"",IF(J43=0,0,(D43+H43)/J43-1))</f>
        <v>0</v>
      </c>
      <c r="L43" s="26">
        <f>IF(A43=Entradas!$B$8,"",K43*100)</f>
        <v>0</v>
      </c>
      <c r="M43" s="27">
        <f>IF(A43=Entradas!$B$8,1,M42*(1+K43))</f>
        <v>1</v>
      </c>
      <c r="N43" s="27">
        <f>IF(A43=Entradas!$B$8,1,MAX(N42,M43))</f>
        <v>1</v>
      </c>
      <c r="O43" s="27">
        <f t="shared" si="5"/>
        <v>0</v>
      </c>
    </row>
    <row r="44" spans="1:15" x14ac:dyDescent="0.3">
      <c r="A44" s="20">
        <v>46279</v>
      </c>
      <c r="B44" s="21" t="s">
        <v>103</v>
      </c>
      <c r="C44" s="11" t="str">
        <f t="shared" si="3"/>
        <v>46279|Secundario</v>
      </c>
      <c r="D44" s="17">
        <f>SUMIFS('Valuación diaria'!$O$5:$O$354,'Valuación diaria'!$A$5:$A$354,A44,'Valuación diaria'!$B$5:$B$354,B44)</f>
        <v>15510</v>
      </c>
      <c r="E44" s="17">
        <f>SUMIFS(Transacciones!$R$5:$R$20,Transacciones!$B$5:$B$20,B44,Transacciones!$F$5:$F$20,A44)</f>
        <v>15585.07</v>
      </c>
      <c r="F44" s="17">
        <f>SUMIFS(Transacciones!$S$5:$S$20,Transacciones!$B$5:$B$20,B44,Transacciones!$F$5:$F$20,A44)</f>
        <v>0</v>
      </c>
      <c r="G44" s="17">
        <f>SUMIFS('Valuación diaria'!$Q$5:$Q$354,'Valuación diaria'!$A$5:$A$354,A44,'Valuación diaria'!$B$5:$B$354,B44)</f>
        <v>0</v>
      </c>
      <c r="H44" s="17">
        <f t="shared" si="4"/>
        <v>0</v>
      </c>
      <c r="I44" s="17">
        <f>IF(A44=Entradas!$B$8,"",D43)</f>
        <v>0</v>
      </c>
      <c r="J44" s="17">
        <f>IF(A44=Entradas!$B$8,"",I44+E44)</f>
        <v>15585.07</v>
      </c>
      <c r="K44" s="27">
        <f>IF(A44=Entradas!$B$8,"",IF(J44=0,0,(D44+H44)/J44-1))</f>
        <v>-4.8167894016516444E-3</v>
      </c>
      <c r="L44" s="26">
        <f>IF(A44=Entradas!$B$8,"",K44*100)</f>
        <v>-0.48167894016516444</v>
      </c>
      <c r="M44" s="27">
        <f>IF(A44=Entradas!$B$8,1,M43*(1+K44))</f>
        <v>0.99518321059834836</v>
      </c>
      <c r="N44" s="27">
        <f>IF(A44=Entradas!$B$8,1,MAX(N43,M44))</f>
        <v>1</v>
      </c>
      <c r="O44" s="27">
        <f t="shared" si="5"/>
        <v>-4.8167894016516444E-3</v>
      </c>
    </row>
    <row r="45" spans="1:15" x14ac:dyDescent="0.3">
      <c r="A45" s="20">
        <v>46280</v>
      </c>
      <c r="B45" s="21" t="s">
        <v>103</v>
      </c>
      <c r="C45" s="11" t="str">
        <f t="shared" si="3"/>
        <v>46280|Secundario</v>
      </c>
      <c r="D45" s="17">
        <f>SUMIFS('Valuación diaria'!$O$5:$O$354,'Valuación diaria'!$A$5:$A$354,A45,'Valuación diaria'!$B$5:$B$354,B45)</f>
        <v>15712.5</v>
      </c>
      <c r="E45" s="17">
        <f>SUMIFS(Transacciones!$R$5:$R$20,Transacciones!$B$5:$B$20,B45,Transacciones!$F$5:$F$20,A45)</f>
        <v>0</v>
      </c>
      <c r="F45" s="17">
        <f>SUMIFS(Transacciones!$S$5:$S$20,Transacciones!$B$5:$B$20,B45,Transacciones!$F$5:$F$20,A45)</f>
        <v>0</v>
      </c>
      <c r="G45" s="17">
        <f>SUMIFS('Valuación diaria'!$Q$5:$Q$354,'Valuación diaria'!$A$5:$A$354,A45,'Valuación diaria'!$B$5:$B$354,B45)</f>
        <v>0</v>
      </c>
      <c r="H45" s="17">
        <f t="shared" si="4"/>
        <v>0</v>
      </c>
      <c r="I45" s="17">
        <f>IF(A45=Entradas!$B$8,"",D44)</f>
        <v>15510</v>
      </c>
      <c r="J45" s="17">
        <f>IF(A45=Entradas!$B$8,"",I45+E45)</f>
        <v>15510</v>
      </c>
      <c r="K45" s="27">
        <f>IF(A45=Entradas!$B$8,"",IF(J45=0,0,(D45+H45)/J45-1))</f>
        <v>1.3056092843326983E-2</v>
      </c>
      <c r="L45" s="26">
        <f>IF(A45=Entradas!$B$8,"",K45*100)</f>
        <v>1.3056092843326983</v>
      </c>
      <c r="M45" s="27">
        <f>IF(A45=Entradas!$B$8,1,M44*(1+K45))</f>
        <v>1.0081764149920407</v>
      </c>
      <c r="N45" s="27">
        <f>IF(A45=Entradas!$B$8,1,MAX(N44,M45))</f>
        <v>1.0081764149920407</v>
      </c>
      <c r="O45" s="27">
        <f t="shared" si="5"/>
        <v>0</v>
      </c>
    </row>
    <row r="46" spans="1:15" x14ac:dyDescent="0.3">
      <c r="A46" s="20">
        <v>46281</v>
      </c>
      <c r="B46" s="21" t="s">
        <v>103</v>
      </c>
      <c r="C46" s="11" t="str">
        <f t="shared" si="3"/>
        <v>46281|Secundario</v>
      </c>
      <c r="D46" s="17">
        <f>SUMIFS('Valuación diaria'!$O$5:$O$354,'Valuación diaria'!$A$5:$A$354,A46,'Valuación diaria'!$B$5:$B$354,B46)</f>
        <v>15712.5</v>
      </c>
      <c r="E46" s="17">
        <f>SUMIFS(Transacciones!$R$5:$R$20,Transacciones!$B$5:$B$20,B46,Transacciones!$F$5:$F$20,A46)</f>
        <v>0</v>
      </c>
      <c r="F46" s="17">
        <f>SUMIFS(Transacciones!$S$5:$S$20,Transacciones!$B$5:$B$20,B46,Transacciones!$F$5:$F$20,A46)</f>
        <v>0</v>
      </c>
      <c r="G46" s="17">
        <f>SUMIFS('Valuación diaria'!$Q$5:$Q$354,'Valuación diaria'!$A$5:$A$354,A46,'Valuación diaria'!$B$5:$B$354,B46)</f>
        <v>0</v>
      </c>
      <c r="H46" s="17">
        <f t="shared" si="4"/>
        <v>0</v>
      </c>
      <c r="I46" s="17">
        <f>IF(A46=Entradas!$B$8,"",D45)</f>
        <v>15712.5</v>
      </c>
      <c r="J46" s="17">
        <f>IF(A46=Entradas!$B$8,"",I46+E46)</f>
        <v>15712.5</v>
      </c>
      <c r="K46" s="27">
        <f>IF(A46=Entradas!$B$8,"",IF(J46=0,0,(D46+H46)/J46-1))</f>
        <v>0</v>
      </c>
      <c r="L46" s="26">
        <f>IF(A46=Entradas!$B$8,"",K46*100)</f>
        <v>0</v>
      </c>
      <c r="M46" s="27">
        <f>IF(A46=Entradas!$B$8,1,M45*(1+K46))</f>
        <v>1.0081764149920407</v>
      </c>
      <c r="N46" s="27">
        <f>IF(A46=Entradas!$B$8,1,MAX(N45,M46))</f>
        <v>1.0081764149920407</v>
      </c>
      <c r="O46" s="27">
        <f t="shared" si="5"/>
        <v>0</v>
      </c>
    </row>
    <row r="47" spans="1:15" x14ac:dyDescent="0.3">
      <c r="A47" s="20">
        <v>46282</v>
      </c>
      <c r="B47" s="21" t="s">
        <v>103</v>
      </c>
      <c r="C47" s="11" t="str">
        <f t="shared" si="3"/>
        <v>46282|Secundario</v>
      </c>
      <c r="D47" s="17">
        <f>SUMIFS('Valuación diaria'!$O$5:$O$354,'Valuación diaria'!$A$5:$A$354,A47,'Valuación diaria'!$B$5:$B$354,B47)</f>
        <v>15315</v>
      </c>
      <c r="E47" s="17">
        <f>SUMIFS(Transacciones!$R$5:$R$20,Transacciones!$B$5:$B$20,B47,Transacciones!$F$5:$F$20,A47)</f>
        <v>0</v>
      </c>
      <c r="F47" s="17">
        <f>SUMIFS(Transacciones!$S$5:$S$20,Transacciones!$B$5:$B$20,B47,Transacciones!$F$5:$F$20,A47)</f>
        <v>0</v>
      </c>
      <c r="G47" s="17">
        <f>SUMIFS('Valuación diaria'!$Q$5:$Q$354,'Valuación diaria'!$A$5:$A$354,A47,'Valuación diaria'!$B$5:$B$354,B47)</f>
        <v>0</v>
      </c>
      <c r="H47" s="17">
        <f t="shared" si="4"/>
        <v>0</v>
      </c>
      <c r="I47" s="17">
        <f>IF(A47=Entradas!$B$8,"",D46)</f>
        <v>15712.5</v>
      </c>
      <c r="J47" s="17">
        <f>IF(A47=Entradas!$B$8,"",I47+E47)</f>
        <v>15712.5</v>
      </c>
      <c r="K47" s="27">
        <f>IF(A47=Entradas!$B$8,"",IF(J47=0,0,(D47+H47)/J47-1))</f>
        <v>-2.5298329355608606E-2</v>
      </c>
      <c r="L47" s="26">
        <f>IF(A47=Entradas!$B$8,"",K47*100)</f>
        <v>-2.5298329355608606</v>
      </c>
      <c r="M47" s="27">
        <f>IF(A47=Entradas!$B$8,1,M46*(1+K47))</f>
        <v>0.98267123599701534</v>
      </c>
      <c r="N47" s="27">
        <f>IF(A47=Entradas!$B$8,1,MAX(N46,M47))</f>
        <v>1.0081764149920407</v>
      </c>
      <c r="O47" s="27">
        <f t="shared" si="5"/>
        <v>-2.5298329355608606E-2</v>
      </c>
    </row>
    <row r="48" spans="1:15" x14ac:dyDescent="0.3">
      <c r="A48" s="20">
        <v>46283</v>
      </c>
      <c r="B48" s="21" t="s">
        <v>103</v>
      </c>
      <c r="C48" s="11" t="str">
        <f t="shared" si="3"/>
        <v>46283|Secundario</v>
      </c>
      <c r="D48" s="17">
        <f>SUMIFS('Valuación diaria'!$O$5:$O$354,'Valuación diaria'!$A$5:$A$354,A48,'Valuación diaria'!$B$5:$B$354,B48)</f>
        <v>14797.5</v>
      </c>
      <c r="E48" s="17">
        <f>SUMIFS(Transacciones!$R$5:$R$20,Transacciones!$B$5:$B$20,B48,Transacciones!$F$5:$F$20,A48)</f>
        <v>0</v>
      </c>
      <c r="F48" s="17">
        <f>SUMIFS(Transacciones!$S$5:$S$20,Transacciones!$B$5:$B$20,B48,Transacciones!$F$5:$F$20,A48)</f>
        <v>0</v>
      </c>
      <c r="G48" s="17">
        <f>SUMIFS('Valuación diaria'!$Q$5:$Q$354,'Valuación diaria'!$A$5:$A$354,A48,'Valuación diaria'!$B$5:$B$354,B48)</f>
        <v>0</v>
      </c>
      <c r="H48" s="17">
        <f t="shared" si="4"/>
        <v>0</v>
      </c>
      <c r="I48" s="17">
        <f>IF(A48=Entradas!$B$8,"",D47)</f>
        <v>15315</v>
      </c>
      <c r="J48" s="17">
        <f>IF(A48=Entradas!$B$8,"",I48+E48)</f>
        <v>15315</v>
      </c>
      <c r="K48" s="27">
        <f>IF(A48=Entradas!$B$8,"",IF(J48=0,0,(D48+H48)/J48-1))</f>
        <v>-3.3790401567091122E-2</v>
      </c>
      <c r="L48" s="26">
        <f>IF(A48=Entradas!$B$8,"",K48*100)</f>
        <v>-3.3790401567091122</v>
      </c>
      <c r="M48" s="27">
        <f>IF(A48=Entradas!$B$8,1,M47*(1+K48))</f>
        <v>0.94946638032424646</v>
      </c>
      <c r="N48" s="27">
        <f>IF(A48=Entradas!$B$8,1,MAX(N47,M48))</f>
        <v>1.0081764149920407</v>
      </c>
      <c r="O48" s="27">
        <f t="shared" si="5"/>
        <v>-5.8233890214797079E-2</v>
      </c>
    </row>
    <row r="49" spans="1:15" x14ac:dyDescent="0.3">
      <c r="A49" s="20">
        <v>46284</v>
      </c>
      <c r="B49" s="21" t="s">
        <v>103</v>
      </c>
      <c r="C49" s="11" t="str">
        <f t="shared" si="3"/>
        <v>46284|Secundario</v>
      </c>
      <c r="D49" s="17">
        <f>SUMIFS('Valuación diaria'!$O$5:$O$354,'Valuación diaria'!$A$5:$A$354,A49,'Valuación diaria'!$B$5:$B$354,B49)</f>
        <v>14797.5</v>
      </c>
      <c r="E49" s="17">
        <f>SUMIFS(Transacciones!$R$5:$R$20,Transacciones!$B$5:$B$20,B49,Transacciones!$F$5:$F$20,A49)</f>
        <v>0</v>
      </c>
      <c r="F49" s="17">
        <f>SUMIFS(Transacciones!$S$5:$S$20,Transacciones!$B$5:$B$20,B49,Transacciones!$F$5:$F$20,A49)</f>
        <v>0</v>
      </c>
      <c r="G49" s="17">
        <f>SUMIFS('Valuación diaria'!$Q$5:$Q$354,'Valuación diaria'!$A$5:$A$354,A49,'Valuación diaria'!$B$5:$B$354,B49)</f>
        <v>0</v>
      </c>
      <c r="H49" s="17">
        <f t="shared" si="4"/>
        <v>0</v>
      </c>
      <c r="I49" s="17">
        <f>IF(A49=Entradas!$B$8,"",D48)</f>
        <v>14797.5</v>
      </c>
      <c r="J49" s="17">
        <f>IF(A49=Entradas!$B$8,"",I49+E49)</f>
        <v>14797.5</v>
      </c>
      <c r="K49" s="27">
        <f>IF(A49=Entradas!$B$8,"",IF(J49=0,0,(D49+H49)/J49-1))</f>
        <v>0</v>
      </c>
      <c r="L49" s="26">
        <f>IF(A49=Entradas!$B$8,"",K49*100)</f>
        <v>0</v>
      </c>
      <c r="M49" s="27">
        <f>IF(A49=Entradas!$B$8,1,M48*(1+K49))</f>
        <v>0.94946638032424646</v>
      </c>
      <c r="N49" s="27">
        <f>IF(A49=Entradas!$B$8,1,MAX(N48,M49))</f>
        <v>1.0081764149920407</v>
      </c>
      <c r="O49" s="27">
        <f t="shared" si="5"/>
        <v>-5.8233890214797079E-2</v>
      </c>
    </row>
    <row r="50" spans="1:15" x14ac:dyDescent="0.3">
      <c r="A50" s="20">
        <v>46285</v>
      </c>
      <c r="B50" s="21" t="s">
        <v>103</v>
      </c>
      <c r="C50" s="11" t="str">
        <f t="shared" si="3"/>
        <v>46285|Secundario</v>
      </c>
      <c r="D50" s="17">
        <f>SUMIFS('Valuación diaria'!$O$5:$O$354,'Valuación diaria'!$A$5:$A$354,A50,'Valuación diaria'!$B$5:$B$354,B50)</f>
        <v>14797.5</v>
      </c>
      <c r="E50" s="17">
        <f>SUMIFS(Transacciones!$R$5:$R$20,Transacciones!$B$5:$B$20,B50,Transacciones!$F$5:$F$20,A50)</f>
        <v>0</v>
      </c>
      <c r="F50" s="17">
        <f>SUMIFS(Transacciones!$S$5:$S$20,Transacciones!$B$5:$B$20,B50,Transacciones!$F$5:$F$20,A50)</f>
        <v>0</v>
      </c>
      <c r="G50" s="17">
        <f>SUMIFS('Valuación diaria'!$Q$5:$Q$354,'Valuación diaria'!$A$5:$A$354,A50,'Valuación diaria'!$B$5:$B$354,B50)</f>
        <v>0</v>
      </c>
      <c r="H50" s="17">
        <f t="shared" si="4"/>
        <v>0</v>
      </c>
      <c r="I50" s="17">
        <f>IF(A50=Entradas!$B$8,"",D49)</f>
        <v>14797.5</v>
      </c>
      <c r="J50" s="17">
        <f>IF(A50=Entradas!$B$8,"",I50+E50)</f>
        <v>14797.5</v>
      </c>
      <c r="K50" s="27">
        <f>IF(A50=Entradas!$B$8,"",IF(J50=0,0,(D50+H50)/J50-1))</f>
        <v>0</v>
      </c>
      <c r="L50" s="26">
        <f>IF(A50=Entradas!$B$8,"",K50*100)</f>
        <v>0</v>
      </c>
      <c r="M50" s="27">
        <f>IF(A50=Entradas!$B$8,1,M49*(1+K50))</f>
        <v>0.94946638032424646</v>
      </c>
      <c r="N50" s="27">
        <f>IF(A50=Entradas!$B$8,1,MAX(N49,M50))</f>
        <v>1.0081764149920407</v>
      </c>
      <c r="O50" s="27">
        <f t="shared" si="5"/>
        <v>-5.8233890214797079E-2</v>
      </c>
    </row>
    <row r="51" spans="1:15" x14ac:dyDescent="0.3">
      <c r="A51" s="20">
        <v>46286</v>
      </c>
      <c r="B51" s="21" t="s">
        <v>103</v>
      </c>
      <c r="C51" s="11" t="str">
        <f t="shared" si="3"/>
        <v>46286|Secundario</v>
      </c>
      <c r="D51" s="17">
        <f>SUMIFS('Valuación diaria'!$O$5:$O$354,'Valuación diaria'!$A$5:$A$354,A51,'Valuación diaria'!$B$5:$B$354,B51)</f>
        <v>14295</v>
      </c>
      <c r="E51" s="17">
        <f>SUMIFS(Transacciones!$R$5:$R$20,Transacciones!$B$5:$B$20,B51,Transacciones!$F$5:$F$20,A51)</f>
        <v>0</v>
      </c>
      <c r="F51" s="17">
        <f>SUMIFS(Transacciones!$S$5:$S$20,Transacciones!$B$5:$B$20,B51,Transacciones!$F$5:$F$20,A51)</f>
        <v>0</v>
      </c>
      <c r="G51" s="17">
        <f>SUMIFS('Valuación diaria'!$Q$5:$Q$354,'Valuación diaria'!$A$5:$A$354,A51,'Valuación diaria'!$B$5:$B$354,B51)</f>
        <v>0</v>
      </c>
      <c r="H51" s="17">
        <f t="shared" si="4"/>
        <v>0</v>
      </c>
      <c r="I51" s="17">
        <f>IF(A51=Entradas!$B$8,"",D50)</f>
        <v>14797.5</v>
      </c>
      <c r="J51" s="17">
        <f>IF(A51=Entradas!$B$8,"",I51+E51)</f>
        <v>14797.5</v>
      </c>
      <c r="K51" s="27">
        <f>IF(A51=Entradas!$B$8,"",IF(J51=0,0,(D51+H51)/J51-1))</f>
        <v>-3.3958438925494216E-2</v>
      </c>
      <c r="L51" s="26">
        <f>IF(A51=Entradas!$B$8,"",K51*100)</f>
        <v>-3.3958438925494216</v>
      </c>
      <c r="M51" s="27">
        <f>IF(A51=Entradas!$B$8,1,M50*(1+K51))</f>
        <v>0.91722398423619544</v>
      </c>
      <c r="N51" s="27">
        <f>IF(A51=Entradas!$B$8,1,MAX(N50,M51))</f>
        <v>1.0081764149920407</v>
      </c>
      <c r="O51" s="27">
        <f t="shared" si="5"/>
        <v>-9.0214797136038194E-2</v>
      </c>
    </row>
    <row r="52" spans="1:15" x14ac:dyDescent="0.3">
      <c r="A52" s="20">
        <v>46287</v>
      </c>
      <c r="B52" s="21" t="s">
        <v>103</v>
      </c>
      <c r="C52" s="11" t="str">
        <f t="shared" si="3"/>
        <v>46287|Secundario</v>
      </c>
      <c r="D52" s="17">
        <f>SUMIFS('Valuación diaria'!$O$5:$O$354,'Valuación diaria'!$A$5:$A$354,A52,'Valuación diaria'!$B$5:$B$354,B52)</f>
        <v>13822.5</v>
      </c>
      <c r="E52" s="17">
        <f>SUMIFS(Transacciones!$R$5:$R$20,Transacciones!$B$5:$B$20,B52,Transacciones!$F$5:$F$20,A52)</f>
        <v>0</v>
      </c>
      <c r="F52" s="17">
        <f>SUMIFS(Transacciones!$S$5:$S$20,Transacciones!$B$5:$B$20,B52,Transacciones!$F$5:$F$20,A52)</f>
        <v>0</v>
      </c>
      <c r="G52" s="17">
        <f>SUMIFS('Valuación diaria'!$Q$5:$Q$354,'Valuación diaria'!$A$5:$A$354,A52,'Valuación diaria'!$B$5:$B$354,B52)</f>
        <v>0</v>
      </c>
      <c r="H52" s="17">
        <f t="shared" si="4"/>
        <v>0</v>
      </c>
      <c r="I52" s="17">
        <f>IF(A52=Entradas!$B$8,"",D51)</f>
        <v>14295</v>
      </c>
      <c r="J52" s="17">
        <f>IF(A52=Entradas!$B$8,"",I52+E52)</f>
        <v>14295</v>
      </c>
      <c r="K52" s="27">
        <f>IF(A52=Entradas!$B$8,"",IF(J52=0,0,(D52+H52)/J52-1))</f>
        <v>-3.305351521511013E-2</v>
      </c>
      <c r="L52" s="26">
        <f>IF(A52=Entradas!$B$8,"",K52*100)</f>
        <v>-3.305351521511013</v>
      </c>
      <c r="M52" s="27">
        <f>IF(A52=Entradas!$B$8,1,M51*(1+K52))</f>
        <v>0.88690650731758047</v>
      </c>
      <c r="N52" s="27">
        <f>IF(A52=Entradas!$B$8,1,MAX(N51,M52))</f>
        <v>1.0081764149920407</v>
      </c>
      <c r="O52" s="27">
        <f t="shared" si="5"/>
        <v>-0.12028639618138426</v>
      </c>
    </row>
    <row r="53" spans="1:15" x14ac:dyDescent="0.3">
      <c r="A53" s="20">
        <v>46288</v>
      </c>
      <c r="B53" s="21" t="s">
        <v>103</v>
      </c>
      <c r="C53" s="11" t="str">
        <f t="shared" si="3"/>
        <v>46288|Secundario</v>
      </c>
      <c r="D53" s="17">
        <f>SUMIFS('Valuación diaria'!$O$5:$O$354,'Valuación diaria'!$A$5:$A$354,A53,'Valuación diaria'!$B$5:$B$354,B53)</f>
        <v>13563.75</v>
      </c>
      <c r="E53" s="17">
        <f>SUMIFS(Transacciones!$R$5:$R$20,Transacciones!$B$5:$B$20,B53,Transacciones!$F$5:$F$20,A53)</f>
        <v>0</v>
      </c>
      <c r="F53" s="17">
        <f>SUMIFS(Transacciones!$S$5:$S$20,Transacciones!$B$5:$B$20,B53,Transacciones!$F$5:$F$20,A53)</f>
        <v>0</v>
      </c>
      <c r="G53" s="17">
        <f>SUMIFS('Valuación diaria'!$Q$5:$Q$354,'Valuación diaria'!$A$5:$A$354,A53,'Valuación diaria'!$B$5:$B$354,B53)</f>
        <v>0</v>
      </c>
      <c r="H53" s="17">
        <f t="shared" si="4"/>
        <v>0</v>
      </c>
      <c r="I53" s="17">
        <f>IF(A53=Entradas!$B$8,"",D52)</f>
        <v>13822.5</v>
      </c>
      <c r="J53" s="17">
        <f>IF(A53=Entradas!$B$8,"",I53+E53)</f>
        <v>13822.5</v>
      </c>
      <c r="K53" s="27">
        <f>IF(A53=Entradas!$B$8,"",IF(J53=0,0,(D53+H53)/J53-1))</f>
        <v>-1.8719479110146486E-2</v>
      </c>
      <c r="L53" s="26">
        <f>IF(A53=Entradas!$B$8,"",K53*100)</f>
        <v>-1.8719479110146486</v>
      </c>
      <c r="M53" s="27">
        <f>IF(A53=Entradas!$B$8,1,M52*(1+K53))</f>
        <v>0.87030407948119604</v>
      </c>
      <c r="N53" s="27">
        <f>IF(A53=Entradas!$B$8,1,MAX(N52,M53))</f>
        <v>1.0081764149920407</v>
      </c>
      <c r="O53" s="27">
        <f t="shared" si="5"/>
        <v>-0.13675417661097844</v>
      </c>
    </row>
    <row r="54" spans="1:15" x14ac:dyDescent="0.3">
      <c r="A54" s="20">
        <v>46289</v>
      </c>
      <c r="B54" s="21" t="s">
        <v>103</v>
      </c>
      <c r="C54" s="11" t="str">
        <f t="shared" si="3"/>
        <v>46289|Secundario</v>
      </c>
      <c r="D54" s="17">
        <f>SUMIFS('Valuación diaria'!$O$5:$O$354,'Valuación diaria'!$A$5:$A$354,A54,'Valuación diaria'!$B$5:$B$354,B54)</f>
        <v>13920</v>
      </c>
      <c r="E54" s="17">
        <f>SUMIFS(Transacciones!$R$5:$R$20,Transacciones!$B$5:$B$20,B54,Transacciones!$F$5:$F$20,A54)</f>
        <v>0</v>
      </c>
      <c r="F54" s="17">
        <f>SUMIFS(Transacciones!$S$5:$S$20,Transacciones!$B$5:$B$20,B54,Transacciones!$F$5:$F$20,A54)</f>
        <v>0</v>
      </c>
      <c r="G54" s="17">
        <f>SUMIFS('Valuación diaria'!$Q$5:$Q$354,'Valuación diaria'!$A$5:$A$354,A54,'Valuación diaria'!$B$5:$B$354,B54)</f>
        <v>0</v>
      </c>
      <c r="H54" s="17">
        <f t="shared" si="4"/>
        <v>0</v>
      </c>
      <c r="I54" s="17">
        <f>IF(A54=Entradas!$B$8,"",D53)</f>
        <v>13563.75</v>
      </c>
      <c r="J54" s="17">
        <f>IF(A54=Entradas!$B$8,"",I54+E54)</f>
        <v>13563.75</v>
      </c>
      <c r="K54" s="27">
        <f>IF(A54=Entradas!$B$8,"",IF(J54=0,0,(D54+H54)/J54-1))</f>
        <v>2.6264860381531641E-2</v>
      </c>
      <c r="L54" s="26">
        <f>IF(A54=Entradas!$B$8,"",K54*100)</f>
        <v>2.6264860381531641</v>
      </c>
      <c r="M54" s="27">
        <f>IF(A54=Entradas!$B$8,1,M53*(1+K54))</f>
        <v>0.89316249461824704</v>
      </c>
      <c r="N54" s="27">
        <f>IF(A54=Entradas!$B$8,1,MAX(N53,M54))</f>
        <v>1.0081764149920407</v>
      </c>
      <c r="O54" s="27">
        <f t="shared" si="5"/>
        <v>-0.11408114558472549</v>
      </c>
    </row>
    <row r="55" spans="1:15" x14ac:dyDescent="0.3">
      <c r="A55" s="20">
        <v>46290</v>
      </c>
      <c r="B55" s="21" t="s">
        <v>103</v>
      </c>
      <c r="C55" s="11" t="str">
        <f t="shared" si="3"/>
        <v>46290|Secundario</v>
      </c>
      <c r="D55" s="17">
        <f>SUMIFS('Valuación diaria'!$O$5:$O$354,'Valuación diaria'!$A$5:$A$354,A55,'Valuación diaria'!$B$5:$B$354,B55)</f>
        <v>14422.5</v>
      </c>
      <c r="E55" s="17">
        <f>SUMIFS(Transacciones!$R$5:$R$20,Transacciones!$B$5:$B$20,B55,Transacciones!$F$5:$F$20,A55)</f>
        <v>0</v>
      </c>
      <c r="F55" s="17">
        <f>SUMIFS(Transacciones!$S$5:$S$20,Transacciones!$B$5:$B$20,B55,Transacciones!$F$5:$F$20,A55)</f>
        <v>0</v>
      </c>
      <c r="G55" s="17">
        <f>SUMIFS('Valuación diaria'!$Q$5:$Q$354,'Valuación diaria'!$A$5:$A$354,A55,'Valuación diaria'!$B$5:$B$354,B55)</f>
        <v>0</v>
      </c>
      <c r="H55" s="17">
        <f t="shared" si="4"/>
        <v>0</v>
      </c>
      <c r="I55" s="17">
        <f>IF(A55=Entradas!$B$8,"",D54)</f>
        <v>13920</v>
      </c>
      <c r="J55" s="17">
        <f>IF(A55=Entradas!$B$8,"",I55+E55)</f>
        <v>13920</v>
      </c>
      <c r="K55" s="27">
        <f>IF(A55=Entradas!$B$8,"",IF(J55=0,0,(D55+H55)/J55-1))</f>
        <v>3.6099137931034475E-2</v>
      </c>
      <c r="L55" s="26">
        <f>IF(A55=Entradas!$B$8,"",K55*100)</f>
        <v>3.6099137931034475</v>
      </c>
      <c r="M55" s="27">
        <f>IF(A55=Entradas!$B$8,1,M54*(1+K55))</f>
        <v>0.92540489070629794</v>
      </c>
      <c r="N55" s="27">
        <f>IF(A55=Entradas!$B$8,1,MAX(N54,M55))</f>
        <v>1.0081764149920407</v>
      </c>
      <c r="O55" s="27">
        <f t="shared" si="5"/>
        <v>-8.2100238663484482E-2</v>
      </c>
    </row>
    <row r="56" spans="1:15" x14ac:dyDescent="0.3">
      <c r="A56" s="20">
        <v>46291</v>
      </c>
      <c r="B56" s="21" t="s">
        <v>103</v>
      </c>
      <c r="C56" s="11" t="str">
        <f t="shared" si="3"/>
        <v>46291|Secundario</v>
      </c>
      <c r="D56" s="17">
        <f>SUMIFS('Valuación diaria'!$O$5:$O$354,'Valuación diaria'!$A$5:$A$354,A56,'Valuación diaria'!$B$5:$B$354,B56)</f>
        <v>14422.5</v>
      </c>
      <c r="E56" s="17">
        <f>SUMIFS(Transacciones!$R$5:$R$20,Transacciones!$B$5:$B$20,B56,Transacciones!$F$5:$F$20,A56)</f>
        <v>0</v>
      </c>
      <c r="F56" s="17">
        <f>SUMIFS(Transacciones!$S$5:$S$20,Transacciones!$B$5:$B$20,B56,Transacciones!$F$5:$F$20,A56)</f>
        <v>0</v>
      </c>
      <c r="G56" s="17">
        <f>SUMIFS('Valuación diaria'!$Q$5:$Q$354,'Valuación diaria'!$A$5:$A$354,A56,'Valuación diaria'!$B$5:$B$354,B56)</f>
        <v>0</v>
      </c>
      <c r="H56" s="17">
        <f t="shared" si="4"/>
        <v>0</v>
      </c>
      <c r="I56" s="17">
        <f>IF(A56=Entradas!$B$8,"",D55)</f>
        <v>14422.5</v>
      </c>
      <c r="J56" s="17">
        <f>IF(A56=Entradas!$B$8,"",I56+E56)</f>
        <v>14422.5</v>
      </c>
      <c r="K56" s="27">
        <f>IF(A56=Entradas!$B$8,"",IF(J56=0,0,(D56+H56)/J56-1))</f>
        <v>0</v>
      </c>
      <c r="L56" s="26">
        <f>IF(A56=Entradas!$B$8,"",K56*100)</f>
        <v>0</v>
      </c>
      <c r="M56" s="27">
        <f>IF(A56=Entradas!$B$8,1,M55*(1+K56))</f>
        <v>0.92540489070629794</v>
      </c>
      <c r="N56" s="27">
        <f>IF(A56=Entradas!$B$8,1,MAX(N55,M56))</f>
        <v>1.0081764149920407</v>
      </c>
      <c r="O56" s="27">
        <f t="shared" si="5"/>
        <v>-8.2100238663484482E-2</v>
      </c>
    </row>
    <row r="57" spans="1:15" x14ac:dyDescent="0.3">
      <c r="A57" s="20">
        <v>46292</v>
      </c>
      <c r="B57" s="21" t="s">
        <v>103</v>
      </c>
      <c r="C57" s="11" t="str">
        <f t="shared" si="3"/>
        <v>46292|Secundario</v>
      </c>
      <c r="D57" s="17">
        <f>SUMIFS('Valuación diaria'!$O$5:$O$354,'Valuación diaria'!$A$5:$A$354,A57,'Valuación diaria'!$B$5:$B$354,B57)</f>
        <v>14422.5</v>
      </c>
      <c r="E57" s="17">
        <f>SUMIFS(Transacciones!$R$5:$R$20,Transacciones!$B$5:$B$20,B57,Transacciones!$F$5:$F$20,A57)</f>
        <v>0</v>
      </c>
      <c r="F57" s="17">
        <f>SUMIFS(Transacciones!$S$5:$S$20,Transacciones!$B$5:$B$20,B57,Transacciones!$F$5:$F$20,A57)</f>
        <v>0</v>
      </c>
      <c r="G57" s="17">
        <f>SUMIFS('Valuación diaria'!$Q$5:$Q$354,'Valuación diaria'!$A$5:$A$354,A57,'Valuación diaria'!$B$5:$B$354,B57)</f>
        <v>0</v>
      </c>
      <c r="H57" s="17">
        <f t="shared" si="4"/>
        <v>0</v>
      </c>
      <c r="I57" s="17">
        <f>IF(A57=Entradas!$B$8,"",D56)</f>
        <v>14422.5</v>
      </c>
      <c r="J57" s="17">
        <f>IF(A57=Entradas!$B$8,"",I57+E57)</f>
        <v>14422.5</v>
      </c>
      <c r="K57" s="27">
        <f>IF(A57=Entradas!$B$8,"",IF(J57=0,0,(D57+H57)/J57-1))</f>
        <v>0</v>
      </c>
      <c r="L57" s="26">
        <f>IF(A57=Entradas!$B$8,"",K57*100)</f>
        <v>0</v>
      </c>
      <c r="M57" s="27">
        <f>IF(A57=Entradas!$B$8,1,M56*(1+K57))</f>
        <v>0.92540489070629794</v>
      </c>
      <c r="N57" s="27">
        <f>IF(A57=Entradas!$B$8,1,MAX(N56,M57))</f>
        <v>1.0081764149920407</v>
      </c>
      <c r="O57" s="27">
        <f t="shared" si="5"/>
        <v>-8.2100238663484482E-2</v>
      </c>
    </row>
    <row r="58" spans="1:15" x14ac:dyDescent="0.3">
      <c r="A58" s="20">
        <v>46293</v>
      </c>
      <c r="B58" s="21" t="s">
        <v>103</v>
      </c>
      <c r="C58" s="11" t="str">
        <f t="shared" si="3"/>
        <v>46293|Secundario</v>
      </c>
      <c r="D58" s="17">
        <f>SUMIFS('Valuación diaria'!$O$5:$O$354,'Valuación diaria'!$A$5:$A$354,A58,'Valuación diaria'!$B$5:$B$354,B58)</f>
        <v>14955</v>
      </c>
      <c r="E58" s="17">
        <f>SUMIFS(Transacciones!$R$5:$R$20,Transacciones!$B$5:$B$20,B58,Transacciones!$F$5:$F$20,A58)</f>
        <v>0</v>
      </c>
      <c r="F58" s="17">
        <f>SUMIFS(Transacciones!$S$5:$S$20,Transacciones!$B$5:$B$20,B58,Transacciones!$F$5:$F$20,A58)</f>
        <v>0</v>
      </c>
      <c r="G58" s="17">
        <f>SUMIFS('Valuación diaria'!$Q$5:$Q$354,'Valuación diaria'!$A$5:$A$354,A58,'Valuación diaria'!$B$5:$B$354,B58)</f>
        <v>0</v>
      </c>
      <c r="H58" s="17">
        <f t="shared" si="4"/>
        <v>0</v>
      </c>
      <c r="I58" s="17">
        <f>IF(A58=Entradas!$B$8,"",D57)</f>
        <v>14422.5</v>
      </c>
      <c r="J58" s="17">
        <f>IF(A58=Entradas!$B$8,"",I58+E58)</f>
        <v>14422.5</v>
      </c>
      <c r="K58" s="27">
        <f>IF(A58=Entradas!$B$8,"",IF(J58=0,0,(D58+H58)/J58-1))</f>
        <v>3.6921476859074431E-2</v>
      </c>
      <c r="L58" s="26">
        <f>IF(A58=Entradas!$B$8,"",K58*100)</f>
        <v>3.6921476859074431</v>
      </c>
      <c r="M58" s="27">
        <f>IF(A58=Entradas!$B$8,1,M57*(1+K58))</f>
        <v>0.95957220596378479</v>
      </c>
      <c r="N58" s="27">
        <f>IF(A58=Entradas!$B$8,1,MAX(N57,M58))</f>
        <v>1.0081764149920407</v>
      </c>
      <c r="O58" s="27">
        <f t="shared" si="5"/>
        <v>-4.8210023866348428E-2</v>
      </c>
    </row>
    <row r="59" spans="1:15" x14ac:dyDescent="0.3">
      <c r="A59" s="20">
        <v>46294</v>
      </c>
      <c r="B59" s="21" t="s">
        <v>103</v>
      </c>
      <c r="C59" s="11" t="str">
        <f t="shared" si="3"/>
        <v>46294|Secundario</v>
      </c>
      <c r="D59" s="17">
        <f>SUMIFS('Valuación diaria'!$O$5:$O$354,'Valuación diaria'!$A$5:$A$354,A59,'Valuación diaria'!$B$5:$B$354,B59)</f>
        <v>15487.5</v>
      </c>
      <c r="E59" s="17">
        <f>SUMIFS(Transacciones!$R$5:$R$20,Transacciones!$B$5:$B$20,B59,Transacciones!$F$5:$F$20,A59)</f>
        <v>0</v>
      </c>
      <c r="F59" s="17">
        <f>SUMIFS(Transacciones!$S$5:$S$20,Transacciones!$B$5:$B$20,B59,Transacciones!$F$5:$F$20,A59)</f>
        <v>0</v>
      </c>
      <c r="G59" s="17">
        <f>SUMIFS('Valuación diaria'!$Q$5:$Q$354,'Valuación diaria'!$A$5:$A$354,A59,'Valuación diaria'!$B$5:$B$354,B59)</f>
        <v>0</v>
      </c>
      <c r="H59" s="17">
        <f t="shared" si="4"/>
        <v>0</v>
      </c>
      <c r="I59" s="17">
        <f>IF(A59=Entradas!$B$8,"",D58)</f>
        <v>14955</v>
      </c>
      <c r="J59" s="17">
        <f>IF(A59=Entradas!$B$8,"",I59+E59)</f>
        <v>14955</v>
      </c>
      <c r="K59" s="27">
        <f>IF(A59=Entradas!$B$8,"",IF(J59=0,0,(D59+H59)/J59-1))</f>
        <v>3.5606820461384192E-2</v>
      </c>
      <c r="L59" s="26">
        <f>IF(A59=Entradas!$B$8,"",K59*100)</f>
        <v>3.5606820461384192</v>
      </c>
      <c r="M59" s="27">
        <f>IF(A59=Entradas!$B$8,1,M58*(1+K59))</f>
        <v>0.99373952122127163</v>
      </c>
      <c r="N59" s="27">
        <f>IF(A59=Entradas!$B$8,1,MAX(N58,M59))</f>
        <v>1.0081764149920407</v>
      </c>
      <c r="O59" s="27">
        <f t="shared" si="5"/>
        <v>-1.4319809069212375E-2</v>
      </c>
    </row>
    <row r="60" spans="1:15" x14ac:dyDescent="0.3">
      <c r="A60" s="20">
        <v>46295</v>
      </c>
      <c r="B60" s="21" t="s">
        <v>103</v>
      </c>
      <c r="C60" s="11" t="str">
        <f t="shared" si="3"/>
        <v>46295|Secundario</v>
      </c>
      <c r="D60" s="17">
        <f>SUMIFS('Valuación diaria'!$O$5:$O$354,'Valuación diaria'!$A$5:$A$354,A60,'Valuación diaria'!$B$5:$B$354,B60)</f>
        <v>16065</v>
      </c>
      <c r="E60" s="17">
        <f>SUMIFS(Transacciones!$R$5:$R$20,Transacciones!$B$5:$B$20,B60,Transacciones!$F$5:$F$20,A60)</f>
        <v>0</v>
      </c>
      <c r="F60" s="17">
        <f>SUMIFS(Transacciones!$S$5:$S$20,Transacciones!$B$5:$B$20,B60,Transacciones!$F$5:$F$20,A60)</f>
        <v>0</v>
      </c>
      <c r="G60" s="17">
        <f>SUMIFS('Valuación diaria'!$Q$5:$Q$354,'Valuación diaria'!$A$5:$A$354,A60,'Valuación diaria'!$B$5:$B$354,B60)</f>
        <v>0</v>
      </c>
      <c r="H60" s="17">
        <f t="shared" si="4"/>
        <v>0</v>
      </c>
      <c r="I60" s="17">
        <f>IF(A60=Entradas!$B$8,"",D59)</f>
        <v>15487.5</v>
      </c>
      <c r="J60" s="17">
        <f>IF(A60=Entradas!$B$8,"",I60+E60)</f>
        <v>15487.5</v>
      </c>
      <c r="K60" s="27">
        <f>IF(A60=Entradas!$B$8,"",IF(J60=0,0,(D60+H60)/J60-1))</f>
        <v>3.7288135593220417E-2</v>
      </c>
      <c r="L60" s="26">
        <f>IF(A60=Entradas!$B$8,"",K60*100)</f>
        <v>3.7288135593220417</v>
      </c>
      <c r="M60" s="27">
        <f>IF(A60=Entradas!$B$8,1,M59*(1+K60))</f>
        <v>1.0307942152329124</v>
      </c>
      <c r="N60" s="27">
        <f>IF(A60=Entradas!$B$8,1,MAX(N59,M60))</f>
        <v>1.0307942152329124</v>
      </c>
      <c r="O60" s="27">
        <f t="shared" si="5"/>
        <v>0</v>
      </c>
    </row>
    <row r="61" spans="1:15" x14ac:dyDescent="0.3">
      <c r="A61" s="20">
        <v>46296</v>
      </c>
      <c r="B61" s="21" t="s">
        <v>103</v>
      </c>
      <c r="C61" s="11" t="str">
        <f t="shared" si="3"/>
        <v>46296|Secundario</v>
      </c>
      <c r="D61" s="17">
        <f>SUMIFS('Valuación diaria'!$O$5:$O$354,'Valuación diaria'!$A$5:$A$354,A61,'Valuación diaria'!$B$5:$B$354,B61)</f>
        <v>15802.5</v>
      </c>
      <c r="E61" s="17">
        <f>SUMIFS(Transacciones!$R$5:$R$20,Transacciones!$B$5:$B$20,B61,Transacciones!$F$5:$F$20,A61)</f>
        <v>0</v>
      </c>
      <c r="F61" s="17">
        <f>SUMIFS(Transacciones!$S$5:$S$20,Transacciones!$B$5:$B$20,B61,Transacciones!$F$5:$F$20,A61)</f>
        <v>0</v>
      </c>
      <c r="G61" s="17">
        <f>SUMIFS('Valuación diaria'!$Q$5:$Q$354,'Valuación diaria'!$A$5:$A$354,A61,'Valuación diaria'!$B$5:$B$354,B61)</f>
        <v>0</v>
      </c>
      <c r="H61" s="17">
        <f t="shared" si="4"/>
        <v>0</v>
      </c>
      <c r="I61" s="17">
        <f>IF(A61=Entradas!$B$8,"",D60)</f>
        <v>16065</v>
      </c>
      <c r="J61" s="17">
        <f>IF(A61=Entradas!$B$8,"",I61+E61)</f>
        <v>16065</v>
      </c>
      <c r="K61" s="27">
        <f>IF(A61=Entradas!$B$8,"",IF(J61=0,0,(D61+H61)/J61-1))</f>
        <v>-1.6339869281045805E-2</v>
      </c>
      <c r="L61" s="26">
        <f>IF(A61=Entradas!$B$8,"",K61*100)</f>
        <v>-1.6339869281045805</v>
      </c>
      <c r="M61" s="27">
        <f>IF(A61=Entradas!$B$8,1,M60*(1+K61))</f>
        <v>1.0139511725003485</v>
      </c>
      <c r="N61" s="27">
        <f>IF(A61=Entradas!$B$8,1,MAX(N60,M61))</f>
        <v>1.0307942152329124</v>
      </c>
      <c r="O61" s="27">
        <f t="shared" si="5"/>
        <v>-1.6339869281045694E-2</v>
      </c>
    </row>
    <row r="62" spans="1:15" x14ac:dyDescent="0.3">
      <c r="A62" s="20">
        <v>46297</v>
      </c>
      <c r="B62" s="21" t="s">
        <v>103</v>
      </c>
      <c r="C62" s="11" t="str">
        <f t="shared" si="3"/>
        <v>46297|Secundario</v>
      </c>
      <c r="D62" s="17">
        <f>SUMIFS('Valuación diaria'!$O$5:$O$354,'Valuación diaria'!$A$5:$A$354,A62,'Valuación diaria'!$B$5:$B$354,B62)</f>
        <v>15585</v>
      </c>
      <c r="E62" s="17">
        <f>SUMIFS(Transacciones!$R$5:$R$20,Transacciones!$B$5:$B$20,B62,Transacciones!$F$5:$F$20,A62)</f>
        <v>0</v>
      </c>
      <c r="F62" s="17">
        <f>SUMIFS(Transacciones!$S$5:$S$20,Transacciones!$B$5:$B$20,B62,Transacciones!$F$5:$F$20,A62)</f>
        <v>0</v>
      </c>
      <c r="G62" s="17">
        <f>SUMIFS('Valuación diaria'!$Q$5:$Q$354,'Valuación diaria'!$A$5:$A$354,A62,'Valuación diaria'!$B$5:$B$354,B62)</f>
        <v>0</v>
      </c>
      <c r="H62" s="17">
        <f t="shared" si="4"/>
        <v>0</v>
      </c>
      <c r="I62" s="17">
        <f>IF(A62=Entradas!$B$8,"",D61)</f>
        <v>15802.5</v>
      </c>
      <c r="J62" s="17">
        <f>IF(A62=Entradas!$B$8,"",I62+E62)</f>
        <v>15802.5</v>
      </c>
      <c r="K62" s="27">
        <f>IF(A62=Entradas!$B$8,"",IF(J62=0,0,(D62+H62)/J62-1))</f>
        <v>-1.3763644992880852E-2</v>
      </c>
      <c r="L62" s="26">
        <f>IF(A62=Entradas!$B$8,"",K62*100)</f>
        <v>-1.3763644992880852</v>
      </c>
      <c r="M62" s="27">
        <f>IF(A62=Entradas!$B$8,1,M61*(1+K62))</f>
        <v>0.99999550852193841</v>
      </c>
      <c r="N62" s="27">
        <f>IF(A62=Entradas!$B$8,1,MAX(N61,M62))</f>
        <v>1.0307942152329124</v>
      </c>
      <c r="O62" s="27">
        <f t="shared" si="5"/>
        <v>-2.9878618113912125E-2</v>
      </c>
    </row>
    <row r="63" spans="1:15" x14ac:dyDescent="0.3">
      <c r="A63" s="20">
        <v>46298</v>
      </c>
      <c r="B63" s="21" t="s">
        <v>103</v>
      </c>
      <c r="C63" s="11" t="str">
        <f t="shared" si="3"/>
        <v>46298|Secundario</v>
      </c>
      <c r="D63" s="17">
        <f>SUMIFS('Valuación diaria'!$O$5:$O$354,'Valuación diaria'!$A$5:$A$354,A63,'Valuación diaria'!$B$5:$B$354,B63)</f>
        <v>15585</v>
      </c>
      <c r="E63" s="17">
        <f>SUMIFS(Transacciones!$R$5:$R$20,Transacciones!$B$5:$B$20,B63,Transacciones!$F$5:$F$20,A63)</f>
        <v>0</v>
      </c>
      <c r="F63" s="17">
        <f>SUMIFS(Transacciones!$S$5:$S$20,Transacciones!$B$5:$B$20,B63,Transacciones!$F$5:$F$20,A63)</f>
        <v>0</v>
      </c>
      <c r="G63" s="17">
        <f>SUMIFS('Valuación diaria'!$Q$5:$Q$354,'Valuación diaria'!$A$5:$A$354,A63,'Valuación diaria'!$B$5:$B$354,B63)</f>
        <v>0</v>
      </c>
      <c r="H63" s="17">
        <f t="shared" si="4"/>
        <v>0</v>
      </c>
      <c r="I63" s="17">
        <f>IF(A63=Entradas!$B$8,"",D62)</f>
        <v>15585</v>
      </c>
      <c r="J63" s="17">
        <f>IF(A63=Entradas!$B$8,"",I63+E63)</f>
        <v>15585</v>
      </c>
      <c r="K63" s="27">
        <f>IF(A63=Entradas!$B$8,"",IF(J63=0,0,(D63+H63)/J63-1))</f>
        <v>0</v>
      </c>
      <c r="L63" s="26">
        <f>IF(A63=Entradas!$B$8,"",K63*100)</f>
        <v>0</v>
      </c>
      <c r="M63" s="27">
        <f>IF(A63=Entradas!$B$8,1,M62*(1+K63))</f>
        <v>0.99999550852193841</v>
      </c>
      <c r="N63" s="27">
        <f>IF(A63=Entradas!$B$8,1,MAX(N62,M63))</f>
        <v>1.0307942152329124</v>
      </c>
      <c r="O63" s="27">
        <f t="shared" si="5"/>
        <v>-2.9878618113912125E-2</v>
      </c>
    </row>
    <row r="64" spans="1:15" x14ac:dyDescent="0.3">
      <c r="A64" s="20">
        <v>46299</v>
      </c>
      <c r="B64" s="21" t="s">
        <v>103</v>
      </c>
      <c r="C64" s="11" t="str">
        <f t="shared" si="3"/>
        <v>46299|Secundario</v>
      </c>
      <c r="D64" s="17">
        <f>SUMIFS('Valuación diaria'!$O$5:$O$354,'Valuación diaria'!$A$5:$A$354,A64,'Valuación diaria'!$B$5:$B$354,B64)</f>
        <v>15585</v>
      </c>
      <c r="E64" s="17">
        <f>SUMIFS(Transacciones!$R$5:$R$20,Transacciones!$B$5:$B$20,B64,Transacciones!$F$5:$F$20,A64)</f>
        <v>0</v>
      </c>
      <c r="F64" s="17">
        <f>SUMIFS(Transacciones!$S$5:$S$20,Transacciones!$B$5:$B$20,B64,Transacciones!$F$5:$F$20,A64)</f>
        <v>0</v>
      </c>
      <c r="G64" s="17">
        <f>SUMIFS('Valuación diaria'!$Q$5:$Q$354,'Valuación diaria'!$A$5:$A$354,A64,'Valuación diaria'!$B$5:$B$354,B64)</f>
        <v>0</v>
      </c>
      <c r="H64" s="17">
        <f t="shared" si="4"/>
        <v>0</v>
      </c>
      <c r="I64" s="17">
        <f>IF(A64=Entradas!$B$8,"",D63)</f>
        <v>15585</v>
      </c>
      <c r="J64" s="17">
        <f>IF(A64=Entradas!$B$8,"",I64+E64)</f>
        <v>15585</v>
      </c>
      <c r="K64" s="27">
        <f>IF(A64=Entradas!$B$8,"",IF(J64=0,0,(D64+H64)/J64-1))</f>
        <v>0</v>
      </c>
      <c r="L64" s="26">
        <f>IF(A64=Entradas!$B$8,"",K64*100)</f>
        <v>0</v>
      </c>
      <c r="M64" s="27">
        <f>IF(A64=Entradas!$B$8,1,M63*(1+K64))</f>
        <v>0.99999550852193841</v>
      </c>
      <c r="N64" s="27">
        <f>IF(A64=Entradas!$B$8,1,MAX(N63,M64))</f>
        <v>1.0307942152329124</v>
      </c>
      <c r="O64" s="27">
        <f t="shared" si="5"/>
        <v>-2.9878618113912125E-2</v>
      </c>
    </row>
    <row r="65" spans="1:15" x14ac:dyDescent="0.3">
      <c r="A65" s="20">
        <v>46300</v>
      </c>
      <c r="B65" s="21" t="s">
        <v>103</v>
      </c>
      <c r="C65" s="11" t="str">
        <f t="shared" si="3"/>
        <v>46300|Secundario</v>
      </c>
      <c r="D65" s="17">
        <f>SUMIFS('Valuación diaria'!$O$5:$O$354,'Valuación diaria'!$A$5:$A$354,A65,'Valuación diaria'!$B$5:$B$354,B65)</f>
        <v>15247.5</v>
      </c>
      <c r="E65" s="17">
        <f>SUMIFS(Transacciones!$R$5:$R$20,Transacciones!$B$5:$B$20,B65,Transacciones!$F$5:$F$20,A65)</f>
        <v>0</v>
      </c>
      <c r="F65" s="17">
        <f>SUMIFS(Transacciones!$S$5:$S$20,Transacciones!$B$5:$B$20,B65,Transacciones!$F$5:$F$20,A65)</f>
        <v>0</v>
      </c>
      <c r="G65" s="17">
        <f>SUMIFS('Valuación diaria'!$Q$5:$Q$354,'Valuación diaria'!$A$5:$A$354,A65,'Valuación diaria'!$B$5:$B$354,B65)</f>
        <v>0</v>
      </c>
      <c r="H65" s="17">
        <f t="shared" si="4"/>
        <v>0</v>
      </c>
      <c r="I65" s="17">
        <f>IF(A65=Entradas!$B$8,"",D64)</f>
        <v>15585</v>
      </c>
      <c r="J65" s="17">
        <f>IF(A65=Entradas!$B$8,"",I65+E65)</f>
        <v>15585</v>
      </c>
      <c r="K65" s="27">
        <f>IF(A65=Entradas!$B$8,"",IF(J65=0,0,(D65+H65)/J65-1))</f>
        <v>-2.1655437921077936E-2</v>
      </c>
      <c r="L65" s="26">
        <f>IF(A65=Entradas!$B$8,"",K65*100)</f>
        <v>-2.1655437921077936</v>
      </c>
      <c r="M65" s="27">
        <f>IF(A65=Entradas!$B$8,1,M64*(1+K65))</f>
        <v>0.97834016786578482</v>
      </c>
      <c r="N65" s="27">
        <f>IF(A65=Entradas!$B$8,1,MAX(N64,M65))</f>
        <v>1.0307942152329124</v>
      </c>
      <c r="O65" s="27">
        <f t="shared" si="5"/>
        <v>-5.08870214752567E-2</v>
      </c>
    </row>
    <row r="66" spans="1:15" x14ac:dyDescent="0.3">
      <c r="A66" s="20">
        <v>46301</v>
      </c>
      <c r="B66" s="21" t="s">
        <v>103</v>
      </c>
      <c r="C66" s="11" t="str">
        <f t="shared" si="3"/>
        <v>46301|Secundario</v>
      </c>
      <c r="D66" s="17">
        <f>SUMIFS('Valuación diaria'!$O$5:$O$354,'Valuación diaria'!$A$5:$A$354,A66,'Valuación diaria'!$B$5:$B$354,B66)</f>
        <v>15420</v>
      </c>
      <c r="E66" s="17">
        <f>SUMIFS(Transacciones!$R$5:$R$20,Transacciones!$B$5:$B$20,B66,Transacciones!$F$5:$F$20,A66)</f>
        <v>0</v>
      </c>
      <c r="F66" s="17">
        <f>SUMIFS(Transacciones!$S$5:$S$20,Transacciones!$B$5:$B$20,B66,Transacciones!$F$5:$F$20,A66)</f>
        <v>0</v>
      </c>
      <c r="G66" s="17">
        <f>SUMIFS('Valuación diaria'!$Q$5:$Q$354,'Valuación diaria'!$A$5:$A$354,A66,'Valuación diaria'!$B$5:$B$354,B66)</f>
        <v>0</v>
      </c>
      <c r="H66" s="17">
        <f t="shared" si="4"/>
        <v>0</v>
      </c>
      <c r="I66" s="17">
        <f>IF(A66=Entradas!$B$8,"",D65)</f>
        <v>15247.5</v>
      </c>
      <c r="J66" s="17">
        <f>IF(A66=Entradas!$B$8,"",I66+E66)</f>
        <v>15247.5</v>
      </c>
      <c r="K66" s="27">
        <f>IF(A66=Entradas!$B$8,"",IF(J66=0,0,(D66+H66)/J66-1))</f>
        <v>1.1313330054107285E-2</v>
      </c>
      <c r="L66" s="26">
        <f>IF(A66=Entradas!$B$8,"",K66*100)</f>
        <v>1.1313330054107285</v>
      </c>
      <c r="M66" s="27">
        <f>IF(A66=Entradas!$B$8,1,M65*(1+K66))</f>
        <v>0.98940845309004122</v>
      </c>
      <c r="N66" s="27">
        <f>IF(A66=Entradas!$B$8,1,MAX(N65,M66))</f>
        <v>1.0307942152329124</v>
      </c>
      <c r="O66" s="27">
        <f t="shared" si="5"/>
        <v>-4.0149393090569307E-2</v>
      </c>
    </row>
    <row r="67" spans="1:15" x14ac:dyDescent="0.3">
      <c r="A67" s="20">
        <v>46302</v>
      </c>
      <c r="B67" s="21" t="s">
        <v>103</v>
      </c>
      <c r="C67" s="11" t="str">
        <f t="shared" si="3"/>
        <v>46302|Secundario</v>
      </c>
      <c r="D67" s="17">
        <f>SUMIFS('Valuación diaria'!$O$5:$O$354,'Valuación diaria'!$A$5:$A$354,A67,'Valuación diaria'!$B$5:$B$354,B67)</f>
        <v>15742.5</v>
      </c>
      <c r="E67" s="17">
        <f>SUMIFS(Transacciones!$R$5:$R$20,Transacciones!$B$5:$B$20,B67,Transacciones!$F$5:$F$20,A67)</f>
        <v>0</v>
      </c>
      <c r="F67" s="17">
        <f>SUMIFS(Transacciones!$S$5:$S$20,Transacciones!$B$5:$B$20,B67,Transacciones!$F$5:$F$20,A67)</f>
        <v>0</v>
      </c>
      <c r="G67" s="17">
        <f>SUMIFS('Valuación diaria'!$Q$5:$Q$354,'Valuación diaria'!$A$5:$A$354,A67,'Valuación diaria'!$B$5:$B$354,B67)</f>
        <v>0</v>
      </c>
      <c r="H67" s="17">
        <f t="shared" si="4"/>
        <v>0</v>
      </c>
      <c r="I67" s="17">
        <f>IF(A67=Entradas!$B$8,"",D66)</f>
        <v>15420</v>
      </c>
      <c r="J67" s="17">
        <f>IF(A67=Entradas!$B$8,"",I67+E67)</f>
        <v>15420</v>
      </c>
      <c r="K67" s="27">
        <f>IF(A67=Entradas!$B$8,"",IF(J67=0,0,(D67+H67)/J67-1))</f>
        <v>2.0914396887159459E-2</v>
      </c>
      <c r="L67" s="26">
        <f>IF(A67=Entradas!$B$8,"",K67*100)</f>
        <v>2.0914396887159459</v>
      </c>
      <c r="M67" s="27">
        <f>IF(A67=Entradas!$B$8,1,M66*(1+K67))</f>
        <v>1.0101013341614768</v>
      </c>
      <c r="N67" s="27">
        <f>IF(A67=Entradas!$B$8,1,MAX(N66,M67))</f>
        <v>1.0307942152329124</v>
      </c>
      <c r="O67" s="27">
        <f t="shared" si="5"/>
        <v>-2.0074696545284598E-2</v>
      </c>
    </row>
    <row r="68" spans="1:15" x14ac:dyDescent="0.3">
      <c r="A68" s="20">
        <v>46303</v>
      </c>
      <c r="B68" s="21" t="s">
        <v>103</v>
      </c>
      <c r="C68" s="11" t="str">
        <f t="shared" si="3"/>
        <v>46303|Secundario</v>
      </c>
      <c r="D68" s="17">
        <f>SUMIFS('Valuación diaria'!$O$5:$O$354,'Valuación diaria'!$A$5:$A$354,A68,'Valuación diaria'!$B$5:$B$354,B68)</f>
        <v>16110</v>
      </c>
      <c r="E68" s="17">
        <f>SUMIFS(Transacciones!$R$5:$R$20,Transacciones!$B$5:$B$20,B68,Transacciones!$F$5:$F$20,A68)</f>
        <v>0</v>
      </c>
      <c r="F68" s="17">
        <f>SUMIFS(Transacciones!$S$5:$S$20,Transacciones!$B$5:$B$20,B68,Transacciones!$F$5:$F$20,A68)</f>
        <v>0</v>
      </c>
      <c r="G68" s="17">
        <f>SUMIFS('Valuación diaria'!$Q$5:$Q$354,'Valuación diaria'!$A$5:$A$354,A68,'Valuación diaria'!$B$5:$B$354,B68)</f>
        <v>0</v>
      </c>
      <c r="H68" s="17">
        <f t="shared" si="4"/>
        <v>0</v>
      </c>
      <c r="I68" s="17">
        <f>IF(A68=Entradas!$B$8,"",D67)</f>
        <v>15742.5</v>
      </c>
      <c r="J68" s="17">
        <f>IF(A68=Entradas!$B$8,"",I68+E68)</f>
        <v>15742.5</v>
      </c>
      <c r="K68" s="27">
        <f>IF(A68=Entradas!$B$8,"",IF(J68=0,0,(D68+H68)/J68-1))</f>
        <v>2.3344449737970452E-2</v>
      </c>
      <c r="L68" s="26">
        <f>IF(A68=Entradas!$B$8,"",K68*100)</f>
        <v>2.3344449737970452</v>
      </c>
      <c r="M68" s="27">
        <f>IF(A68=Entradas!$B$8,1,M67*(1+K68))</f>
        <v>1.0336815939870663</v>
      </c>
      <c r="N68" s="27">
        <f>IF(A68=Entradas!$B$8,1,MAX(N67,M68))</f>
        <v>1.0336815939870663</v>
      </c>
      <c r="O68" s="27">
        <f t="shared" si="5"/>
        <v>0</v>
      </c>
    </row>
    <row r="69" spans="1:15" x14ac:dyDescent="0.3">
      <c r="A69" s="20">
        <v>46304</v>
      </c>
      <c r="B69" s="21" t="s">
        <v>103</v>
      </c>
      <c r="C69" s="11" t="str">
        <f t="shared" ref="C69:C74" si="6">A69&amp;"|"&amp;B69</f>
        <v>46304|Secundario</v>
      </c>
      <c r="D69" s="17">
        <f>SUMIFS('Valuación diaria'!$O$5:$O$354,'Valuación diaria'!$A$5:$A$354,A69,'Valuación diaria'!$B$5:$B$354,B69)</f>
        <v>16372.5</v>
      </c>
      <c r="E69" s="17">
        <f>SUMIFS(Transacciones!$R$5:$R$20,Transacciones!$B$5:$B$20,B69,Transacciones!$F$5:$F$20,A69)</f>
        <v>0</v>
      </c>
      <c r="F69" s="17">
        <f>SUMIFS(Transacciones!$S$5:$S$20,Transacciones!$B$5:$B$20,B69,Transacciones!$F$5:$F$20,A69)</f>
        <v>0</v>
      </c>
      <c r="G69" s="17">
        <f>SUMIFS('Valuación diaria'!$Q$5:$Q$354,'Valuación diaria'!$A$5:$A$354,A69,'Valuación diaria'!$B$5:$B$354,B69)</f>
        <v>0</v>
      </c>
      <c r="H69" s="17">
        <f t="shared" ref="H69:H74" si="7">F69+G69</f>
        <v>0</v>
      </c>
      <c r="I69" s="17">
        <f>IF(A69=Entradas!$B$8,"",D68)</f>
        <v>16110</v>
      </c>
      <c r="J69" s="17">
        <f>IF(A69=Entradas!$B$8,"",I69+E69)</f>
        <v>16110</v>
      </c>
      <c r="K69" s="27">
        <f>IF(A69=Entradas!$B$8,"",IF(J69=0,0,(D69+H69)/J69-1))</f>
        <v>1.6294227188081933E-2</v>
      </c>
      <c r="L69" s="26">
        <f>IF(A69=Entradas!$B$8,"",K69*100)</f>
        <v>1.6294227188081933</v>
      </c>
      <c r="M69" s="27">
        <f>IF(A69=Entradas!$B$8,1,M68*(1+K69))</f>
        <v>1.0505246367196301</v>
      </c>
      <c r="N69" s="27">
        <f>IF(A69=Entradas!$B$8,1,MAX(N68,M69))</f>
        <v>1.0505246367196301</v>
      </c>
      <c r="O69" s="27">
        <f t="shared" ref="O69:O74" si="8">M69/N69-1</f>
        <v>0</v>
      </c>
    </row>
    <row r="70" spans="1:15" x14ac:dyDescent="0.3">
      <c r="A70" s="20">
        <v>46305</v>
      </c>
      <c r="B70" s="21" t="s">
        <v>103</v>
      </c>
      <c r="C70" s="11" t="str">
        <f t="shared" si="6"/>
        <v>46305|Secundario</v>
      </c>
      <c r="D70" s="17">
        <f>SUMIFS('Valuación diaria'!$O$5:$O$354,'Valuación diaria'!$A$5:$A$354,A70,'Valuación diaria'!$B$5:$B$354,B70)</f>
        <v>16372.5</v>
      </c>
      <c r="E70" s="17">
        <f>SUMIFS(Transacciones!$R$5:$R$20,Transacciones!$B$5:$B$20,B70,Transacciones!$F$5:$F$20,A70)</f>
        <v>0</v>
      </c>
      <c r="F70" s="17">
        <f>SUMIFS(Transacciones!$S$5:$S$20,Transacciones!$B$5:$B$20,B70,Transacciones!$F$5:$F$20,A70)</f>
        <v>0</v>
      </c>
      <c r="G70" s="17">
        <f>SUMIFS('Valuación diaria'!$Q$5:$Q$354,'Valuación diaria'!$A$5:$A$354,A70,'Valuación diaria'!$B$5:$B$354,B70)</f>
        <v>0</v>
      </c>
      <c r="H70" s="17">
        <f t="shared" si="7"/>
        <v>0</v>
      </c>
      <c r="I70" s="17">
        <f>IF(A70=Entradas!$B$8,"",D69)</f>
        <v>16372.5</v>
      </c>
      <c r="J70" s="17">
        <f>IF(A70=Entradas!$B$8,"",I70+E70)</f>
        <v>16372.5</v>
      </c>
      <c r="K70" s="27">
        <f>IF(A70=Entradas!$B$8,"",IF(J70=0,0,(D70+H70)/J70-1))</f>
        <v>0</v>
      </c>
      <c r="L70" s="26">
        <f>IF(A70=Entradas!$B$8,"",K70*100)</f>
        <v>0</v>
      </c>
      <c r="M70" s="27">
        <f>IF(A70=Entradas!$B$8,1,M69*(1+K70))</f>
        <v>1.0505246367196301</v>
      </c>
      <c r="N70" s="27">
        <f>IF(A70=Entradas!$B$8,1,MAX(N69,M70))</f>
        <v>1.0505246367196301</v>
      </c>
      <c r="O70" s="27">
        <f t="shared" si="8"/>
        <v>0</v>
      </c>
    </row>
    <row r="71" spans="1:15" x14ac:dyDescent="0.3">
      <c r="A71" s="20">
        <v>46306</v>
      </c>
      <c r="B71" s="21" t="s">
        <v>103</v>
      </c>
      <c r="C71" s="11" t="str">
        <f t="shared" si="6"/>
        <v>46306|Secundario</v>
      </c>
      <c r="D71" s="17">
        <f>SUMIFS('Valuación diaria'!$O$5:$O$354,'Valuación diaria'!$A$5:$A$354,A71,'Valuación diaria'!$B$5:$B$354,B71)</f>
        <v>16372.5</v>
      </c>
      <c r="E71" s="17">
        <f>SUMIFS(Transacciones!$R$5:$R$20,Transacciones!$B$5:$B$20,B71,Transacciones!$F$5:$F$20,A71)</f>
        <v>0</v>
      </c>
      <c r="F71" s="17">
        <f>SUMIFS(Transacciones!$S$5:$S$20,Transacciones!$B$5:$B$20,B71,Transacciones!$F$5:$F$20,A71)</f>
        <v>0</v>
      </c>
      <c r="G71" s="17">
        <f>SUMIFS('Valuación diaria'!$Q$5:$Q$354,'Valuación diaria'!$A$5:$A$354,A71,'Valuación diaria'!$B$5:$B$354,B71)</f>
        <v>0</v>
      </c>
      <c r="H71" s="17">
        <f t="shared" si="7"/>
        <v>0</v>
      </c>
      <c r="I71" s="17">
        <f>IF(A71=Entradas!$B$8,"",D70)</f>
        <v>16372.5</v>
      </c>
      <c r="J71" s="17">
        <f>IF(A71=Entradas!$B$8,"",I71+E71)</f>
        <v>16372.5</v>
      </c>
      <c r="K71" s="27">
        <f>IF(A71=Entradas!$B$8,"",IF(J71=0,0,(D71+H71)/J71-1))</f>
        <v>0</v>
      </c>
      <c r="L71" s="26">
        <f>IF(A71=Entradas!$B$8,"",K71*100)</f>
        <v>0</v>
      </c>
      <c r="M71" s="27">
        <f>IF(A71=Entradas!$B$8,1,M70*(1+K71))</f>
        <v>1.0505246367196301</v>
      </c>
      <c r="N71" s="27">
        <f>IF(A71=Entradas!$B$8,1,MAX(N70,M71))</f>
        <v>1.0505246367196301</v>
      </c>
      <c r="O71" s="27">
        <f t="shared" si="8"/>
        <v>0</v>
      </c>
    </row>
    <row r="72" spans="1:15" x14ac:dyDescent="0.3">
      <c r="A72" s="20">
        <v>46307</v>
      </c>
      <c r="B72" s="21" t="s">
        <v>103</v>
      </c>
      <c r="C72" s="11" t="str">
        <f t="shared" si="6"/>
        <v>46307|Secundario</v>
      </c>
      <c r="D72" s="17">
        <f>SUMIFS('Valuación diaria'!$O$5:$O$354,'Valuación diaria'!$A$5:$A$354,A72,'Valuación diaria'!$B$5:$B$354,B72)</f>
        <v>16545</v>
      </c>
      <c r="E72" s="17">
        <f>SUMIFS(Transacciones!$R$5:$R$20,Transacciones!$B$5:$B$20,B72,Transacciones!$F$5:$F$20,A72)</f>
        <v>0</v>
      </c>
      <c r="F72" s="17">
        <f>SUMIFS(Transacciones!$S$5:$S$20,Transacciones!$B$5:$B$20,B72,Transacciones!$F$5:$F$20,A72)</f>
        <v>0</v>
      </c>
      <c r="G72" s="17">
        <f>SUMIFS('Valuación diaria'!$Q$5:$Q$354,'Valuación diaria'!$A$5:$A$354,A72,'Valuación diaria'!$B$5:$B$354,B72)</f>
        <v>0</v>
      </c>
      <c r="H72" s="17">
        <f t="shared" si="7"/>
        <v>0</v>
      </c>
      <c r="I72" s="17">
        <f>IF(A72=Entradas!$B$8,"",D71)</f>
        <v>16372.5</v>
      </c>
      <c r="J72" s="17">
        <f>IF(A72=Entradas!$B$8,"",I72+E72)</f>
        <v>16372.5</v>
      </c>
      <c r="K72" s="27">
        <f>IF(A72=Entradas!$B$8,"",IF(J72=0,0,(D72+H72)/J72-1))</f>
        <v>1.0535959688501961E-2</v>
      </c>
      <c r="L72" s="26">
        <f>IF(A72=Entradas!$B$8,"",K72*100)</f>
        <v>1.0535959688501961</v>
      </c>
      <c r="M72" s="27">
        <f>IF(A72=Entradas!$B$8,1,M71*(1+K72))</f>
        <v>1.0615929219438864</v>
      </c>
      <c r="N72" s="27">
        <f>IF(A72=Entradas!$B$8,1,MAX(N71,M72))</f>
        <v>1.0615929219438864</v>
      </c>
      <c r="O72" s="27">
        <f t="shared" si="8"/>
        <v>0</v>
      </c>
    </row>
    <row r="73" spans="1:15" x14ac:dyDescent="0.3">
      <c r="A73" s="20">
        <v>46308</v>
      </c>
      <c r="B73" s="21" t="s">
        <v>103</v>
      </c>
      <c r="C73" s="11" t="str">
        <f t="shared" si="6"/>
        <v>46308|Secundario</v>
      </c>
      <c r="D73" s="17">
        <f>SUMIFS('Valuación diaria'!$O$5:$O$354,'Valuación diaria'!$A$5:$A$354,A73,'Valuación diaria'!$B$5:$B$354,B73)</f>
        <v>16380</v>
      </c>
      <c r="E73" s="17">
        <f>SUMIFS(Transacciones!$R$5:$R$20,Transacciones!$B$5:$B$20,B73,Transacciones!$F$5:$F$20,A73)</f>
        <v>0</v>
      </c>
      <c r="F73" s="17">
        <f>SUMIFS(Transacciones!$S$5:$S$20,Transacciones!$B$5:$B$20,B73,Transacciones!$F$5:$F$20,A73)</f>
        <v>0</v>
      </c>
      <c r="G73" s="17">
        <f>SUMIFS('Valuación diaria'!$Q$5:$Q$354,'Valuación diaria'!$A$5:$A$354,A73,'Valuación diaria'!$B$5:$B$354,B73)</f>
        <v>0</v>
      </c>
      <c r="H73" s="17">
        <f t="shared" si="7"/>
        <v>0</v>
      </c>
      <c r="I73" s="17">
        <f>IF(A73=Entradas!$B$8,"",D72)</f>
        <v>16545</v>
      </c>
      <c r="J73" s="17">
        <f>IF(A73=Entradas!$B$8,"",I73+E73)</f>
        <v>16545</v>
      </c>
      <c r="K73" s="27">
        <f>IF(A73=Entradas!$B$8,"",IF(J73=0,0,(D73+H73)/J73-1))</f>
        <v>-9.9728014505893192E-3</v>
      </c>
      <c r="L73" s="26">
        <f>IF(A73=Entradas!$B$8,"",K73*100)</f>
        <v>-0.99728014505893192</v>
      </c>
      <c r="M73" s="27">
        <f>IF(A73=Entradas!$B$8,1,M72*(1+K73))</f>
        <v>1.051005866511989</v>
      </c>
      <c r="N73" s="27">
        <f>IF(A73=Entradas!$B$8,1,MAX(N72,M73))</f>
        <v>1.0615929219438864</v>
      </c>
      <c r="O73" s="27">
        <f t="shared" si="8"/>
        <v>-9.9728014505894302E-3</v>
      </c>
    </row>
    <row r="74" spans="1:15" x14ac:dyDescent="0.3">
      <c r="A74" s="20">
        <v>46309</v>
      </c>
      <c r="B74" s="21" t="s">
        <v>103</v>
      </c>
      <c r="C74" s="11" t="str">
        <f t="shared" si="6"/>
        <v>46309|Secundario</v>
      </c>
      <c r="D74" s="17">
        <f>SUMIFS('Valuación diaria'!$O$5:$O$354,'Valuación diaria'!$A$5:$A$354,A74,'Valuación diaria'!$B$5:$B$354,B74)</f>
        <v>16657.5</v>
      </c>
      <c r="E74" s="17">
        <f>SUMIFS(Transacciones!$R$5:$R$20,Transacciones!$B$5:$B$20,B74,Transacciones!$F$5:$F$20,A74)</f>
        <v>0</v>
      </c>
      <c r="F74" s="17">
        <f>SUMIFS(Transacciones!$S$5:$S$20,Transacciones!$B$5:$B$20,B74,Transacciones!$F$5:$F$20,A74)</f>
        <v>0</v>
      </c>
      <c r="G74" s="17">
        <f>SUMIFS('Valuación diaria'!$Q$5:$Q$354,'Valuación diaria'!$A$5:$A$354,A74,'Valuación diaria'!$B$5:$B$354,B74)</f>
        <v>0</v>
      </c>
      <c r="H74" s="17">
        <f t="shared" si="7"/>
        <v>0</v>
      </c>
      <c r="I74" s="17">
        <f>IF(A74=Entradas!$B$8,"",D73)</f>
        <v>16380</v>
      </c>
      <c r="J74" s="17">
        <f>IF(A74=Entradas!$B$8,"",I74+E74)</f>
        <v>16380</v>
      </c>
      <c r="K74" s="27">
        <f>IF(A74=Entradas!$B$8,"",IF(J74=0,0,(D74+H74)/J74-1))</f>
        <v>1.6941391941391881E-2</v>
      </c>
      <c r="L74" s="26">
        <f>IF(A74=Entradas!$B$8,"",K74*100)</f>
        <v>1.6941391941391881</v>
      </c>
      <c r="M74" s="27">
        <f>IF(A74=Entradas!$B$8,1,M73*(1+K74))</f>
        <v>1.0688113688292709</v>
      </c>
      <c r="N74" s="27">
        <f>IF(A74=Entradas!$B$8,1,MAX(N73,M74))</f>
        <v>1.0688113688292709</v>
      </c>
      <c r="O74" s="27">
        <f t="shared" si="8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5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6" width="16" customWidth="1"/>
    <col min="7" max="10" width="14" customWidth="1"/>
    <col min="11" max="12" width="17" customWidth="1"/>
    <col min="13" max="13" width="15" customWidth="1"/>
    <col min="14" max="14" width="17" customWidth="1"/>
    <col min="15" max="15" width="15" customWidth="1"/>
    <col min="16" max="16" width="12" customWidth="1"/>
    <col min="17" max="17" width="16" customWidth="1"/>
    <col min="18" max="18" width="12" customWidth="1"/>
    <col min="19" max="19" width="14" customWidth="1"/>
    <col min="20" max="20" width="17" customWidth="1"/>
  </cols>
  <sheetData>
    <row r="1" spans="1:20" ht="17.399999999999999" x14ac:dyDescent="0.3">
      <c r="A1" s="5" t="s">
        <v>363</v>
      </c>
    </row>
    <row r="2" spans="1:20" x14ac:dyDescent="0.3">
      <c r="A2" s="6" t="s">
        <v>364</v>
      </c>
    </row>
    <row r="4" spans="1:20" ht="39.6" x14ac:dyDescent="0.3">
      <c r="A4" s="8" t="s">
        <v>88</v>
      </c>
      <c r="B4" s="8" t="s">
        <v>319</v>
      </c>
      <c r="C4" s="8" t="s">
        <v>90</v>
      </c>
      <c r="D4" s="8" t="s">
        <v>91</v>
      </c>
      <c r="E4" s="8" t="s">
        <v>365</v>
      </c>
      <c r="F4" s="8" t="s">
        <v>366</v>
      </c>
      <c r="G4" s="8" t="s">
        <v>367</v>
      </c>
      <c r="H4" s="8" t="s">
        <v>368</v>
      </c>
      <c r="I4" s="8" t="s">
        <v>369</v>
      </c>
      <c r="J4" s="8" t="s">
        <v>370</v>
      </c>
      <c r="K4" s="8" t="s">
        <v>371</v>
      </c>
      <c r="L4" s="8" t="s">
        <v>372</v>
      </c>
      <c r="M4" s="8" t="s">
        <v>373</v>
      </c>
      <c r="N4" s="8" t="s">
        <v>374</v>
      </c>
      <c r="O4" s="8" t="s">
        <v>375</v>
      </c>
      <c r="P4" s="8" t="s">
        <v>376</v>
      </c>
      <c r="Q4" s="8" t="s">
        <v>377</v>
      </c>
      <c r="R4" s="8" t="s">
        <v>378</v>
      </c>
      <c r="S4" s="8" t="s">
        <v>379</v>
      </c>
      <c r="T4" s="8" t="s">
        <v>380</v>
      </c>
    </row>
    <row r="5" spans="1:20" x14ac:dyDescent="0.3">
      <c r="A5" s="11" t="str">
        <f>Entradas!$A$21</f>
        <v>P1-A</v>
      </c>
      <c r="B5" s="11" t="str">
        <f>Entradas!$B$21</f>
        <v>Principal</v>
      </c>
      <c r="C5" s="15">
        <f>Entradas!$C$21</f>
        <v>46276</v>
      </c>
      <c r="D5" s="15">
        <f>Entradas!$D$21</f>
        <v>46309</v>
      </c>
      <c r="E5" s="15">
        <f t="shared" ref="E5:E10" si="0">C5-1</f>
        <v>46275</v>
      </c>
      <c r="F5" s="14">
        <f t="shared" ref="F5:F10" si="1">D5-C5+1</f>
        <v>34</v>
      </c>
      <c r="G5" s="17">
        <f>SUMIFS(Serie!$D$5:$D$74,Serie!$A$5:$A$74,E5,Serie!$B$5:$B$74,B5)</f>
        <v>49929.06</v>
      </c>
      <c r="H5" s="17">
        <f>SUMIFS(Serie!$D$5:$D$74,Serie!$A$5:$A$74,D5,Serie!$B$5:$B$74,B5)</f>
        <v>58940.878199999999</v>
      </c>
      <c r="I5" s="17">
        <f>SUMIFS('Valuación diaria'!$L$5:$L$354,'Valuación diaria'!$A$5:$A$354,D5,'Valuación diaria'!$B$5:$B$354,B5)</f>
        <v>56307.888299999999</v>
      </c>
      <c r="J5" s="17">
        <f>SUMIFS('Valuación diaria'!$P$5:$P$354,'Valuación diaria'!$A$5:$A$354,D5,'Valuación diaria'!$B$5:$B$354,B5)</f>
        <v>2632.9898999999987</v>
      </c>
      <c r="K5" s="27">
        <f>D48-1</f>
        <v>4.3928084061150674E-2</v>
      </c>
      <c r="L5" s="27">
        <f>PRODUCT(C15:C48)-1</f>
        <v>4.3928084061150674E-2</v>
      </c>
      <c r="M5" s="26">
        <f t="shared" ref="M5:M10" si="2">K5*100</f>
        <v>4.3928084061150674</v>
      </c>
      <c r="N5" s="27">
        <f>MIN(F15:F48)</f>
        <v>-6.6804772307256788E-2</v>
      </c>
      <c r="O5" s="26">
        <f t="shared" ref="O5:O10" si="3">N5*100</f>
        <v>-6.6804772307256783</v>
      </c>
      <c r="P5" s="15">
        <f>IF(N5=0,"",INDEX(A15:A48,MATCH(N5,F15:F48,0)))</f>
        <v>46288</v>
      </c>
      <c r="Q5" s="27">
        <f>IF(N5=0,"",INDEX(E15:E48,MATCH(N5,F15:F48,0)))</f>
        <v>1.0201617695238396</v>
      </c>
      <c r="R5" s="15">
        <f>IF(N5=0,"",IF(Q5=1,E5,INDEX(A15:A48,MATCH(Q5,D15:D48,0))))</f>
        <v>46281</v>
      </c>
      <c r="S5" s="27">
        <f t="shared" ref="S5:S10" si="4">ABS(K5-L5)</f>
        <v>0</v>
      </c>
      <c r="T5" s="27">
        <f>INDEX(Serie!$M$5:$M$74,MATCH(D5&amp;"|"&amp;B5,Serie!$C$5:$C$74,0))/INDEX(Serie!$M$5:$M$74,MATCH(E5&amp;"|"&amp;B5,Serie!$C$5:$C$74,0))-1</f>
        <v>4.3928084061150674E-2</v>
      </c>
    </row>
    <row r="6" spans="1:20" x14ac:dyDescent="0.3">
      <c r="A6" s="11" t="str">
        <f>Entradas!$A$22</f>
        <v>P1-B</v>
      </c>
      <c r="B6" s="11" t="str">
        <f>Entradas!$B$22</f>
        <v>Principal</v>
      </c>
      <c r="C6" s="15">
        <f>Entradas!$C$22</f>
        <v>46276</v>
      </c>
      <c r="D6" s="15">
        <f>Entradas!$D$22</f>
        <v>46295</v>
      </c>
      <c r="E6" s="15">
        <f t="shared" si="0"/>
        <v>46275</v>
      </c>
      <c r="F6" s="14">
        <f t="shared" si="1"/>
        <v>20</v>
      </c>
      <c r="G6" s="17">
        <f>SUMIFS(Serie!$D$5:$D$74,Serie!$A$5:$A$74,E6,Serie!$B$5:$B$74,B6)</f>
        <v>49929.06</v>
      </c>
      <c r="H6" s="17">
        <f>SUMIFS(Serie!$D$5:$D$74,Serie!$A$5:$A$74,D6,Serie!$B$5:$B$74,B6)</f>
        <v>73866.025550000006</v>
      </c>
      <c r="I6" s="17">
        <f>SUMIFS('Valuación diaria'!$L$5:$L$354,'Valuación diaria'!$A$5:$A$354,D6,'Valuación diaria'!$B$5:$B$354,B6)</f>
        <v>71908.289699999994</v>
      </c>
      <c r="J6" s="17">
        <f>SUMIFS('Valuación diaria'!$P$5:$P$354,'Valuación diaria'!$A$5:$A$354,D6,'Valuación diaria'!$B$5:$B$354,B6)</f>
        <v>1957.7358499999987</v>
      </c>
      <c r="K6" s="27">
        <f>D72-1</f>
        <v>2.5044991780152071E-2</v>
      </c>
      <c r="L6" s="27">
        <f>PRODUCT(C53:C72)-1</f>
        <v>2.5044991780152071E-2</v>
      </c>
      <c r="M6" s="26">
        <f t="shared" si="2"/>
        <v>2.5044991780152071</v>
      </c>
      <c r="N6" s="27">
        <f>MIN(F53:F72)</f>
        <v>-6.6804772307256788E-2</v>
      </c>
      <c r="O6" s="26">
        <f t="shared" si="3"/>
        <v>-6.6804772307256783</v>
      </c>
      <c r="P6" s="15">
        <f>IF(N6=0,"",INDEX(A53:A72,MATCH(N6,F53:F72,0)))</f>
        <v>46288</v>
      </c>
      <c r="Q6" s="27">
        <f>IF(N6=0,"",INDEX(E53:E72,MATCH(N6,F53:F72,0)))</f>
        <v>1.0201617695238396</v>
      </c>
      <c r="R6" s="15">
        <f>IF(N6=0,"",IF(Q6=1,E6,INDEX(A53:A72,MATCH(Q6,D53:D72,0))))</f>
        <v>46281</v>
      </c>
      <c r="S6" s="27">
        <f t="shared" si="4"/>
        <v>0</v>
      </c>
      <c r="T6" s="27">
        <f>INDEX(Serie!$M$5:$M$74,MATCH(D6&amp;"|"&amp;B6,Serie!$C$5:$C$74,0))/INDEX(Serie!$M$5:$M$74,MATCH(E6&amp;"|"&amp;B6,Serie!$C$5:$C$74,0))-1</f>
        <v>2.5044991780152071E-2</v>
      </c>
    </row>
    <row r="7" spans="1:20" x14ac:dyDescent="0.3">
      <c r="A7" s="11" t="str">
        <f>Entradas!$A$23</f>
        <v>P1-C</v>
      </c>
      <c r="B7" s="11" t="str">
        <f>Entradas!$B$23</f>
        <v>Principal</v>
      </c>
      <c r="C7" s="15">
        <f>Entradas!$C$23</f>
        <v>46296</v>
      </c>
      <c r="D7" s="15">
        <f>Entradas!$D$23</f>
        <v>46309</v>
      </c>
      <c r="E7" s="15">
        <f t="shared" si="0"/>
        <v>46295</v>
      </c>
      <c r="F7" s="14">
        <f t="shared" si="1"/>
        <v>14</v>
      </c>
      <c r="G7" s="17">
        <f>SUMIFS(Serie!$D$5:$D$74,Serie!$A$5:$A$74,E7,Serie!$B$5:$B$74,B7)</f>
        <v>73866.025550000006</v>
      </c>
      <c r="H7" s="17">
        <f>SUMIFS(Serie!$D$5:$D$74,Serie!$A$5:$A$74,D7,Serie!$B$5:$B$74,B7)</f>
        <v>58940.878199999999</v>
      </c>
      <c r="I7" s="17">
        <f>SUMIFS('Valuación diaria'!$L$5:$L$354,'Valuación diaria'!$A$5:$A$354,D7,'Valuación diaria'!$B$5:$B$354,B7)</f>
        <v>56307.888299999999</v>
      </c>
      <c r="J7" s="17">
        <f>SUMIFS('Valuación diaria'!$P$5:$P$354,'Valuación diaria'!$A$5:$A$354,D7,'Valuación diaria'!$B$5:$B$354,B7)</f>
        <v>2632.9898999999987</v>
      </c>
      <c r="K7" s="27">
        <f>D90-1</f>
        <v>1.8421720443904999E-2</v>
      </c>
      <c r="L7" s="27">
        <f>PRODUCT(C77:C90)-1</f>
        <v>1.8421720443904999E-2</v>
      </c>
      <c r="M7" s="26">
        <f t="shared" si="2"/>
        <v>1.8421720443904999</v>
      </c>
      <c r="N7" s="27">
        <f>MIN(F77:F90)</f>
        <v>-2.1810296397288376E-2</v>
      </c>
      <c r="O7" s="26">
        <f t="shared" si="3"/>
        <v>-2.1810296397288376</v>
      </c>
      <c r="P7" s="15">
        <f>IF(N7=0,"",INDEX(A77:A90,MATCH(N7,F77:F90,0)))</f>
        <v>46300</v>
      </c>
      <c r="Q7" s="27">
        <f>IF(N7=0,"",INDEX(E77:E90,MATCH(N7,F77:F90,0)))</f>
        <v>1</v>
      </c>
      <c r="R7" s="15">
        <f>IF(N7=0,"",IF(Q7=1,E7,INDEX(A77:A90,MATCH(Q7,D77:D90,0))))</f>
        <v>46295</v>
      </c>
      <c r="S7" s="27">
        <f t="shared" si="4"/>
        <v>0</v>
      </c>
      <c r="T7" s="27">
        <f>INDEX(Serie!$M$5:$M$74,MATCH(D7&amp;"|"&amp;B7,Serie!$C$5:$C$74,0))/INDEX(Serie!$M$5:$M$74,MATCH(E7&amp;"|"&amp;B7,Serie!$C$5:$C$74,0))-1</f>
        <v>1.8421720443904777E-2</v>
      </c>
    </row>
    <row r="8" spans="1:20" x14ac:dyDescent="0.3">
      <c r="A8" s="11" t="str">
        <f>Entradas!$A$24</f>
        <v>P1-D</v>
      </c>
      <c r="B8" s="11" t="str">
        <f>Entradas!$B$24</f>
        <v>Principal</v>
      </c>
      <c r="C8" s="15">
        <f>Entradas!$C$24</f>
        <v>46304</v>
      </c>
      <c r="D8" s="15">
        <f>Entradas!$D$24</f>
        <v>46307</v>
      </c>
      <c r="E8" s="15">
        <f t="shared" si="0"/>
        <v>46303</v>
      </c>
      <c r="F8" s="14">
        <f t="shared" si="1"/>
        <v>4</v>
      </c>
      <c r="G8" s="17">
        <f>SUMIFS(Serie!$D$5:$D$74,Serie!$A$5:$A$74,E8,Serie!$B$5:$B$74,B8)</f>
        <v>57842.719700000009</v>
      </c>
      <c r="H8" s="17">
        <f>SUMIFS(Serie!$D$5:$D$74,Serie!$A$5:$A$74,D8,Serie!$B$5:$B$74,B8)</f>
        <v>58708.693950000001</v>
      </c>
      <c r="I8" s="17">
        <f>SUMIFS('Valuación diaria'!$L$5:$L$354,'Valuación diaria'!$A$5:$A$354,D8,'Valuación diaria'!$B$5:$B$354,B8)</f>
        <v>56307.888299999999</v>
      </c>
      <c r="J8" s="17">
        <f>SUMIFS('Valuación diaria'!$P$5:$P$354,'Valuación diaria'!$A$5:$A$354,D8,'Valuación diaria'!$B$5:$B$354,B8)</f>
        <v>2400.8056500000012</v>
      </c>
      <c r="K8" s="27">
        <f>D98-1</f>
        <v>1.4971188327439489E-2</v>
      </c>
      <c r="L8" s="27">
        <f>PRODUCT(C95:C98)-1</f>
        <v>1.4971188327439489E-2</v>
      </c>
      <c r="M8" s="26">
        <f t="shared" si="2"/>
        <v>1.4971188327439489</v>
      </c>
      <c r="N8" s="27">
        <f>MIN(F95:F98)</f>
        <v>0</v>
      </c>
      <c r="O8" s="26">
        <f t="shared" si="3"/>
        <v>0</v>
      </c>
      <c r="P8" s="15" t="str">
        <f>IF(N8=0,"",INDEX(A95:A98,MATCH(N8,F95:F98,0)))</f>
        <v/>
      </c>
      <c r="Q8" s="27" t="str">
        <f>IF(N8=0,"",INDEX(E95:E98,MATCH(N8,F95:F98,0)))</f>
        <v/>
      </c>
      <c r="R8" s="15" t="str">
        <f>IF(N8=0,"",IF(Q8=1,E8,INDEX(A95:A98,MATCH(Q8,D95:D98,0))))</f>
        <v/>
      </c>
      <c r="S8" s="27">
        <f t="shared" si="4"/>
        <v>0</v>
      </c>
      <c r="T8" s="27">
        <f>INDEX(Serie!$M$5:$M$74,MATCH(D8&amp;"|"&amp;B8,Serie!$C$5:$C$74,0))/INDEX(Serie!$M$5:$M$74,MATCH(E8&amp;"|"&amp;B8,Serie!$C$5:$C$74,0))-1</f>
        <v>1.4971188327439711E-2</v>
      </c>
    </row>
    <row r="9" spans="1:20" x14ac:dyDescent="0.3">
      <c r="A9" s="11" t="str">
        <f>Entradas!$A$25</f>
        <v>P2-A</v>
      </c>
      <c r="B9" s="11" t="str">
        <f>Entradas!$B$25</f>
        <v>Secundario</v>
      </c>
      <c r="C9" s="15">
        <f>Entradas!$C$25</f>
        <v>46276</v>
      </c>
      <c r="D9" s="15">
        <f>Entradas!$D$25</f>
        <v>46309</v>
      </c>
      <c r="E9" s="15">
        <f t="shared" si="0"/>
        <v>46275</v>
      </c>
      <c r="F9" s="14">
        <f t="shared" si="1"/>
        <v>34</v>
      </c>
      <c r="G9" s="17">
        <f>SUMIFS(Serie!$D$5:$D$74,Serie!$A$5:$A$74,E9,Serie!$B$5:$B$74,B9)</f>
        <v>0</v>
      </c>
      <c r="H9" s="17">
        <f>SUMIFS(Serie!$D$5:$D$74,Serie!$A$5:$A$74,D9,Serie!$B$5:$B$74,B9)</f>
        <v>16657.5</v>
      </c>
      <c r="I9" s="17">
        <f>SUMIFS('Valuación diaria'!$L$5:$L$354,'Valuación diaria'!$A$5:$A$354,D9,'Valuación diaria'!$B$5:$B$354,B9)</f>
        <v>15585.07</v>
      </c>
      <c r="J9" s="17">
        <f>SUMIFS('Valuación diaria'!$P$5:$P$354,'Valuación diaria'!$A$5:$A$354,D9,'Valuación diaria'!$B$5:$B$354,B9)</f>
        <v>1072.4300000000003</v>
      </c>
      <c r="K9" s="27">
        <f>D136-1</f>
        <v>6.8811368829270858E-2</v>
      </c>
      <c r="L9" s="27">
        <f>PRODUCT(C103:C136)-1</f>
        <v>6.8811368829270858E-2</v>
      </c>
      <c r="M9" s="26">
        <f t="shared" si="2"/>
        <v>6.8811368829270858</v>
      </c>
      <c r="N9" s="27">
        <f>MIN(F103:F136)</f>
        <v>-0.13675417661097844</v>
      </c>
      <c r="O9" s="26">
        <f t="shared" si="3"/>
        <v>-13.675417661097844</v>
      </c>
      <c r="P9" s="15">
        <f>IF(N9=0,"",INDEX(A103:A136,MATCH(N9,F103:F136,0)))</f>
        <v>46288</v>
      </c>
      <c r="Q9" s="27">
        <f>IF(N9=0,"",INDEX(E103:E136,MATCH(N9,F103:F136,0)))</f>
        <v>1.0081764149920407</v>
      </c>
      <c r="R9" s="15">
        <f>IF(N9=0,"",IF(Q9=1,E9,INDEX(A103:A136,MATCH(Q9,D103:D136,0))))</f>
        <v>46280</v>
      </c>
      <c r="S9" s="27">
        <f t="shared" si="4"/>
        <v>0</v>
      </c>
      <c r="T9" s="27">
        <f>INDEX(Serie!$M$5:$M$74,MATCH(D9&amp;"|"&amp;B9,Serie!$C$5:$C$74,0))/INDEX(Serie!$M$5:$M$74,MATCH(E9&amp;"|"&amp;B9,Serie!$C$5:$C$74,0))-1</f>
        <v>6.8811368829270858E-2</v>
      </c>
    </row>
    <row r="10" spans="1:20" x14ac:dyDescent="0.3">
      <c r="A10" s="11" t="str">
        <f>Entradas!$A$26</f>
        <v>P2-C</v>
      </c>
      <c r="B10" s="11" t="str">
        <f>Entradas!$B$26</f>
        <v>Secundario</v>
      </c>
      <c r="C10" s="15">
        <f>Entradas!$C$26</f>
        <v>46296</v>
      </c>
      <c r="D10" s="15">
        <f>Entradas!$D$26</f>
        <v>46309</v>
      </c>
      <c r="E10" s="15">
        <f t="shared" si="0"/>
        <v>46295</v>
      </c>
      <c r="F10" s="14">
        <f t="shared" si="1"/>
        <v>14</v>
      </c>
      <c r="G10" s="17">
        <f>SUMIFS(Serie!$D$5:$D$74,Serie!$A$5:$A$74,E10,Serie!$B$5:$B$74,B10)</f>
        <v>16065</v>
      </c>
      <c r="H10" s="17">
        <f>SUMIFS(Serie!$D$5:$D$74,Serie!$A$5:$A$74,D10,Serie!$B$5:$B$74,B10)</f>
        <v>16657.5</v>
      </c>
      <c r="I10" s="17">
        <f>SUMIFS('Valuación diaria'!$L$5:$L$354,'Valuación diaria'!$A$5:$A$354,D10,'Valuación diaria'!$B$5:$B$354,B10)</f>
        <v>15585.07</v>
      </c>
      <c r="J10" s="17">
        <f>SUMIFS('Valuación diaria'!$P$5:$P$354,'Valuación diaria'!$A$5:$A$354,D10,'Valuación diaria'!$B$5:$B$354,B10)</f>
        <v>1072.4300000000003</v>
      </c>
      <c r="K10" s="27">
        <f>D154-1</f>
        <v>3.688141923436028E-2</v>
      </c>
      <c r="L10" s="27">
        <f>PRODUCT(C141:C154)-1</f>
        <v>3.688141923436028E-2</v>
      </c>
      <c r="M10" s="26">
        <f t="shared" si="2"/>
        <v>3.688141923436028</v>
      </c>
      <c r="N10" s="27">
        <f>MIN(F141:F154)</f>
        <v>-5.08870214752567E-2</v>
      </c>
      <c r="O10" s="26">
        <f t="shared" si="3"/>
        <v>-5.0887021475256695</v>
      </c>
      <c r="P10" s="15">
        <f>IF(N10=0,"",INDEX(A141:A154,MATCH(N10,F141:F154,0)))</f>
        <v>46300</v>
      </c>
      <c r="Q10" s="27">
        <f>IF(N10=0,"",INDEX(E141:E154,MATCH(N10,F141:F154,0)))</f>
        <v>1</v>
      </c>
      <c r="R10" s="15">
        <f>IF(N10=0,"",IF(Q10=1,E10,INDEX(A141:A154,MATCH(Q10,D141:D154,0))))</f>
        <v>46295</v>
      </c>
      <c r="S10" s="27">
        <f t="shared" si="4"/>
        <v>0</v>
      </c>
      <c r="T10" s="27">
        <f>INDEX(Serie!$M$5:$M$74,MATCH(D10&amp;"|"&amp;B10,Serie!$C$5:$C$74,0))/INDEX(Serie!$M$5:$M$74,MATCH(E10&amp;"|"&amp;B10,Serie!$C$5:$C$74,0))-1</f>
        <v>3.688141923436028E-2</v>
      </c>
    </row>
    <row r="13" spans="1:20" x14ac:dyDescent="0.3">
      <c r="A13" s="7" t="s">
        <v>381</v>
      </c>
    </row>
    <row r="14" spans="1:20" ht="26.4" x14ac:dyDescent="0.3">
      <c r="A14" s="8" t="s">
        <v>177</v>
      </c>
      <c r="B14" s="8" t="s">
        <v>382</v>
      </c>
      <c r="C14" s="8" t="s">
        <v>383</v>
      </c>
      <c r="D14" s="8" t="s">
        <v>384</v>
      </c>
      <c r="E14" s="8" t="s">
        <v>385</v>
      </c>
      <c r="F14" s="8" t="s">
        <v>362</v>
      </c>
    </row>
    <row r="15" spans="1:20" x14ac:dyDescent="0.3">
      <c r="A15" s="15">
        <f>$C$5</f>
        <v>46276</v>
      </c>
      <c r="B15" s="27">
        <f>INDEX(Serie!$K$5:$K$74,MATCH(A15&amp;"|"&amp;$B$5,Serie!$C$5:$C$74,0))</f>
        <v>6.1770279548112317E-3</v>
      </c>
      <c r="C15" s="27">
        <f t="shared" ref="C15:C48" si="5">1+B15</f>
        <v>1.0061770279548112</v>
      </c>
      <c r="D15" s="27">
        <f>C15</f>
        <v>1.0061770279548112</v>
      </c>
      <c r="E15" s="27">
        <f>MAX(1,D15)</f>
        <v>1.0061770279548112</v>
      </c>
      <c r="F15" s="27">
        <f t="shared" ref="F15:F48" si="6">D15/E15-1</f>
        <v>0</v>
      </c>
    </row>
    <row r="16" spans="1:20" x14ac:dyDescent="0.3">
      <c r="A16" s="15">
        <f t="shared" ref="A16:A48" si="7">A15+1</f>
        <v>46277</v>
      </c>
      <c r="B16" s="27">
        <f>INDEX(Serie!$K$5:$K$74,MATCH(A16&amp;"|"&amp;$B$5,Serie!$C$5:$C$74,0))</f>
        <v>7.1293154754403787E-5</v>
      </c>
      <c r="C16" s="27">
        <f t="shared" si="5"/>
        <v>1.0000712931547544</v>
      </c>
      <c r="D16" s="27">
        <f t="shared" ref="D16:D48" si="8">D15*C16</f>
        <v>1.0062487614893756</v>
      </c>
      <c r="E16" s="27">
        <f t="shared" ref="E16:E48" si="9">MAX(E15,D16)</f>
        <v>1.0062487614893756</v>
      </c>
      <c r="F16" s="27">
        <f t="shared" si="6"/>
        <v>0</v>
      </c>
    </row>
    <row r="17" spans="1:6" x14ac:dyDescent="0.3">
      <c r="A17" s="15">
        <f t="shared" si="7"/>
        <v>46278</v>
      </c>
      <c r="B17" s="27">
        <f>INDEX(Serie!$K$5:$K$74,MATCH(A17&amp;"|"&amp;$B$5,Serie!$C$5:$C$74,0))</f>
        <v>7.131708161711714E-5</v>
      </c>
      <c r="C17" s="27">
        <f t="shared" si="5"/>
        <v>1.0000713170816171</v>
      </c>
      <c r="D17" s="27">
        <f t="shared" si="8"/>
        <v>1.0063205242144257</v>
      </c>
      <c r="E17" s="27">
        <f t="shared" si="9"/>
        <v>1.0063205242144257</v>
      </c>
      <c r="F17" s="27">
        <f t="shared" si="6"/>
        <v>0</v>
      </c>
    </row>
    <row r="18" spans="1:6" x14ac:dyDescent="0.3">
      <c r="A18" s="15">
        <f t="shared" si="7"/>
        <v>46279</v>
      </c>
      <c r="B18" s="27">
        <f>INDEX(Serie!$K$5:$K$74,MATCH(A18&amp;"|"&amp;$B$5,Serie!$C$5:$C$74,0))</f>
        <v>6.3167450362364708E-3</v>
      </c>
      <c r="C18" s="27">
        <f t="shared" si="5"/>
        <v>1.0063167450362365</v>
      </c>
      <c r="D18" s="27">
        <f t="shared" si="8"/>
        <v>1.0126771943906201</v>
      </c>
      <c r="E18" s="27">
        <f t="shared" si="9"/>
        <v>1.0126771943906201</v>
      </c>
      <c r="F18" s="27">
        <f t="shared" si="6"/>
        <v>0</v>
      </c>
    </row>
    <row r="19" spans="1:6" x14ac:dyDescent="0.3">
      <c r="A19" s="15">
        <f t="shared" si="7"/>
        <v>46280</v>
      </c>
      <c r="B19" s="27">
        <f>INDEX(Serie!$K$5:$K$74,MATCH(A19&amp;"|"&amp;$B$5,Serie!$C$5:$C$74,0))</f>
        <v>7.3303237499160456E-3</v>
      </c>
      <c r="C19" s="27">
        <f t="shared" si="5"/>
        <v>1.007330323749916</v>
      </c>
      <c r="D19" s="27">
        <f t="shared" si="8"/>
        <v>1.0201004460796601</v>
      </c>
      <c r="E19" s="27">
        <f t="shared" si="9"/>
        <v>1.0201004460796601</v>
      </c>
      <c r="F19" s="27">
        <f t="shared" si="6"/>
        <v>0</v>
      </c>
    </row>
    <row r="20" spans="1:6" x14ac:dyDescent="0.3">
      <c r="A20" s="15">
        <f t="shared" si="7"/>
        <v>46281</v>
      </c>
      <c r="B20" s="27">
        <f>INDEX(Serie!$K$5:$K$74,MATCH(A20&amp;"|"&amp;$B$5,Serie!$C$5:$C$74,0))</f>
        <v>6.0115103777569345E-5</v>
      </c>
      <c r="C20" s="27">
        <f t="shared" si="5"/>
        <v>1.0000601151037776</v>
      </c>
      <c r="D20" s="27">
        <f t="shared" si="8"/>
        <v>1.0201617695238396</v>
      </c>
      <c r="E20" s="27">
        <f t="shared" si="9"/>
        <v>1.0201617695238396</v>
      </c>
      <c r="F20" s="27">
        <f t="shared" si="6"/>
        <v>0</v>
      </c>
    </row>
    <row r="21" spans="1:6" x14ac:dyDescent="0.3">
      <c r="A21" s="15">
        <f t="shared" si="7"/>
        <v>46282</v>
      </c>
      <c r="B21" s="27">
        <f>INDEX(Serie!$K$5:$K$74,MATCH(A21&amp;"|"&amp;$B$5,Serie!$C$5:$C$74,0))</f>
        <v>-1.2115849080504115E-2</v>
      </c>
      <c r="C21" s="27">
        <f t="shared" si="5"/>
        <v>0.98788415091949588</v>
      </c>
      <c r="D21" s="27">
        <f t="shared" si="8"/>
        <v>1.0078016434865888</v>
      </c>
      <c r="E21" s="27">
        <f t="shared" si="9"/>
        <v>1.0201617695238396</v>
      </c>
      <c r="F21" s="27">
        <f t="shared" si="6"/>
        <v>-1.2115849080504004E-2</v>
      </c>
    </row>
    <row r="22" spans="1:6" x14ac:dyDescent="0.3">
      <c r="A22" s="15">
        <f t="shared" si="7"/>
        <v>46283</v>
      </c>
      <c r="B22" s="27">
        <f>INDEX(Serie!$K$5:$K$74,MATCH(A22&amp;"|"&amp;$B$5,Serie!$C$5:$C$74,0))</f>
        <v>-1.6769313122455998E-2</v>
      </c>
      <c r="C22" s="27">
        <f t="shared" si="5"/>
        <v>0.983230686877544</v>
      </c>
      <c r="D22" s="27">
        <f t="shared" si="8"/>
        <v>0.99090150216163653</v>
      </c>
      <c r="E22" s="27">
        <f t="shared" si="9"/>
        <v>1.0201617695238396</v>
      </c>
      <c r="F22" s="27">
        <f t="shared" si="6"/>
        <v>-2.8681987735984626E-2</v>
      </c>
    </row>
    <row r="23" spans="1:6" x14ac:dyDescent="0.3">
      <c r="A23" s="15">
        <f t="shared" si="7"/>
        <v>46284</v>
      </c>
      <c r="B23" s="27">
        <f>INDEX(Serie!$K$5:$K$74,MATCH(A23&amp;"|"&amp;$B$5,Serie!$C$5:$C$74,0))</f>
        <v>8.602770223364864E-5</v>
      </c>
      <c r="C23" s="27">
        <f t="shared" si="5"/>
        <v>1.0000860277022336</v>
      </c>
      <c r="D23" s="27">
        <f t="shared" si="8"/>
        <v>0.99098674714100732</v>
      </c>
      <c r="E23" s="27">
        <f t="shared" si="9"/>
        <v>1.0201617695238396</v>
      </c>
      <c r="F23" s="27">
        <f t="shared" si="6"/>
        <v>-2.8598427479251454E-2</v>
      </c>
    </row>
    <row r="24" spans="1:6" x14ac:dyDescent="0.3">
      <c r="A24" s="15">
        <f t="shared" si="7"/>
        <v>46285</v>
      </c>
      <c r="B24" s="27">
        <f>INDEX(Serie!$K$5:$K$74,MATCH(A24&amp;"|"&amp;$B$5,Serie!$C$5:$C$74,0))</f>
        <v>8.6004199911116075E-5</v>
      </c>
      <c r="C24" s="27">
        <f t="shared" si="5"/>
        <v>1.0000860041999111</v>
      </c>
      <c r="D24" s="27">
        <f t="shared" si="8"/>
        <v>0.99107197616331766</v>
      </c>
      <c r="E24" s="27">
        <f t="shared" si="9"/>
        <v>1.0201617695238396</v>
      </c>
      <c r="F24" s="27">
        <f t="shared" si="6"/>
        <v>-2.8514882864214441E-2</v>
      </c>
    </row>
    <row r="25" spans="1:6" x14ac:dyDescent="0.3">
      <c r="A25" s="15">
        <f t="shared" si="7"/>
        <v>46286</v>
      </c>
      <c r="B25" s="27">
        <f>INDEX(Serie!$K$5:$K$74,MATCH(A25&amp;"|"&amp;$B$5,Serie!$C$5:$C$74,0))</f>
        <v>-1.6635011920466236E-2</v>
      </c>
      <c r="C25" s="27">
        <f t="shared" si="5"/>
        <v>0.98336498807953376</v>
      </c>
      <c r="D25" s="27">
        <f t="shared" si="8"/>
        <v>0.97458548202580086</v>
      </c>
      <c r="E25" s="27">
        <f t="shared" si="9"/>
        <v>1.0201617695238396</v>
      </c>
      <c r="F25" s="27">
        <f t="shared" si="6"/>
        <v>-4.4675549368323741E-2</v>
      </c>
    </row>
    <row r="26" spans="1:6" x14ac:dyDescent="0.3">
      <c r="A26" s="15">
        <f t="shared" si="7"/>
        <v>46287</v>
      </c>
      <c r="B26" s="27">
        <f>INDEX(Serie!$K$5:$K$74,MATCH(A26&amp;"|"&amp;$B$5,Serie!$C$5:$C$74,0))</f>
        <v>-1.5193249037072531E-2</v>
      </c>
      <c r="C26" s="27">
        <f t="shared" si="5"/>
        <v>0.98480675096292747</v>
      </c>
      <c r="D26" s="27">
        <f t="shared" si="8"/>
        <v>0.95977836208946754</v>
      </c>
      <c r="E26" s="27">
        <f t="shared" si="9"/>
        <v>1.0201617695238396</v>
      </c>
      <c r="F26" s="27">
        <f t="shared" si="6"/>
        <v>-5.9190031657975206E-2</v>
      </c>
    </row>
    <row r="27" spans="1:6" x14ac:dyDescent="0.3">
      <c r="A27" s="15">
        <f t="shared" si="7"/>
        <v>46288</v>
      </c>
      <c r="B27" s="27">
        <f>INDEX(Serie!$K$5:$K$74,MATCH(A27&amp;"|"&amp;$B$5,Serie!$C$5:$C$74,0))</f>
        <v>-8.0938137408352873E-3</v>
      </c>
      <c r="C27" s="27">
        <f t="shared" si="5"/>
        <v>0.99190618625916471</v>
      </c>
      <c r="D27" s="27">
        <f t="shared" si="8"/>
        <v>0.95201009479423138</v>
      </c>
      <c r="E27" s="27">
        <f t="shared" si="9"/>
        <v>1.0201617695238396</v>
      </c>
      <c r="F27" s="27">
        <f t="shared" si="6"/>
        <v>-6.6804772307256788E-2</v>
      </c>
    </row>
    <row r="28" spans="1:6" x14ac:dyDescent="0.3">
      <c r="A28" s="15">
        <f t="shared" si="7"/>
        <v>46289</v>
      </c>
      <c r="B28" s="27">
        <f>INDEX(Serie!$K$5:$K$74,MATCH(A28&amp;"|"&amp;$B$5,Serie!$C$5:$C$74,0))</f>
        <v>1.1206198265381939E-2</v>
      </c>
      <c r="C28" s="27">
        <f t="shared" si="5"/>
        <v>1.0112061982653819</v>
      </c>
      <c r="D28" s="27">
        <f t="shared" si="8"/>
        <v>0.96267850866714055</v>
      </c>
      <c r="E28" s="27">
        <f t="shared" si="9"/>
        <v>1.0201617695238396</v>
      </c>
      <c r="F28" s="27">
        <f t="shared" si="6"/>
        <v>-5.6347201565423721E-2</v>
      </c>
    </row>
    <row r="29" spans="1:6" x14ac:dyDescent="0.3">
      <c r="A29" s="15">
        <f t="shared" si="7"/>
        <v>46290</v>
      </c>
      <c r="B29" s="27">
        <f>INDEX(Serie!$K$5:$K$74,MATCH(A29&amp;"|"&amp;$B$5,Serie!$C$5:$C$74,0))</f>
        <v>1.4851319032215482E-2</v>
      </c>
      <c r="C29" s="27">
        <f t="shared" si="5"/>
        <v>1.0148513190322155</v>
      </c>
      <c r="D29" s="27">
        <f t="shared" si="8"/>
        <v>0.97697555432481364</v>
      </c>
      <c r="E29" s="27">
        <f t="shared" si="9"/>
        <v>1.0201617695238396</v>
      </c>
      <c r="F29" s="27">
        <f t="shared" si="6"/>
        <v>-4.2332712800228878E-2</v>
      </c>
    </row>
    <row r="30" spans="1:6" x14ac:dyDescent="0.3">
      <c r="A30" s="15">
        <f t="shared" si="7"/>
        <v>46291</v>
      </c>
      <c r="B30" s="27">
        <f>INDEX(Serie!$K$5:$K$74,MATCH(A30&amp;"|"&amp;$B$5,Serie!$C$5:$C$74,0))</f>
        <v>1.0160139909576316E-4</v>
      </c>
      <c r="C30" s="27">
        <f t="shared" si="5"/>
        <v>1.0001016013990958</v>
      </c>
      <c r="D30" s="27">
        <f t="shared" si="8"/>
        <v>0.97707481640801541</v>
      </c>
      <c r="E30" s="27">
        <f t="shared" si="9"/>
        <v>1.0201617695238396</v>
      </c>
      <c r="F30" s="27">
        <f t="shared" si="6"/>
        <v>-4.2235412463981103E-2</v>
      </c>
    </row>
    <row r="31" spans="1:6" x14ac:dyDescent="0.3">
      <c r="A31" s="15">
        <f t="shared" si="7"/>
        <v>46292</v>
      </c>
      <c r="B31" s="27">
        <f>INDEX(Serie!$K$5:$K$74,MATCH(A31&amp;"|"&amp;$B$5,Serie!$C$5:$C$74,0))</f>
        <v>1.0156480233836085E-4</v>
      </c>
      <c r="C31" s="27">
        <f t="shared" si="5"/>
        <v>1.0001015648023384</v>
      </c>
      <c r="D31" s="27">
        <f t="shared" si="8"/>
        <v>0.97717405281861369</v>
      </c>
      <c r="E31" s="27">
        <f t="shared" si="9"/>
        <v>1.0201617695238396</v>
      </c>
      <c r="F31" s="27">
        <f t="shared" si="6"/>
        <v>-4.2138137292961342E-2</v>
      </c>
    </row>
    <row r="32" spans="1:6" x14ac:dyDescent="0.3">
      <c r="A32" s="15">
        <f t="shared" si="7"/>
        <v>46293</v>
      </c>
      <c r="B32" s="27">
        <f>INDEX(Serie!$K$5:$K$74,MATCH(A32&amp;"|"&amp;$B$5,Serie!$C$5:$C$74,0))</f>
        <v>1.5879098850227535E-2</v>
      </c>
      <c r="C32" s="27">
        <f t="shared" si="5"/>
        <v>1.0158790988502275</v>
      </c>
      <c r="D32" s="27">
        <f t="shared" si="8"/>
        <v>0.99269069619719796</v>
      </c>
      <c r="E32" s="27">
        <f t="shared" si="9"/>
        <v>1.0201617695238396</v>
      </c>
      <c r="F32" s="27">
        <f t="shared" si="6"/>
        <v>-2.6928154090173129E-2</v>
      </c>
    </row>
    <row r="33" spans="1:6" x14ac:dyDescent="0.3">
      <c r="A33" s="15">
        <f t="shared" si="7"/>
        <v>46294</v>
      </c>
      <c r="B33" s="27">
        <f>INDEX(Serie!$K$5:$K$74,MATCH(A33&amp;"|"&amp;$B$5,Serie!$C$5:$C$74,0))</f>
        <v>1.5636455284405271E-2</v>
      </c>
      <c r="C33" s="27">
        <f t="shared" si="5"/>
        <v>1.0156364552844053</v>
      </c>
      <c r="D33" s="27">
        <f t="shared" si="8"/>
        <v>1.0082128598795306</v>
      </c>
      <c r="E33" s="27">
        <f t="shared" si="9"/>
        <v>1.0201617695238396</v>
      </c>
      <c r="F33" s="27">
        <f t="shared" si="6"/>
        <v>-1.171275968309049E-2</v>
      </c>
    </row>
    <row r="34" spans="1:6" x14ac:dyDescent="0.3">
      <c r="A34" s="15">
        <f t="shared" si="7"/>
        <v>46295</v>
      </c>
      <c r="B34" s="27">
        <f>INDEX(Serie!$K$5:$K$74,MATCH(A34&amp;"|"&amp;$B$5,Serie!$C$5:$C$74,0))</f>
        <v>1.6695018056636091E-2</v>
      </c>
      <c r="C34" s="27">
        <f t="shared" si="5"/>
        <v>1.0166950180566361</v>
      </c>
      <c r="D34" s="27">
        <f t="shared" si="8"/>
        <v>1.0250449917801521</v>
      </c>
      <c r="E34" s="27">
        <f t="shared" si="9"/>
        <v>1.0250449917801521</v>
      </c>
      <c r="F34" s="27">
        <f t="shared" si="6"/>
        <v>0</v>
      </c>
    </row>
    <row r="35" spans="1:6" x14ac:dyDescent="0.3">
      <c r="A35" s="15">
        <f t="shared" si="7"/>
        <v>46296</v>
      </c>
      <c r="B35" s="27">
        <f>INDEX(Serie!$K$5:$K$74,MATCH(A35&amp;"|"&amp;$B$5,Serie!$C$5:$C$74,0))</f>
        <v>-7.3298528784861983E-3</v>
      </c>
      <c r="C35" s="27">
        <f t="shared" si="5"/>
        <v>0.9926701471215138</v>
      </c>
      <c r="D35" s="27">
        <f t="shared" si="8"/>
        <v>1.0175315627965744</v>
      </c>
      <c r="E35" s="27">
        <f t="shared" si="9"/>
        <v>1.0250449917801521</v>
      </c>
      <c r="F35" s="27">
        <f t="shared" si="6"/>
        <v>-7.3298528784861983E-3</v>
      </c>
    </row>
    <row r="36" spans="1:6" x14ac:dyDescent="0.3">
      <c r="A36" s="15">
        <f t="shared" si="7"/>
        <v>46297</v>
      </c>
      <c r="B36" s="27">
        <f>INDEX(Serie!$K$5:$K$74,MATCH(A36&amp;"|"&amp;$B$5,Serie!$C$5:$C$74,0))</f>
        <v>-6.5922835406752034E-3</v>
      </c>
      <c r="C36" s="27">
        <f t="shared" si="5"/>
        <v>0.9934077164593248</v>
      </c>
      <c r="D36" s="27">
        <f t="shared" si="8"/>
        <v>1.010823706223033</v>
      </c>
      <c r="E36" s="27">
        <f t="shared" si="9"/>
        <v>1.0250449917801521</v>
      </c>
      <c r="F36" s="27">
        <f t="shared" si="6"/>
        <v>-1.387381595067505E-2</v>
      </c>
    </row>
    <row r="37" spans="1:6" x14ac:dyDescent="0.3">
      <c r="A37" s="15">
        <f t="shared" si="7"/>
        <v>46298</v>
      </c>
      <c r="B37" s="27">
        <f>INDEX(Serie!$K$5:$K$74,MATCH(A37&amp;"|"&amp;$B$5,Serie!$C$5:$C$74,0))</f>
        <v>1.0595175246264077E-4</v>
      </c>
      <c r="C37" s="27">
        <f t="shared" si="5"/>
        <v>1.0001059517524626</v>
      </c>
      <c r="D37" s="27">
        <f t="shared" si="8"/>
        <v>1.0109308047661381</v>
      </c>
      <c r="E37" s="27">
        <f t="shared" si="9"/>
        <v>1.0250449917801521</v>
      </c>
      <c r="F37" s="27">
        <f t="shared" si="6"/>
        <v>-1.3769334153325818E-2</v>
      </c>
    </row>
    <row r="38" spans="1:6" x14ac:dyDescent="0.3">
      <c r="A38" s="15">
        <f t="shared" si="7"/>
        <v>46299</v>
      </c>
      <c r="B38" s="27">
        <f>INDEX(Serie!$K$5:$K$74,MATCH(A38&amp;"|"&amp;$B$5,Serie!$C$5:$C$74,0))</f>
        <v>1.0586834929982025E-4</v>
      </c>
      <c r="C38" s="27">
        <f t="shared" si="5"/>
        <v>1.0001058683492998</v>
      </c>
      <c r="D38" s="27">
        <f t="shared" si="8"/>
        <v>1.0110378303416949</v>
      </c>
      <c r="E38" s="27">
        <f t="shared" si="9"/>
        <v>1.0250449917801521</v>
      </c>
      <c r="F38" s="27">
        <f t="shared" si="6"/>
        <v>-1.3664923540703811E-2</v>
      </c>
    </row>
    <row r="39" spans="1:6" x14ac:dyDescent="0.3">
      <c r="A39" s="15">
        <f t="shared" si="7"/>
        <v>46300</v>
      </c>
      <c r="B39" s="27">
        <f>INDEX(Serie!$K$5:$K$74,MATCH(A39&amp;"|"&amp;$B$5,Serie!$C$5:$C$74,0))</f>
        <v>-8.2582208125707712E-3</v>
      </c>
      <c r="C39" s="27">
        <f t="shared" si="5"/>
        <v>0.99174177918742923</v>
      </c>
      <c r="D39" s="27">
        <f t="shared" si="8"/>
        <v>1.0026884566888707</v>
      </c>
      <c r="E39" s="27">
        <f t="shared" si="9"/>
        <v>1.0250449917801521</v>
      </c>
      <c r="F39" s="27">
        <f t="shared" si="6"/>
        <v>-2.1810296397288598E-2</v>
      </c>
    </row>
    <row r="40" spans="1:6" x14ac:dyDescent="0.3">
      <c r="A40" s="15">
        <f t="shared" si="7"/>
        <v>46301</v>
      </c>
      <c r="B40" s="27">
        <f>INDEX(Serie!$K$5:$K$74,MATCH(A40&amp;"|"&amp;$B$5,Serie!$C$5:$C$74,0))</f>
        <v>4.8091408359374199E-3</v>
      </c>
      <c r="C40" s="27">
        <f t="shared" si="5"/>
        <v>1.0048091408359374</v>
      </c>
      <c r="D40" s="27">
        <f t="shared" si="8"/>
        <v>1.0075105266916562</v>
      </c>
      <c r="E40" s="27">
        <f t="shared" si="9"/>
        <v>1.0250449917801521</v>
      </c>
      <c r="F40" s="27">
        <f t="shared" si="6"/>
        <v>-1.7106044348399352E-2</v>
      </c>
    </row>
    <row r="41" spans="1:6" x14ac:dyDescent="0.3">
      <c r="A41" s="15">
        <f t="shared" si="7"/>
        <v>46302</v>
      </c>
      <c r="B41" s="27">
        <f>INDEX(Serie!$K$5:$K$74,MATCH(A41&amp;"|"&amp;$B$5,Serie!$C$5:$C$74,0))</f>
        <v>9.2940742153559963E-3</v>
      </c>
      <c r="C41" s="27">
        <f t="shared" si="5"/>
        <v>1.009294074215356</v>
      </c>
      <c r="D41" s="27">
        <f t="shared" si="8"/>
        <v>1.0168744042994808</v>
      </c>
      <c r="E41" s="27">
        <f t="shared" si="9"/>
        <v>1.0250449917801521</v>
      </c>
      <c r="F41" s="27">
        <f t="shared" si="6"/>
        <v>-7.9709549787485567E-3</v>
      </c>
    </row>
    <row r="42" spans="1:6" x14ac:dyDescent="0.3">
      <c r="A42" s="15">
        <f t="shared" si="7"/>
        <v>46303</v>
      </c>
      <c r="B42" s="27">
        <f>INDEX(Serie!$K$5:$K$74,MATCH(A42&amp;"|"&amp;$B$5,Serie!$C$5:$C$74,0))</f>
        <v>7.4775277767780146E-3</v>
      </c>
      <c r="C42" s="27">
        <f t="shared" si="5"/>
        <v>1.007477527776778</v>
      </c>
      <c r="D42" s="27">
        <f t="shared" si="8"/>
        <v>1.0244781109031249</v>
      </c>
      <c r="E42" s="27">
        <f t="shared" si="9"/>
        <v>1.0250449917801521</v>
      </c>
      <c r="F42" s="27">
        <f t="shared" si="6"/>
        <v>-5.5303023923147787E-4</v>
      </c>
    </row>
    <row r="43" spans="1:6" x14ac:dyDescent="0.3">
      <c r="A43" s="15">
        <f t="shared" si="7"/>
        <v>46304</v>
      </c>
      <c r="B43" s="27">
        <f>INDEX(Serie!$K$5:$K$74,MATCH(A43&amp;"|"&amp;$B$5,Serie!$C$5:$C$74,0))</f>
        <v>8.9369596153341391E-3</v>
      </c>
      <c r="C43" s="27">
        <f t="shared" si="5"/>
        <v>1.0089369596153341</v>
      </c>
      <c r="D43" s="27">
        <f t="shared" si="8"/>
        <v>1.03363383040706</v>
      </c>
      <c r="E43" s="27">
        <f t="shared" si="9"/>
        <v>1.03363383040706</v>
      </c>
      <c r="F43" s="27">
        <f t="shared" si="6"/>
        <v>0</v>
      </c>
    </row>
    <row r="44" spans="1:6" x14ac:dyDescent="0.3">
      <c r="A44" s="15">
        <f t="shared" si="7"/>
        <v>46305</v>
      </c>
      <c r="B44" s="27">
        <f>INDEX(Serie!$K$5:$K$74,MATCH(A44&amp;"|"&amp;$B$5,Serie!$C$5:$C$74,0))</f>
        <v>7.8536272773099824E-5</v>
      </c>
      <c r="C44" s="27">
        <f t="shared" si="5"/>
        <v>1.0000785362727731</v>
      </c>
      <c r="D44" s="27">
        <f t="shared" si="8"/>
        <v>1.0337150081555124</v>
      </c>
      <c r="E44" s="27">
        <f t="shared" si="9"/>
        <v>1.0337150081555124</v>
      </c>
      <c r="F44" s="27">
        <f t="shared" si="6"/>
        <v>0</v>
      </c>
    </row>
    <row r="45" spans="1:6" x14ac:dyDescent="0.3">
      <c r="A45" s="15">
        <f t="shared" si="7"/>
        <v>46306</v>
      </c>
      <c r="B45" s="27">
        <f>INDEX(Serie!$K$5:$K$74,MATCH(A45&amp;"|"&amp;$B$5,Serie!$C$5:$C$74,0))</f>
        <v>7.8451289928560541E-5</v>
      </c>
      <c r="C45" s="27">
        <f t="shared" si="5"/>
        <v>1.0000784512899286</v>
      </c>
      <c r="D45" s="27">
        <f t="shared" si="8"/>
        <v>1.0337961044313206</v>
      </c>
      <c r="E45" s="27">
        <f t="shared" si="9"/>
        <v>1.0337961044313206</v>
      </c>
      <c r="F45" s="27">
        <f t="shared" si="6"/>
        <v>0</v>
      </c>
    </row>
    <row r="46" spans="1:6" x14ac:dyDescent="0.3">
      <c r="A46" s="15">
        <f t="shared" si="7"/>
        <v>46307</v>
      </c>
      <c r="B46" s="27">
        <f>INDEX(Serie!$K$5:$K$74,MATCH(A46&amp;"|"&amp;$B$5,Serie!$C$5:$C$74,0))</f>
        <v>5.8228708559371345E-3</v>
      </c>
      <c r="C46" s="27">
        <f t="shared" si="5"/>
        <v>1.0058228708559371</v>
      </c>
      <c r="D46" s="27">
        <f t="shared" si="8"/>
        <v>1.0398157656387952</v>
      </c>
      <c r="E46" s="27">
        <f t="shared" si="9"/>
        <v>1.0398157656387952</v>
      </c>
      <c r="F46" s="27">
        <f t="shared" si="6"/>
        <v>0</v>
      </c>
    </row>
    <row r="47" spans="1:6" x14ac:dyDescent="0.3">
      <c r="A47" s="15">
        <f t="shared" si="7"/>
        <v>46308</v>
      </c>
      <c r="B47" s="27">
        <f>INDEX(Serie!$K$5:$K$74,MATCH(A47&amp;"|"&amp;$B$5,Serie!$C$5:$C$74,0))</f>
        <v>-5.1019777454953674E-3</v>
      </c>
      <c r="C47" s="27">
        <f t="shared" si="5"/>
        <v>0.99489802225450463</v>
      </c>
      <c r="D47" s="27">
        <f t="shared" si="8"/>
        <v>1.0345106487430908</v>
      </c>
      <c r="E47" s="27">
        <f t="shared" si="9"/>
        <v>1.0398157656387952</v>
      </c>
      <c r="F47" s="27">
        <f t="shared" si="6"/>
        <v>-5.1019777454953674E-3</v>
      </c>
    </row>
    <row r="48" spans="1:6" x14ac:dyDescent="0.3">
      <c r="A48" s="15">
        <f t="shared" si="7"/>
        <v>46309</v>
      </c>
      <c r="B48" s="27">
        <f>INDEX(Serie!$K$5:$K$74,MATCH(A48&amp;"|"&amp;$B$5,Serie!$C$5:$C$74,0))</f>
        <v>9.1032753790420973E-3</v>
      </c>
      <c r="C48" s="27">
        <f t="shared" si="5"/>
        <v>1.0091032753790421</v>
      </c>
      <c r="D48" s="27">
        <f t="shared" si="8"/>
        <v>1.0439280840611507</v>
      </c>
      <c r="E48" s="27">
        <f t="shared" si="9"/>
        <v>1.0439280840611507</v>
      </c>
      <c r="F48" s="27">
        <f t="shared" si="6"/>
        <v>0</v>
      </c>
    </row>
    <row r="51" spans="1:6" x14ac:dyDescent="0.3">
      <c r="A51" s="7" t="s">
        <v>386</v>
      </c>
    </row>
    <row r="52" spans="1:6" ht="26.4" x14ac:dyDescent="0.3">
      <c r="A52" s="8" t="s">
        <v>177</v>
      </c>
      <c r="B52" s="8" t="s">
        <v>382</v>
      </c>
      <c r="C52" s="8" t="s">
        <v>383</v>
      </c>
      <c r="D52" s="8" t="s">
        <v>384</v>
      </c>
      <c r="E52" s="8" t="s">
        <v>385</v>
      </c>
      <c r="F52" s="8" t="s">
        <v>362</v>
      </c>
    </row>
    <row r="53" spans="1:6" x14ac:dyDescent="0.3">
      <c r="A53" s="15">
        <f>$C$6</f>
        <v>46276</v>
      </c>
      <c r="B53" s="27">
        <f>INDEX(Serie!$K$5:$K$74,MATCH(A53&amp;"|"&amp;$B$6,Serie!$C$5:$C$74,0))</f>
        <v>6.1770279548112317E-3</v>
      </c>
      <c r="C53" s="27">
        <f t="shared" ref="C53:C72" si="10">1+B53</f>
        <v>1.0061770279548112</v>
      </c>
      <c r="D53" s="27">
        <f>C53</f>
        <v>1.0061770279548112</v>
      </c>
      <c r="E53" s="27">
        <f>MAX(1,D53)</f>
        <v>1.0061770279548112</v>
      </c>
      <c r="F53" s="27">
        <f t="shared" ref="F53:F72" si="11">D53/E53-1</f>
        <v>0</v>
      </c>
    </row>
    <row r="54" spans="1:6" x14ac:dyDescent="0.3">
      <c r="A54" s="15">
        <f t="shared" ref="A54:A72" si="12">A53+1</f>
        <v>46277</v>
      </c>
      <c r="B54" s="27">
        <f>INDEX(Serie!$K$5:$K$74,MATCH(A54&amp;"|"&amp;$B$6,Serie!$C$5:$C$74,0))</f>
        <v>7.1293154754403787E-5</v>
      </c>
      <c r="C54" s="27">
        <f t="shared" si="10"/>
        <v>1.0000712931547544</v>
      </c>
      <c r="D54" s="27">
        <f t="shared" ref="D54:D72" si="13">D53*C54</f>
        <v>1.0062487614893756</v>
      </c>
      <c r="E54" s="27">
        <f t="shared" ref="E54:E72" si="14">MAX(E53,D54)</f>
        <v>1.0062487614893756</v>
      </c>
      <c r="F54" s="27">
        <f t="shared" si="11"/>
        <v>0</v>
      </c>
    </row>
    <row r="55" spans="1:6" x14ac:dyDescent="0.3">
      <c r="A55" s="15">
        <f t="shared" si="12"/>
        <v>46278</v>
      </c>
      <c r="B55" s="27">
        <f>INDEX(Serie!$K$5:$K$74,MATCH(A55&amp;"|"&amp;$B$6,Serie!$C$5:$C$74,0))</f>
        <v>7.131708161711714E-5</v>
      </c>
      <c r="C55" s="27">
        <f t="shared" si="10"/>
        <v>1.0000713170816171</v>
      </c>
      <c r="D55" s="27">
        <f t="shared" si="13"/>
        <v>1.0063205242144257</v>
      </c>
      <c r="E55" s="27">
        <f t="shared" si="14"/>
        <v>1.0063205242144257</v>
      </c>
      <c r="F55" s="27">
        <f t="shared" si="11"/>
        <v>0</v>
      </c>
    </row>
    <row r="56" spans="1:6" x14ac:dyDescent="0.3">
      <c r="A56" s="15">
        <f t="shared" si="12"/>
        <v>46279</v>
      </c>
      <c r="B56" s="27">
        <f>INDEX(Serie!$K$5:$K$74,MATCH(A56&amp;"|"&amp;$B$6,Serie!$C$5:$C$74,0))</f>
        <v>6.3167450362364708E-3</v>
      </c>
      <c r="C56" s="27">
        <f t="shared" si="10"/>
        <v>1.0063167450362365</v>
      </c>
      <c r="D56" s="27">
        <f t="shared" si="13"/>
        <v>1.0126771943906201</v>
      </c>
      <c r="E56" s="27">
        <f t="shared" si="14"/>
        <v>1.0126771943906201</v>
      </c>
      <c r="F56" s="27">
        <f t="shared" si="11"/>
        <v>0</v>
      </c>
    </row>
    <row r="57" spans="1:6" x14ac:dyDescent="0.3">
      <c r="A57" s="15">
        <f t="shared" si="12"/>
        <v>46280</v>
      </c>
      <c r="B57" s="27">
        <f>INDEX(Serie!$K$5:$K$74,MATCH(A57&amp;"|"&amp;$B$6,Serie!$C$5:$C$74,0))</f>
        <v>7.3303237499160456E-3</v>
      </c>
      <c r="C57" s="27">
        <f t="shared" si="10"/>
        <v>1.007330323749916</v>
      </c>
      <c r="D57" s="27">
        <f t="shared" si="13"/>
        <v>1.0201004460796601</v>
      </c>
      <c r="E57" s="27">
        <f t="shared" si="14"/>
        <v>1.0201004460796601</v>
      </c>
      <c r="F57" s="27">
        <f t="shared" si="11"/>
        <v>0</v>
      </c>
    </row>
    <row r="58" spans="1:6" x14ac:dyDescent="0.3">
      <c r="A58" s="15">
        <f t="shared" si="12"/>
        <v>46281</v>
      </c>
      <c r="B58" s="27">
        <f>INDEX(Serie!$K$5:$K$74,MATCH(A58&amp;"|"&amp;$B$6,Serie!$C$5:$C$74,0))</f>
        <v>6.0115103777569345E-5</v>
      </c>
      <c r="C58" s="27">
        <f t="shared" si="10"/>
        <v>1.0000601151037776</v>
      </c>
      <c r="D58" s="27">
        <f t="shared" si="13"/>
        <v>1.0201617695238396</v>
      </c>
      <c r="E58" s="27">
        <f t="shared" si="14"/>
        <v>1.0201617695238396</v>
      </c>
      <c r="F58" s="27">
        <f t="shared" si="11"/>
        <v>0</v>
      </c>
    </row>
    <row r="59" spans="1:6" x14ac:dyDescent="0.3">
      <c r="A59" s="15">
        <f t="shared" si="12"/>
        <v>46282</v>
      </c>
      <c r="B59" s="27">
        <f>INDEX(Serie!$K$5:$K$74,MATCH(A59&amp;"|"&amp;$B$6,Serie!$C$5:$C$74,0))</f>
        <v>-1.2115849080504115E-2</v>
      </c>
      <c r="C59" s="27">
        <f t="shared" si="10"/>
        <v>0.98788415091949588</v>
      </c>
      <c r="D59" s="27">
        <f t="shared" si="13"/>
        <v>1.0078016434865888</v>
      </c>
      <c r="E59" s="27">
        <f t="shared" si="14"/>
        <v>1.0201617695238396</v>
      </c>
      <c r="F59" s="27">
        <f t="shared" si="11"/>
        <v>-1.2115849080504004E-2</v>
      </c>
    </row>
    <row r="60" spans="1:6" x14ac:dyDescent="0.3">
      <c r="A60" s="15">
        <f t="shared" si="12"/>
        <v>46283</v>
      </c>
      <c r="B60" s="27">
        <f>INDEX(Serie!$K$5:$K$74,MATCH(A60&amp;"|"&amp;$B$6,Serie!$C$5:$C$74,0))</f>
        <v>-1.6769313122455998E-2</v>
      </c>
      <c r="C60" s="27">
        <f t="shared" si="10"/>
        <v>0.983230686877544</v>
      </c>
      <c r="D60" s="27">
        <f t="shared" si="13"/>
        <v>0.99090150216163653</v>
      </c>
      <c r="E60" s="27">
        <f t="shared" si="14"/>
        <v>1.0201617695238396</v>
      </c>
      <c r="F60" s="27">
        <f t="shared" si="11"/>
        <v>-2.8681987735984626E-2</v>
      </c>
    </row>
    <row r="61" spans="1:6" x14ac:dyDescent="0.3">
      <c r="A61" s="15">
        <f t="shared" si="12"/>
        <v>46284</v>
      </c>
      <c r="B61" s="27">
        <f>INDEX(Serie!$K$5:$K$74,MATCH(A61&amp;"|"&amp;$B$6,Serie!$C$5:$C$74,0))</f>
        <v>8.602770223364864E-5</v>
      </c>
      <c r="C61" s="27">
        <f t="shared" si="10"/>
        <v>1.0000860277022336</v>
      </c>
      <c r="D61" s="27">
        <f t="shared" si="13"/>
        <v>0.99098674714100732</v>
      </c>
      <c r="E61" s="27">
        <f t="shared" si="14"/>
        <v>1.0201617695238396</v>
      </c>
      <c r="F61" s="27">
        <f t="shared" si="11"/>
        <v>-2.8598427479251454E-2</v>
      </c>
    </row>
    <row r="62" spans="1:6" x14ac:dyDescent="0.3">
      <c r="A62" s="15">
        <f t="shared" si="12"/>
        <v>46285</v>
      </c>
      <c r="B62" s="27">
        <f>INDEX(Serie!$K$5:$K$74,MATCH(A62&amp;"|"&amp;$B$6,Serie!$C$5:$C$74,0))</f>
        <v>8.6004199911116075E-5</v>
      </c>
      <c r="C62" s="27">
        <f t="shared" si="10"/>
        <v>1.0000860041999111</v>
      </c>
      <c r="D62" s="27">
        <f t="shared" si="13"/>
        <v>0.99107197616331766</v>
      </c>
      <c r="E62" s="27">
        <f t="shared" si="14"/>
        <v>1.0201617695238396</v>
      </c>
      <c r="F62" s="27">
        <f t="shared" si="11"/>
        <v>-2.8514882864214441E-2</v>
      </c>
    </row>
    <row r="63" spans="1:6" x14ac:dyDescent="0.3">
      <c r="A63" s="15">
        <f t="shared" si="12"/>
        <v>46286</v>
      </c>
      <c r="B63" s="27">
        <f>INDEX(Serie!$K$5:$K$74,MATCH(A63&amp;"|"&amp;$B$6,Serie!$C$5:$C$74,0))</f>
        <v>-1.6635011920466236E-2</v>
      </c>
      <c r="C63" s="27">
        <f t="shared" si="10"/>
        <v>0.98336498807953376</v>
      </c>
      <c r="D63" s="27">
        <f t="shared" si="13"/>
        <v>0.97458548202580086</v>
      </c>
      <c r="E63" s="27">
        <f t="shared" si="14"/>
        <v>1.0201617695238396</v>
      </c>
      <c r="F63" s="27">
        <f t="shared" si="11"/>
        <v>-4.4675549368323741E-2</v>
      </c>
    </row>
    <row r="64" spans="1:6" x14ac:dyDescent="0.3">
      <c r="A64" s="15">
        <f t="shared" si="12"/>
        <v>46287</v>
      </c>
      <c r="B64" s="27">
        <f>INDEX(Serie!$K$5:$K$74,MATCH(A64&amp;"|"&amp;$B$6,Serie!$C$5:$C$74,0))</f>
        <v>-1.5193249037072531E-2</v>
      </c>
      <c r="C64" s="27">
        <f t="shared" si="10"/>
        <v>0.98480675096292747</v>
      </c>
      <c r="D64" s="27">
        <f t="shared" si="13"/>
        <v>0.95977836208946754</v>
      </c>
      <c r="E64" s="27">
        <f t="shared" si="14"/>
        <v>1.0201617695238396</v>
      </c>
      <c r="F64" s="27">
        <f t="shared" si="11"/>
        <v>-5.9190031657975206E-2</v>
      </c>
    </row>
    <row r="65" spans="1:6" x14ac:dyDescent="0.3">
      <c r="A65" s="15">
        <f t="shared" si="12"/>
        <v>46288</v>
      </c>
      <c r="B65" s="27">
        <f>INDEX(Serie!$K$5:$K$74,MATCH(A65&amp;"|"&amp;$B$6,Serie!$C$5:$C$74,0))</f>
        <v>-8.0938137408352873E-3</v>
      </c>
      <c r="C65" s="27">
        <f t="shared" si="10"/>
        <v>0.99190618625916471</v>
      </c>
      <c r="D65" s="27">
        <f t="shared" si="13"/>
        <v>0.95201009479423138</v>
      </c>
      <c r="E65" s="27">
        <f t="shared" si="14"/>
        <v>1.0201617695238396</v>
      </c>
      <c r="F65" s="27">
        <f t="shared" si="11"/>
        <v>-6.6804772307256788E-2</v>
      </c>
    </row>
    <row r="66" spans="1:6" x14ac:dyDescent="0.3">
      <c r="A66" s="15">
        <f t="shared" si="12"/>
        <v>46289</v>
      </c>
      <c r="B66" s="27">
        <f>INDEX(Serie!$K$5:$K$74,MATCH(A66&amp;"|"&amp;$B$6,Serie!$C$5:$C$74,0))</f>
        <v>1.1206198265381939E-2</v>
      </c>
      <c r="C66" s="27">
        <f t="shared" si="10"/>
        <v>1.0112061982653819</v>
      </c>
      <c r="D66" s="27">
        <f t="shared" si="13"/>
        <v>0.96267850866714055</v>
      </c>
      <c r="E66" s="27">
        <f t="shared" si="14"/>
        <v>1.0201617695238396</v>
      </c>
      <c r="F66" s="27">
        <f t="shared" si="11"/>
        <v>-5.6347201565423721E-2</v>
      </c>
    </row>
    <row r="67" spans="1:6" x14ac:dyDescent="0.3">
      <c r="A67" s="15">
        <f t="shared" si="12"/>
        <v>46290</v>
      </c>
      <c r="B67" s="27">
        <f>INDEX(Serie!$K$5:$K$74,MATCH(A67&amp;"|"&amp;$B$6,Serie!$C$5:$C$74,0))</f>
        <v>1.4851319032215482E-2</v>
      </c>
      <c r="C67" s="27">
        <f t="shared" si="10"/>
        <v>1.0148513190322155</v>
      </c>
      <c r="D67" s="27">
        <f t="shared" si="13"/>
        <v>0.97697555432481364</v>
      </c>
      <c r="E67" s="27">
        <f t="shared" si="14"/>
        <v>1.0201617695238396</v>
      </c>
      <c r="F67" s="27">
        <f t="shared" si="11"/>
        <v>-4.2332712800228878E-2</v>
      </c>
    </row>
    <row r="68" spans="1:6" x14ac:dyDescent="0.3">
      <c r="A68" s="15">
        <f t="shared" si="12"/>
        <v>46291</v>
      </c>
      <c r="B68" s="27">
        <f>INDEX(Serie!$K$5:$K$74,MATCH(A68&amp;"|"&amp;$B$6,Serie!$C$5:$C$74,0))</f>
        <v>1.0160139909576316E-4</v>
      </c>
      <c r="C68" s="27">
        <f t="shared" si="10"/>
        <v>1.0001016013990958</v>
      </c>
      <c r="D68" s="27">
        <f t="shared" si="13"/>
        <v>0.97707481640801541</v>
      </c>
      <c r="E68" s="27">
        <f t="shared" si="14"/>
        <v>1.0201617695238396</v>
      </c>
      <c r="F68" s="27">
        <f t="shared" si="11"/>
        <v>-4.2235412463981103E-2</v>
      </c>
    </row>
    <row r="69" spans="1:6" x14ac:dyDescent="0.3">
      <c r="A69" s="15">
        <f t="shared" si="12"/>
        <v>46292</v>
      </c>
      <c r="B69" s="27">
        <f>INDEX(Serie!$K$5:$K$74,MATCH(A69&amp;"|"&amp;$B$6,Serie!$C$5:$C$74,0))</f>
        <v>1.0156480233836085E-4</v>
      </c>
      <c r="C69" s="27">
        <f t="shared" si="10"/>
        <v>1.0001015648023384</v>
      </c>
      <c r="D69" s="27">
        <f t="shared" si="13"/>
        <v>0.97717405281861369</v>
      </c>
      <c r="E69" s="27">
        <f t="shared" si="14"/>
        <v>1.0201617695238396</v>
      </c>
      <c r="F69" s="27">
        <f t="shared" si="11"/>
        <v>-4.2138137292961342E-2</v>
      </c>
    </row>
    <row r="70" spans="1:6" x14ac:dyDescent="0.3">
      <c r="A70" s="15">
        <f t="shared" si="12"/>
        <v>46293</v>
      </c>
      <c r="B70" s="27">
        <f>INDEX(Serie!$K$5:$K$74,MATCH(A70&amp;"|"&amp;$B$6,Serie!$C$5:$C$74,0))</f>
        <v>1.5879098850227535E-2</v>
      </c>
      <c r="C70" s="27">
        <f t="shared" si="10"/>
        <v>1.0158790988502275</v>
      </c>
      <c r="D70" s="27">
        <f t="shared" si="13"/>
        <v>0.99269069619719796</v>
      </c>
      <c r="E70" s="27">
        <f t="shared" si="14"/>
        <v>1.0201617695238396</v>
      </c>
      <c r="F70" s="27">
        <f t="shared" si="11"/>
        <v>-2.6928154090173129E-2</v>
      </c>
    </row>
    <row r="71" spans="1:6" x14ac:dyDescent="0.3">
      <c r="A71" s="15">
        <f t="shared" si="12"/>
        <v>46294</v>
      </c>
      <c r="B71" s="27">
        <f>INDEX(Serie!$K$5:$K$74,MATCH(A71&amp;"|"&amp;$B$6,Serie!$C$5:$C$74,0))</f>
        <v>1.5636455284405271E-2</v>
      </c>
      <c r="C71" s="27">
        <f t="shared" si="10"/>
        <v>1.0156364552844053</v>
      </c>
      <c r="D71" s="27">
        <f t="shared" si="13"/>
        <v>1.0082128598795306</v>
      </c>
      <c r="E71" s="27">
        <f t="shared" si="14"/>
        <v>1.0201617695238396</v>
      </c>
      <c r="F71" s="27">
        <f t="shared" si="11"/>
        <v>-1.171275968309049E-2</v>
      </c>
    </row>
    <row r="72" spans="1:6" x14ac:dyDescent="0.3">
      <c r="A72" s="15">
        <f t="shared" si="12"/>
        <v>46295</v>
      </c>
      <c r="B72" s="27">
        <f>INDEX(Serie!$K$5:$K$74,MATCH(A72&amp;"|"&amp;$B$6,Serie!$C$5:$C$74,0))</f>
        <v>1.6695018056636091E-2</v>
      </c>
      <c r="C72" s="27">
        <f t="shared" si="10"/>
        <v>1.0166950180566361</v>
      </c>
      <c r="D72" s="27">
        <f t="shared" si="13"/>
        <v>1.0250449917801521</v>
      </c>
      <c r="E72" s="27">
        <f t="shared" si="14"/>
        <v>1.0250449917801521</v>
      </c>
      <c r="F72" s="27">
        <f t="shared" si="11"/>
        <v>0</v>
      </c>
    </row>
    <row r="75" spans="1:6" x14ac:dyDescent="0.3">
      <c r="A75" s="7" t="s">
        <v>387</v>
      </c>
    </row>
    <row r="76" spans="1:6" ht="26.4" x14ac:dyDescent="0.3">
      <c r="A76" s="8" t="s">
        <v>177</v>
      </c>
      <c r="B76" s="8" t="s">
        <v>382</v>
      </c>
      <c r="C76" s="8" t="s">
        <v>383</v>
      </c>
      <c r="D76" s="8" t="s">
        <v>384</v>
      </c>
      <c r="E76" s="8" t="s">
        <v>385</v>
      </c>
      <c r="F76" s="8" t="s">
        <v>362</v>
      </c>
    </row>
    <row r="77" spans="1:6" x14ac:dyDescent="0.3">
      <c r="A77" s="15">
        <f>$C$7</f>
        <v>46296</v>
      </c>
      <c r="B77" s="27">
        <f>INDEX(Serie!$K$5:$K$74,MATCH(A77&amp;"|"&amp;$B$7,Serie!$C$5:$C$74,0))</f>
        <v>-7.3298528784861983E-3</v>
      </c>
      <c r="C77" s="27">
        <f t="shared" ref="C77:C90" si="15">1+B77</f>
        <v>0.9926701471215138</v>
      </c>
      <c r="D77" s="27">
        <f>C77</f>
        <v>0.9926701471215138</v>
      </c>
      <c r="E77" s="27">
        <f>MAX(1,D77)</f>
        <v>1</v>
      </c>
      <c r="F77" s="27">
        <f t="shared" ref="F77:F90" si="16">D77/E77-1</f>
        <v>-7.3298528784861983E-3</v>
      </c>
    </row>
    <row r="78" spans="1:6" x14ac:dyDescent="0.3">
      <c r="A78" s="15">
        <f t="shared" ref="A78:A90" si="17">A77+1</f>
        <v>46297</v>
      </c>
      <c r="B78" s="27">
        <f>INDEX(Serie!$K$5:$K$74,MATCH(A78&amp;"|"&amp;$B$7,Serie!$C$5:$C$74,0))</f>
        <v>-6.5922835406752034E-3</v>
      </c>
      <c r="C78" s="27">
        <f t="shared" si="15"/>
        <v>0.9934077164593248</v>
      </c>
      <c r="D78" s="27">
        <f t="shared" ref="D78:D90" si="18">D77*C78</f>
        <v>0.98612618404932506</v>
      </c>
      <c r="E78" s="27">
        <f t="shared" ref="E78:E90" si="19">MAX(E77,D78)</f>
        <v>1</v>
      </c>
      <c r="F78" s="27">
        <f t="shared" si="16"/>
        <v>-1.3873815950674939E-2</v>
      </c>
    </row>
    <row r="79" spans="1:6" x14ac:dyDescent="0.3">
      <c r="A79" s="15">
        <f t="shared" si="17"/>
        <v>46298</v>
      </c>
      <c r="B79" s="27">
        <f>INDEX(Serie!$K$5:$K$74,MATCH(A79&amp;"|"&amp;$B$7,Serie!$C$5:$C$74,0))</f>
        <v>1.0595175246264077E-4</v>
      </c>
      <c r="C79" s="27">
        <f t="shared" si="15"/>
        <v>1.0001059517524626</v>
      </c>
      <c r="D79" s="27">
        <f t="shared" si="18"/>
        <v>0.9862306658466744</v>
      </c>
      <c r="E79" s="27">
        <f t="shared" si="19"/>
        <v>1</v>
      </c>
      <c r="F79" s="27">
        <f t="shared" si="16"/>
        <v>-1.3769334153325596E-2</v>
      </c>
    </row>
    <row r="80" spans="1:6" x14ac:dyDescent="0.3">
      <c r="A80" s="15">
        <f t="shared" si="17"/>
        <v>46299</v>
      </c>
      <c r="B80" s="27">
        <f>INDEX(Serie!$K$5:$K$74,MATCH(A80&amp;"|"&amp;$B$7,Serie!$C$5:$C$74,0))</f>
        <v>1.0586834929982025E-4</v>
      </c>
      <c r="C80" s="27">
        <f t="shared" si="15"/>
        <v>1.0001058683492998</v>
      </c>
      <c r="D80" s="27">
        <f t="shared" si="18"/>
        <v>0.98633507645929641</v>
      </c>
      <c r="E80" s="27">
        <f t="shared" si="19"/>
        <v>1</v>
      </c>
      <c r="F80" s="27">
        <f t="shared" si="16"/>
        <v>-1.3664923540703589E-2</v>
      </c>
    </row>
    <row r="81" spans="1:6" x14ac:dyDescent="0.3">
      <c r="A81" s="15">
        <f t="shared" si="17"/>
        <v>46300</v>
      </c>
      <c r="B81" s="27">
        <f>INDEX(Serie!$K$5:$K$74,MATCH(A81&amp;"|"&amp;$B$7,Serie!$C$5:$C$74,0))</f>
        <v>-8.2582208125707712E-3</v>
      </c>
      <c r="C81" s="27">
        <f t="shared" si="15"/>
        <v>0.99174177918742923</v>
      </c>
      <c r="D81" s="27">
        <f t="shared" si="18"/>
        <v>0.97818970360271162</v>
      </c>
      <c r="E81" s="27">
        <f t="shared" si="19"/>
        <v>1</v>
      </c>
      <c r="F81" s="27">
        <f t="shared" si="16"/>
        <v>-2.1810296397288376E-2</v>
      </c>
    </row>
    <row r="82" spans="1:6" x14ac:dyDescent="0.3">
      <c r="A82" s="15">
        <f t="shared" si="17"/>
        <v>46301</v>
      </c>
      <c r="B82" s="27">
        <f>INDEX(Serie!$K$5:$K$74,MATCH(A82&amp;"|"&amp;$B$7,Serie!$C$5:$C$74,0))</f>
        <v>4.8091408359374199E-3</v>
      </c>
      <c r="C82" s="27">
        <f t="shared" si="15"/>
        <v>1.0048091408359374</v>
      </c>
      <c r="D82" s="27">
        <f t="shared" si="18"/>
        <v>0.98289395565160098</v>
      </c>
      <c r="E82" s="27">
        <f t="shared" si="19"/>
        <v>1</v>
      </c>
      <c r="F82" s="27">
        <f t="shared" si="16"/>
        <v>-1.7106044348399019E-2</v>
      </c>
    </row>
    <row r="83" spans="1:6" x14ac:dyDescent="0.3">
      <c r="A83" s="15">
        <f t="shared" si="17"/>
        <v>46302</v>
      </c>
      <c r="B83" s="27">
        <f>INDEX(Serie!$K$5:$K$74,MATCH(A83&amp;"|"&amp;$B$7,Serie!$C$5:$C$74,0))</f>
        <v>9.2940742153559963E-3</v>
      </c>
      <c r="C83" s="27">
        <f t="shared" si="15"/>
        <v>1.009294074215356</v>
      </c>
      <c r="D83" s="27">
        <f t="shared" si="18"/>
        <v>0.99202904502125178</v>
      </c>
      <c r="E83" s="27">
        <f t="shared" si="19"/>
        <v>1</v>
      </c>
      <c r="F83" s="27">
        <f t="shared" si="16"/>
        <v>-7.9709549787482237E-3</v>
      </c>
    </row>
    <row r="84" spans="1:6" x14ac:dyDescent="0.3">
      <c r="A84" s="15">
        <f t="shared" si="17"/>
        <v>46303</v>
      </c>
      <c r="B84" s="27">
        <f>INDEX(Serie!$K$5:$K$74,MATCH(A84&amp;"|"&amp;$B$7,Serie!$C$5:$C$74,0))</f>
        <v>7.4775277767780146E-3</v>
      </c>
      <c r="C84" s="27">
        <f t="shared" si="15"/>
        <v>1.007477527776778</v>
      </c>
      <c r="D84" s="27">
        <f t="shared" si="18"/>
        <v>0.99944696976076874</v>
      </c>
      <c r="E84" s="27">
        <f t="shared" si="19"/>
        <v>1</v>
      </c>
      <c r="F84" s="27">
        <f t="shared" si="16"/>
        <v>-5.5303023923125583E-4</v>
      </c>
    </row>
    <row r="85" spans="1:6" x14ac:dyDescent="0.3">
      <c r="A85" s="15">
        <f t="shared" si="17"/>
        <v>46304</v>
      </c>
      <c r="B85" s="27">
        <f>INDEX(Serie!$K$5:$K$74,MATCH(A85&amp;"|"&amp;$B$7,Serie!$C$5:$C$74,0))</f>
        <v>8.9369596153341391E-3</v>
      </c>
      <c r="C85" s="27">
        <f t="shared" si="15"/>
        <v>1.0089369596153341</v>
      </c>
      <c r="D85" s="27">
        <f t="shared" si="18"/>
        <v>1.0083789869671889</v>
      </c>
      <c r="E85" s="27">
        <f t="shared" si="19"/>
        <v>1.0083789869671889</v>
      </c>
      <c r="F85" s="27">
        <f t="shared" si="16"/>
        <v>0</v>
      </c>
    </row>
    <row r="86" spans="1:6" x14ac:dyDescent="0.3">
      <c r="A86" s="15">
        <f t="shared" si="17"/>
        <v>46305</v>
      </c>
      <c r="B86" s="27">
        <f>INDEX(Serie!$K$5:$K$74,MATCH(A86&amp;"|"&amp;$B$7,Serie!$C$5:$C$74,0))</f>
        <v>7.8536272773099824E-5</v>
      </c>
      <c r="C86" s="27">
        <f t="shared" si="15"/>
        <v>1.0000785362727731</v>
      </c>
      <c r="D86" s="27">
        <f t="shared" si="18"/>
        <v>1.008458181294368</v>
      </c>
      <c r="E86" s="27">
        <f t="shared" si="19"/>
        <v>1.008458181294368</v>
      </c>
      <c r="F86" s="27">
        <f t="shared" si="16"/>
        <v>0</v>
      </c>
    </row>
    <row r="87" spans="1:6" x14ac:dyDescent="0.3">
      <c r="A87" s="15">
        <f t="shared" si="17"/>
        <v>46306</v>
      </c>
      <c r="B87" s="27">
        <f>INDEX(Serie!$K$5:$K$74,MATCH(A87&amp;"|"&amp;$B$7,Serie!$C$5:$C$74,0))</f>
        <v>7.8451289928560541E-5</v>
      </c>
      <c r="C87" s="27">
        <f t="shared" si="15"/>
        <v>1.0000784512899286</v>
      </c>
      <c r="D87" s="27">
        <f t="shared" si="18"/>
        <v>1.0085372961395296</v>
      </c>
      <c r="E87" s="27">
        <f t="shared" si="19"/>
        <v>1.0085372961395296</v>
      </c>
      <c r="F87" s="27">
        <f t="shared" si="16"/>
        <v>0</v>
      </c>
    </row>
    <row r="88" spans="1:6" x14ac:dyDescent="0.3">
      <c r="A88" s="15">
        <f t="shared" si="17"/>
        <v>46307</v>
      </c>
      <c r="B88" s="27">
        <f>INDEX(Serie!$K$5:$K$74,MATCH(A88&amp;"|"&amp;$B$7,Serie!$C$5:$C$74,0))</f>
        <v>5.8228708559371345E-3</v>
      </c>
      <c r="C88" s="27">
        <f t="shared" si="15"/>
        <v>1.0058228708559371</v>
      </c>
      <c r="D88" s="27">
        <f t="shared" si="18"/>
        <v>1.0144098785683462</v>
      </c>
      <c r="E88" s="27">
        <f t="shared" si="19"/>
        <v>1.0144098785683462</v>
      </c>
      <c r="F88" s="27">
        <f t="shared" si="16"/>
        <v>0</v>
      </c>
    </row>
    <row r="89" spans="1:6" x14ac:dyDescent="0.3">
      <c r="A89" s="15">
        <f t="shared" si="17"/>
        <v>46308</v>
      </c>
      <c r="B89" s="27">
        <f>INDEX(Serie!$K$5:$K$74,MATCH(A89&amp;"|"&amp;$B$7,Serie!$C$5:$C$74,0))</f>
        <v>-5.1019777454953674E-3</v>
      </c>
      <c r="C89" s="27">
        <f t="shared" si="15"/>
        <v>0.99489802225450463</v>
      </c>
      <c r="D89" s="27">
        <f t="shared" si="18"/>
        <v>1.0092343819430798</v>
      </c>
      <c r="E89" s="27">
        <f t="shared" si="19"/>
        <v>1.0144098785683462</v>
      </c>
      <c r="F89" s="27">
        <f t="shared" si="16"/>
        <v>-5.1019777454953674E-3</v>
      </c>
    </row>
    <row r="90" spans="1:6" x14ac:dyDescent="0.3">
      <c r="A90" s="15">
        <f t="shared" si="17"/>
        <v>46309</v>
      </c>
      <c r="B90" s="27">
        <f>INDEX(Serie!$K$5:$K$74,MATCH(A90&amp;"|"&amp;$B$7,Serie!$C$5:$C$74,0))</f>
        <v>9.1032753790420973E-3</v>
      </c>
      <c r="C90" s="27">
        <f t="shared" si="15"/>
        <v>1.0091032753790421</v>
      </c>
      <c r="D90" s="27">
        <f t="shared" si="18"/>
        <v>1.018421720443905</v>
      </c>
      <c r="E90" s="27">
        <f t="shared" si="19"/>
        <v>1.018421720443905</v>
      </c>
      <c r="F90" s="27">
        <f t="shared" si="16"/>
        <v>0</v>
      </c>
    </row>
    <row r="93" spans="1:6" x14ac:dyDescent="0.3">
      <c r="A93" s="7" t="s">
        <v>388</v>
      </c>
    </row>
    <row r="94" spans="1:6" ht="26.4" x14ac:dyDescent="0.3">
      <c r="A94" s="8" t="s">
        <v>177</v>
      </c>
      <c r="B94" s="8" t="s">
        <v>382</v>
      </c>
      <c r="C94" s="8" t="s">
        <v>383</v>
      </c>
      <c r="D94" s="8" t="s">
        <v>384</v>
      </c>
      <c r="E94" s="8" t="s">
        <v>385</v>
      </c>
      <c r="F94" s="8" t="s">
        <v>362</v>
      </c>
    </row>
    <row r="95" spans="1:6" x14ac:dyDescent="0.3">
      <c r="A95" s="15">
        <f>$C$8</f>
        <v>46304</v>
      </c>
      <c r="B95" s="27">
        <f>INDEX(Serie!$K$5:$K$74,MATCH(A95&amp;"|"&amp;$B$8,Serie!$C$5:$C$74,0))</f>
        <v>8.9369596153341391E-3</v>
      </c>
      <c r="C95" s="27">
        <f>1+B95</f>
        <v>1.0089369596153341</v>
      </c>
      <c r="D95" s="27">
        <f>C95</f>
        <v>1.0089369596153341</v>
      </c>
      <c r="E95" s="27">
        <f>MAX(1,D95)</f>
        <v>1.0089369596153341</v>
      </c>
      <c r="F95" s="27">
        <f>D95/E95-1</f>
        <v>0</v>
      </c>
    </row>
    <row r="96" spans="1:6" x14ac:dyDescent="0.3">
      <c r="A96" s="15">
        <f>A95+1</f>
        <v>46305</v>
      </c>
      <c r="B96" s="27">
        <f>INDEX(Serie!$K$5:$K$74,MATCH(A96&amp;"|"&amp;$B$8,Serie!$C$5:$C$74,0))</f>
        <v>7.8536272773099824E-5</v>
      </c>
      <c r="C96" s="27">
        <f>1+B96</f>
        <v>1.0000785362727731</v>
      </c>
      <c r="D96" s="27">
        <f>D95*C96</f>
        <v>1.0090161977636054</v>
      </c>
      <c r="E96" s="27">
        <f>MAX(E95,D96)</f>
        <v>1.0090161977636054</v>
      </c>
      <c r="F96" s="27">
        <f>D96/E96-1</f>
        <v>0</v>
      </c>
    </row>
    <row r="97" spans="1:6" x14ac:dyDescent="0.3">
      <c r="A97" s="15">
        <f>A96+1</f>
        <v>46306</v>
      </c>
      <c r="B97" s="27">
        <f>INDEX(Serie!$K$5:$K$74,MATCH(A97&amp;"|"&amp;$B$8,Serie!$C$5:$C$74,0))</f>
        <v>7.8451289928560541E-5</v>
      </c>
      <c r="C97" s="27">
        <f>1+B97</f>
        <v>1.0000784512899286</v>
      </c>
      <c r="D97" s="27">
        <f>D96*C97</f>
        <v>1.0090953563858787</v>
      </c>
      <c r="E97" s="27">
        <f>MAX(E96,D97)</f>
        <v>1.0090953563858787</v>
      </c>
      <c r="F97" s="27">
        <f>D97/E97-1</f>
        <v>0</v>
      </c>
    </row>
    <row r="98" spans="1:6" x14ac:dyDescent="0.3">
      <c r="A98" s="15">
        <f>A97+1</f>
        <v>46307</v>
      </c>
      <c r="B98" s="27">
        <f>INDEX(Serie!$K$5:$K$74,MATCH(A98&amp;"|"&amp;$B$8,Serie!$C$5:$C$74,0))</f>
        <v>5.8228708559371345E-3</v>
      </c>
      <c r="C98" s="27">
        <f>1+B98</f>
        <v>1.0058228708559371</v>
      </c>
      <c r="D98" s="27">
        <f>D97*C98</f>
        <v>1.0149711883274395</v>
      </c>
      <c r="E98" s="27">
        <f>MAX(E97,D98)</f>
        <v>1.0149711883274395</v>
      </c>
      <c r="F98" s="27">
        <f>D98/E98-1</f>
        <v>0</v>
      </c>
    </row>
    <row r="101" spans="1:6" x14ac:dyDescent="0.3">
      <c r="A101" s="7" t="s">
        <v>389</v>
      </c>
    </row>
    <row r="102" spans="1:6" ht="26.4" x14ac:dyDescent="0.3">
      <c r="A102" s="8" t="s">
        <v>177</v>
      </c>
      <c r="B102" s="8" t="s">
        <v>382</v>
      </c>
      <c r="C102" s="8" t="s">
        <v>383</v>
      </c>
      <c r="D102" s="8" t="s">
        <v>384</v>
      </c>
      <c r="E102" s="8" t="s">
        <v>385</v>
      </c>
      <c r="F102" s="8" t="s">
        <v>362</v>
      </c>
    </row>
    <row r="103" spans="1:6" x14ac:dyDescent="0.3">
      <c r="A103" s="15">
        <f>$C$9</f>
        <v>46276</v>
      </c>
      <c r="B103" s="27">
        <f>INDEX(Serie!$K$5:$K$74,MATCH(A103&amp;"|"&amp;$B$9,Serie!$C$5:$C$74,0))</f>
        <v>0</v>
      </c>
      <c r="C103" s="27">
        <f t="shared" ref="C103:C136" si="20">1+B103</f>
        <v>1</v>
      </c>
      <c r="D103" s="27">
        <f>C103</f>
        <v>1</v>
      </c>
      <c r="E103" s="27">
        <f>MAX(1,D103)</f>
        <v>1</v>
      </c>
      <c r="F103" s="27">
        <f t="shared" ref="F103:F136" si="21">D103/E103-1</f>
        <v>0</v>
      </c>
    </row>
    <row r="104" spans="1:6" x14ac:dyDescent="0.3">
      <c r="A104" s="15">
        <f t="shared" ref="A104:A136" si="22">A103+1</f>
        <v>46277</v>
      </c>
      <c r="B104" s="27">
        <f>INDEX(Serie!$K$5:$K$74,MATCH(A104&amp;"|"&amp;$B$9,Serie!$C$5:$C$74,0))</f>
        <v>0</v>
      </c>
      <c r="C104" s="27">
        <f t="shared" si="20"/>
        <v>1</v>
      </c>
      <c r="D104" s="27">
        <f t="shared" ref="D104:D136" si="23">D103*C104</f>
        <v>1</v>
      </c>
      <c r="E104" s="27">
        <f t="shared" ref="E104:E136" si="24">MAX(E103,D104)</f>
        <v>1</v>
      </c>
      <c r="F104" s="27">
        <f t="shared" si="21"/>
        <v>0</v>
      </c>
    </row>
    <row r="105" spans="1:6" x14ac:dyDescent="0.3">
      <c r="A105" s="15">
        <f t="shared" si="22"/>
        <v>46278</v>
      </c>
      <c r="B105" s="27">
        <f>INDEX(Serie!$K$5:$K$74,MATCH(A105&amp;"|"&amp;$B$9,Serie!$C$5:$C$74,0))</f>
        <v>0</v>
      </c>
      <c r="C105" s="27">
        <f t="shared" si="20"/>
        <v>1</v>
      </c>
      <c r="D105" s="27">
        <f t="shared" si="23"/>
        <v>1</v>
      </c>
      <c r="E105" s="27">
        <f t="shared" si="24"/>
        <v>1</v>
      </c>
      <c r="F105" s="27">
        <f t="shared" si="21"/>
        <v>0</v>
      </c>
    </row>
    <row r="106" spans="1:6" x14ac:dyDescent="0.3">
      <c r="A106" s="15">
        <f t="shared" si="22"/>
        <v>46279</v>
      </c>
      <c r="B106" s="27">
        <f>INDEX(Serie!$K$5:$K$74,MATCH(A106&amp;"|"&amp;$B$9,Serie!$C$5:$C$74,0))</f>
        <v>-4.8167894016516444E-3</v>
      </c>
      <c r="C106" s="27">
        <f t="shared" si="20"/>
        <v>0.99518321059834836</v>
      </c>
      <c r="D106" s="27">
        <f t="shared" si="23"/>
        <v>0.99518321059834836</v>
      </c>
      <c r="E106" s="27">
        <f t="shared" si="24"/>
        <v>1</v>
      </c>
      <c r="F106" s="27">
        <f t="shared" si="21"/>
        <v>-4.8167894016516444E-3</v>
      </c>
    </row>
    <row r="107" spans="1:6" x14ac:dyDescent="0.3">
      <c r="A107" s="15">
        <f t="shared" si="22"/>
        <v>46280</v>
      </c>
      <c r="B107" s="27">
        <f>INDEX(Serie!$K$5:$K$74,MATCH(A107&amp;"|"&amp;$B$9,Serie!$C$5:$C$74,0))</f>
        <v>1.3056092843326983E-2</v>
      </c>
      <c r="C107" s="27">
        <f t="shared" si="20"/>
        <v>1.013056092843327</v>
      </c>
      <c r="D107" s="27">
        <f t="shared" si="23"/>
        <v>1.0081764149920407</v>
      </c>
      <c r="E107" s="27">
        <f t="shared" si="24"/>
        <v>1.0081764149920407</v>
      </c>
      <c r="F107" s="27">
        <f t="shared" si="21"/>
        <v>0</v>
      </c>
    </row>
    <row r="108" spans="1:6" x14ac:dyDescent="0.3">
      <c r="A108" s="15">
        <f t="shared" si="22"/>
        <v>46281</v>
      </c>
      <c r="B108" s="27">
        <f>INDEX(Serie!$K$5:$K$74,MATCH(A108&amp;"|"&amp;$B$9,Serie!$C$5:$C$74,0))</f>
        <v>0</v>
      </c>
      <c r="C108" s="27">
        <f t="shared" si="20"/>
        <v>1</v>
      </c>
      <c r="D108" s="27">
        <f t="shared" si="23"/>
        <v>1.0081764149920407</v>
      </c>
      <c r="E108" s="27">
        <f t="shared" si="24"/>
        <v>1.0081764149920407</v>
      </c>
      <c r="F108" s="27">
        <f t="shared" si="21"/>
        <v>0</v>
      </c>
    </row>
    <row r="109" spans="1:6" x14ac:dyDescent="0.3">
      <c r="A109" s="15">
        <f t="shared" si="22"/>
        <v>46282</v>
      </c>
      <c r="B109" s="27">
        <f>INDEX(Serie!$K$5:$K$74,MATCH(A109&amp;"|"&amp;$B$9,Serie!$C$5:$C$74,0))</f>
        <v>-2.5298329355608606E-2</v>
      </c>
      <c r="C109" s="27">
        <f t="shared" si="20"/>
        <v>0.97470167064439139</v>
      </c>
      <c r="D109" s="27">
        <f t="shared" si="23"/>
        <v>0.98267123599701534</v>
      </c>
      <c r="E109" s="27">
        <f t="shared" si="24"/>
        <v>1.0081764149920407</v>
      </c>
      <c r="F109" s="27">
        <f t="shared" si="21"/>
        <v>-2.5298329355608606E-2</v>
      </c>
    </row>
    <row r="110" spans="1:6" x14ac:dyDescent="0.3">
      <c r="A110" s="15">
        <f t="shared" si="22"/>
        <v>46283</v>
      </c>
      <c r="B110" s="27">
        <f>INDEX(Serie!$K$5:$K$74,MATCH(A110&amp;"|"&amp;$B$9,Serie!$C$5:$C$74,0))</f>
        <v>-3.3790401567091122E-2</v>
      </c>
      <c r="C110" s="27">
        <f t="shared" si="20"/>
        <v>0.96620959843290888</v>
      </c>
      <c r="D110" s="27">
        <f t="shared" si="23"/>
        <v>0.94946638032424646</v>
      </c>
      <c r="E110" s="27">
        <f t="shared" si="24"/>
        <v>1.0081764149920407</v>
      </c>
      <c r="F110" s="27">
        <f t="shared" si="21"/>
        <v>-5.8233890214797079E-2</v>
      </c>
    </row>
    <row r="111" spans="1:6" x14ac:dyDescent="0.3">
      <c r="A111" s="15">
        <f t="shared" si="22"/>
        <v>46284</v>
      </c>
      <c r="B111" s="27">
        <f>INDEX(Serie!$K$5:$K$74,MATCH(A111&amp;"|"&amp;$B$9,Serie!$C$5:$C$74,0))</f>
        <v>0</v>
      </c>
      <c r="C111" s="27">
        <f t="shared" si="20"/>
        <v>1</v>
      </c>
      <c r="D111" s="27">
        <f t="shared" si="23"/>
        <v>0.94946638032424646</v>
      </c>
      <c r="E111" s="27">
        <f t="shared" si="24"/>
        <v>1.0081764149920407</v>
      </c>
      <c r="F111" s="27">
        <f t="shared" si="21"/>
        <v>-5.8233890214797079E-2</v>
      </c>
    </row>
    <row r="112" spans="1:6" x14ac:dyDescent="0.3">
      <c r="A112" s="15">
        <f t="shared" si="22"/>
        <v>46285</v>
      </c>
      <c r="B112" s="27">
        <f>INDEX(Serie!$K$5:$K$74,MATCH(A112&amp;"|"&amp;$B$9,Serie!$C$5:$C$74,0))</f>
        <v>0</v>
      </c>
      <c r="C112" s="27">
        <f t="shared" si="20"/>
        <v>1</v>
      </c>
      <c r="D112" s="27">
        <f t="shared" si="23"/>
        <v>0.94946638032424646</v>
      </c>
      <c r="E112" s="27">
        <f t="shared" si="24"/>
        <v>1.0081764149920407</v>
      </c>
      <c r="F112" s="27">
        <f t="shared" si="21"/>
        <v>-5.8233890214797079E-2</v>
      </c>
    </row>
    <row r="113" spans="1:6" x14ac:dyDescent="0.3">
      <c r="A113" s="15">
        <f t="shared" si="22"/>
        <v>46286</v>
      </c>
      <c r="B113" s="27">
        <f>INDEX(Serie!$K$5:$K$74,MATCH(A113&amp;"|"&amp;$B$9,Serie!$C$5:$C$74,0))</f>
        <v>-3.3958438925494216E-2</v>
      </c>
      <c r="C113" s="27">
        <f t="shared" si="20"/>
        <v>0.96604156107450578</v>
      </c>
      <c r="D113" s="27">
        <f t="shared" si="23"/>
        <v>0.91722398423619544</v>
      </c>
      <c r="E113" s="27">
        <f t="shared" si="24"/>
        <v>1.0081764149920407</v>
      </c>
      <c r="F113" s="27">
        <f t="shared" si="21"/>
        <v>-9.0214797136038194E-2</v>
      </c>
    </row>
    <row r="114" spans="1:6" x14ac:dyDescent="0.3">
      <c r="A114" s="15">
        <f t="shared" si="22"/>
        <v>46287</v>
      </c>
      <c r="B114" s="27">
        <f>INDEX(Serie!$K$5:$K$74,MATCH(A114&amp;"|"&amp;$B$9,Serie!$C$5:$C$74,0))</f>
        <v>-3.305351521511013E-2</v>
      </c>
      <c r="C114" s="27">
        <f t="shared" si="20"/>
        <v>0.96694648478488987</v>
      </c>
      <c r="D114" s="27">
        <f t="shared" si="23"/>
        <v>0.88690650731758047</v>
      </c>
      <c r="E114" s="27">
        <f t="shared" si="24"/>
        <v>1.0081764149920407</v>
      </c>
      <c r="F114" s="27">
        <f t="shared" si="21"/>
        <v>-0.12028639618138426</v>
      </c>
    </row>
    <row r="115" spans="1:6" x14ac:dyDescent="0.3">
      <c r="A115" s="15">
        <f t="shared" si="22"/>
        <v>46288</v>
      </c>
      <c r="B115" s="27">
        <f>INDEX(Serie!$K$5:$K$74,MATCH(A115&amp;"|"&amp;$B$9,Serie!$C$5:$C$74,0))</f>
        <v>-1.8719479110146486E-2</v>
      </c>
      <c r="C115" s="27">
        <f t="shared" si="20"/>
        <v>0.98128052088985351</v>
      </c>
      <c r="D115" s="27">
        <f t="shared" si="23"/>
        <v>0.87030407948119604</v>
      </c>
      <c r="E115" s="27">
        <f t="shared" si="24"/>
        <v>1.0081764149920407</v>
      </c>
      <c r="F115" s="27">
        <f t="shared" si="21"/>
        <v>-0.13675417661097844</v>
      </c>
    </row>
    <row r="116" spans="1:6" x14ac:dyDescent="0.3">
      <c r="A116" s="15">
        <f t="shared" si="22"/>
        <v>46289</v>
      </c>
      <c r="B116" s="27">
        <f>INDEX(Serie!$K$5:$K$74,MATCH(A116&amp;"|"&amp;$B$9,Serie!$C$5:$C$74,0))</f>
        <v>2.6264860381531641E-2</v>
      </c>
      <c r="C116" s="27">
        <f t="shared" si="20"/>
        <v>1.0262648603815316</v>
      </c>
      <c r="D116" s="27">
        <f t="shared" si="23"/>
        <v>0.89316249461824704</v>
      </c>
      <c r="E116" s="27">
        <f t="shared" si="24"/>
        <v>1.0081764149920407</v>
      </c>
      <c r="F116" s="27">
        <f t="shared" si="21"/>
        <v>-0.11408114558472549</v>
      </c>
    </row>
    <row r="117" spans="1:6" x14ac:dyDescent="0.3">
      <c r="A117" s="15">
        <f t="shared" si="22"/>
        <v>46290</v>
      </c>
      <c r="B117" s="27">
        <f>INDEX(Serie!$K$5:$K$74,MATCH(A117&amp;"|"&amp;$B$9,Serie!$C$5:$C$74,0))</f>
        <v>3.6099137931034475E-2</v>
      </c>
      <c r="C117" s="27">
        <f t="shared" si="20"/>
        <v>1.0360991379310345</v>
      </c>
      <c r="D117" s="27">
        <f t="shared" si="23"/>
        <v>0.92540489070629794</v>
      </c>
      <c r="E117" s="27">
        <f t="shared" si="24"/>
        <v>1.0081764149920407</v>
      </c>
      <c r="F117" s="27">
        <f t="shared" si="21"/>
        <v>-8.2100238663484482E-2</v>
      </c>
    </row>
    <row r="118" spans="1:6" x14ac:dyDescent="0.3">
      <c r="A118" s="15">
        <f t="shared" si="22"/>
        <v>46291</v>
      </c>
      <c r="B118" s="27">
        <f>INDEX(Serie!$K$5:$K$74,MATCH(A118&amp;"|"&amp;$B$9,Serie!$C$5:$C$74,0))</f>
        <v>0</v>
      </c>
      <c r="C118" s="27">
        <f t="shared" si="20"/>
        <v>1</v>
      </c>
      <c r="D118" s="27">
        <f t="shared" si="23"/>
        <v>0.92540489070629794</v>
      </c>
      <c r="E118" s="27">
        <f t="shared" si="24"/>
        <v>1.0081764149920407</v>
      </c>
      <c r="F118" s="27">
        <f t="shared" si="21"/>
        <v>-8.2100238663484482E-2</v>
      </c>
    </row>
    <row r="119" spans="1:6" x14ac:dyDescent="0.3">
      <c r="A119" s="15">
        <f t="shared" si="22"/>
        <v>46292</v>
      </c>
      <c r="B119" s="27">
        <f>INDEX(Serie!$K$5:$K$74,MATCH(A119&amp;"|"&amp;$B$9,Serie!$C$5:$C$74,0))</f>
        <v>0</v>
      </c>
      <c r="C119" s="27">
        <f t="shared" si="20"/>
        <v>1</v>
      </c>
      <c r="D119" s="27">
        <f t="shared" si="23"/>
        <v>0.92540489070629794</v>
      </c>
      <c r="E119" s="27">
        <f t="shared" si="24"/>
        <v>1.0081764149920407</v>
      </c>
      <c r="F119" s="27">
        <f t="shared" si="21"/>
        <v>-8.2100238663484482E-2</v>
      </c>
    </row>
    <row r="120" spans="1:6" x14ac:dyDescent="0.3">
      <c r="A120" s="15">
        <f t="shared" si="22"/>
        <v>46293</v>
      </c>
      <c r="B120" s="27">
        <f>INDEX(Serie!$K$5:$K$74,MATCH(A120&amp;"|"&amp;$B$9,Serie!$C$5:$C$74,0))</f>
        <v>3.6921476859074431E-2</v>
      </c>
      <c r="C120" s="27">
        <f t="shared" si="20"/>
        <v>1.0369214768590744</v>
      </c>
      <c r="D120" s="27">
        <f t="shared" si="23"/>
        <v>0.95957220596378479</v>
      </c>
      <c r="E120" s="27">
        <f t="shared" si="24"/>
        <v>1.0081764149920407</v>
      </c>
      <c r="F120" s="27">
        <f t="shared" si="21"/>
        <v>-4.8210023866348428E-2</v>
      </c>
    </row>
    <row r="121" spans="1:6" x14ac:dyDescent="0.3">
      <c r="A121" s="15">
        <f t="shared" si="22"/>
        <v>46294</v>
      </c>
      <c r="B121" s="27">
        <f>INDEX(Serie!$K$5:$K$74,MATCH(A121&amp;"|"&amp;$B$9,Serie!$C$5:$C$74,0))</f>
        <v>3.5606820461384192E-2</v>
      </c>
      <c r="C121" s="27">
        <f t="shared" si="20"/>
        <v>1.0356068204613842</v>
      </c>
      <c r="D121" s="27">
        <f t="shared" si="23"/>
        <v>0.99373952122127163</v>
      </c>
      <c r="E121" s="27">
        <f t="shared" si="24"/>
        <v>1.0081764149920407</v>
      </c>
      <c r="F121" s="27">
        <f t="shared" si="21"/>
        <v>-1.4319809069212375E-2</v>
      </c>
    </row>
    <row r="122" spans="1:6" x14ac:dyDescent="0.3">
      <c r="A122" s="15">
        <f t="shared" si="22"/>
        <v>46295</v>
      </c>
      <c r="B122" s="27">
        <f>INDEX(Serie!$K$5:$K$74,MATCH(A122&amp;"|"&amp;$B$9,Serie!$C$5:$C$74,0))</f>
        <v>3.7288135593220417E-2</v>
      </c>
      <c r="C122" s="27">
        <f t="shared" si="20"/>
        <v>1.0372881355932204</v>
      </c>
      <c r="D122" s="27">
        <f t="shared" si="23"/>
        <v>1.0307942152329124</v>
      </c>
      <c r="E122" s="27">
        <f t="shared" si="24"/>
        <v>1.0307942152329124</v>
      </c>
      <c r="F122" s="27">
        <f t="shared" si="21"/>
        <v>0</v>
      </c>
    </row>
    <row r="123" spans="1:6" x14ac:dyDescent="0.3">
      <c r="A123" s="15">
        <f t="shared" si="22"/>
        <v>46296</v>
      </c>
      <c r="B123" s="27">
        <f>INDEX(Serie!$K$5:$K$74,MATCH(A123&amp;"|"&amp;$B$9,Serie!$C$5:$C$74,0))</f>
        <v>-1.6339869281045805E-2</v>
      </c>
      <c r="C123" s="27">
        <f t="shared" si="20"/>
        <v>0.9836601307189542</v>
      </c>
      <c r="D123" s="27">
        <f t="shared" si="23"/>
        <v>1.0139511725003485</v>
      </c>
      <c r="E123" s="27">
        <f t="shared" si="24"/>
        <v>1.0307942152329124</v>
      </c>
      <c r="F123" s="27">
        <f t="shared" si="21"/>
        <v>-1.6339869281045694E-2</v>
      </c>
    </row>
    <row r="124" spans="1:6" x14ac:dyDescent="0.3">
      <c r="A124" s="15">
        <f t="shared" si="22"/>
        <v>46297</v>
      </c>
      <c r="B124" s="27">
        <f>INDEX(Serie!$K$5:$K$74,MATCH(A124&amp;"|"&amp;$B$9,Serie!$C$5:$C$74,0))</f>
        <v>-1.3763644992880852E-2</v>
      </c>
      <c r="C124" s="27">
        <f t="shared" si="20"/>
        <v>0.98623635500711915</v>
      </c>
      <c r="D124" s="27">
        <f t="shared" si="23"/>
        <v>0.99999550852193841</v>
      </c>
      <c r="E124" s="27">
        <f t="shared" si="24"/>
        <v>1.0307942152329124</v>
      </c>
      <c r="F124" s="27">
        <f t="shared" si="21"/>
        <v>-2.9878618113912125E-2</v>
      </c>
    </row>
    <row r="125" spans="1:6" x14ac:dyDescent="0.3">
      <c r="A125" s="15">
        <f t="shared" si="22"/>
        <v>46298</v>
      </c>
      <c r="B125" s="27">
        <f>INDEX(Serie!$K$5:$K$74,MATCH(A125&amp;"|"&amp;$B$9,Serie!$C$5:$C$74,0))</f>
        <v>0</v>
      </c>
      <c r="C125" s="27">
        <f t="shared" si="20"/>
        <v>1</v>
      </c>
      <c r="D125" s="27">
        <f t="shared" si="23"/>
        <v>0.99999550852193841</v>
      </c>
      <c r="E125" s="27">
        <f t="shared" si="24"/>
        <v>1.0307942152329124</v>
      </c>
      <c r="F125" s="27">
        <f t="shared" si="21"/>
        <v>-2.9878618113912125E-2</v>
      </c>
    </row>
    <row r="126" spans="1:6" x14ac:dyDescent="0.3">
      <c r="A126" s="15">
        <f t="shared" si="22"/>
        <v>46299</v>
      </c>
      <c r="B126" s="27">
        <f>INDEX(Serie!$K$5:$K$74,MATCH(A126&amp;"|"&amp;$B$9,Serie!$C$5:$C$74,0))</f>
        <v>0</v>
      </c>
      <c r="C126" s="27">
        <f t="shared" si="20"/>
        <v>1</v>
      </c>
      <c r="D126" s="27">
        <f t="shared" si="23"/>
        <v>0.99999550852193841</v>
      </c>
      <c r="E126" s="27">
        <f t="shared" si="24"/>
        <v>1.0307942152329124</v>
      </c>
      <c r="F126" s="27">
        <f t="shared" si="21"/>
        <v>-2.9878618113912125E-2</v>
      </c>
    </row>
    <row r="127" spans="1:6" x14ac:dyDescent="0.3">
      <c r="A127" s="15">
        <f t="shared" si="22"/>
        <v>46300</v>
      </c>
      <c r="B127" s="27">
        <f>INDEX(Serie!$K$5:$K$74,MATCH(A127&amp;"|"&amp;$B$9,Serie!$C$5:$C$74,0))</f>
        <v>-2.1655437921077936E-2</v>
      </c>
      <c r="C127" s="27">
        <f t="shared" si="20"/>
        <v>0.97834456207892206</v>
      </c>
      <c r="D127" s="27">
        <f t="shared" si="23"/>
        <v>0.97834016786578482</v>
      </c>
      <c r="E127" s="27">
        <f t="shared" si="24"/>
        <v>1.0307942152329124</v>
      </c>
      <c r="F127" s="27">
        <f t="shared" si="21"/>
        <v>-5.08870214752567E-2</v>
      </c>
    </row>
    <row r="128" spans="1:6" x14ac:dyDescent="0.3">
      <c r="A128" s="15">
        <f t="shared" si="22"/>
        <v>46301</v>
      </c>
      <c r="B128" s="27">
        <f>INDEX(Serie!$K$5:$K$74,MATCH(A128&amp;"|"&amp;$B$9,Serie!$C$5:$C$74,0))</f>
        <v>1.1313330054107285E-2</v>
      </c>
      <c r="C128" s="27">
        <f t="shared" si="20"/>
        <v>1.0113133300541073</v>
      </c>
      <c r="D128" s="27">
        <f t="shared" si="23"/>
        <v>0.98940845309004122</v>
      </c>
      <c r="E128" s="27">
        <f t="shared" si="24"/>
        <v>1.0307942152329124</v>
      </c>
      <c r="F128" s="27">
        <f t="shared" si="21"/>
        <v>-4.0149393090569307E-2</v>
      </c>
    </row>
    <row r="129" spans="1:6" x14ac:dyDescent="0.3">
      <c r="A129" s="15">
        <f t="shared" si="22"/>
        <v>46302</v>
      </c>
      <c r="B129" s="27">
        <f>INDEX(Serie!$K$5:$K$74,MATCH(A129&amp;"|"&amp;$B$9,Serie!$C$5:$C$74,0))</f>
        <v>2.0914396887159459E-2</v>
      </c>
      <c r="C129" s="27">
        <f t="shared" si="20"/>
        <v>1.0209143968871595</v>
      </c>
      <c r="D129" s="27">
        <f t="shared" si="23"/>
        <v>1.0101013341614768</v>
      </c>
      <c r="E129" s="27">
        <f t="shared" si="24"/>
        <v>1.0307942152329124</v>
      </c>
      <c r="F129" s="27">
        <f t="shared" si="21"/>
        <v>-2.0074696545284598E-2</v>
      </c>
    </row>
    <row r="130" spans="1:6" x14ac:dyDescent="0.3">
      <c r="A130" s="15">
        <f t="shared" si="22"/>
        <v>46303</v>
      </c>
      <c r="B130" s="27">
        <f>INDEX(Serie!$K$5:$K$74,MATCH(A130&amp;"|"&amp;$B$9,Serie!$C$5:$C$74,0))</f>
        <v>2.3344449737970452E-2</v>
      </c>
      <c r="C130" s="27">
        <f t="shared" si="20"/>
        <v>1.0233444497379705</v>
      </c>
      <c r="D130" s="27">
        <f t="shared" si="23"/>
        <v>1.0336815939870663</v>
      </c>
      <c r="E130" s="27">
        <f t="shared" si="24"/>
        <v>1.0336815939870663</v>
      </c>
      <c r="F130" s="27">
        <f t="shared" si="21"/>
        <v>0</v>
      </c>
    </row>
    <row r="131" spans="1:6" x14ac:dyDescent="0.3">
      <c r="A131" s="15">
        <f t="shared" si="22"/>
        <v>46304</v>
      </c>
      <c r="B131" s="27">
        <f>INDEX(Serie!$K$5:$K$74,MATCH(A131&amp;"|"&amp;$B$9,Serie!$C$5:$C$74,0))</f>
        <v>1.6294227188081933E-2</v>
      </c>
      <c r="C131" s="27">
        <f t="shared" si="20"/>
        <v>1.0162942271880819</v>
      </c>
      <c r="D131" s="27">
        <f t="shared" si="23"/>
        <v>1.0505246367196301</v>
      </c>
      <c r="E131" s="27">
        <f t="shared" si="24"/>
        <v>1.0505246367196301</v>
      </c>
      <c r="F131" s="27">
        <f t="shared" si="21"/>
        <v>0</v>
      </c>
    </row>
    <row r="132" spans="1:6" x14ac:dyDescent="0.3">
      <c r="A132" s="15">
        <f t="shared" si="22"/>
        <v>46305</v>
      </c>
      <c r="B132" s="27">
        <f>INDEX(Serie!$K$5:$K$74,MATCH(A132&amp;"|"&amp;$B$9,Serie!$C$5:$C$74,0))</f>
        <v>0</v>
      </c>
      <c r="C132" s="27">
        <f t="shared" si="20"/>
        <v>1</v>
      </c>
      <c r="D132" s="27">
        <f t="shared" si="23"/>
        <v>1.0505246367196301</v>
      </c>
      <c r="E132" s="27">
        <f t="shared" si="24"/>
        <v>1.0505246367196301</v>
      </c>
      <c r="F132" s="27">
        <f t="shared" si="21"/>
        <v>0</v>
      </c>
    </row>
    <row r="133" spans="1:6" x14ac:dyDescent="0.3">
      <c r="A133" s="15">
        <f t="shared" si="22"/>
        <v>46306</v>
      </c>
      <c r="B133" s="27">
        <f>INDEX(Serie!$K$5:$K$74,MATCH(A133&amp;"|"&amp;$B$9,Serie!$C$5:$C$74,0))</f>
        <v>0</v>
      </c>
      <c r="C133" s="27">
        <f t="shared" si="20"/>
        <v>1</v>
      </c>
      <c r="D133" s="27">
        <f t="shared" si="23"/>
        <v>1.0505246367196301</v>
      </c>
      <c r="E133" s="27">
        <f t="shared" si="24"/>
        <v>1.0505246367196301</v>
      </c>
      <c r="F133" s="27">
        <f t="shared" si="21"/>
        <v>0</v>
      </c>
    </row>
    <row r="134" spans="1:6" x14ac:dyDescent="0.3">
      <c r="A134" s="15">
        <f t="shared" si="22"/>
        <v>46307</v>
      </c>
      <c r="B134" s="27">
        <f>INDEX(Serie!$K$5:$K$74,MATCH(A134&amp;"|"&amp;$B$9,Serie!$C$5:$C$74,0))</f>
        <v>1.0535959688501961E-2</v>
      </c>
      <c r="C134" s="27">
        <f t="shared" si="20"/>
        <v>1.010535959688502</v>
      </c>
      <c r="D134" s="27">
        <f t="shared" si="23"/>
        <v>1.0615929219438864</v>
      </c>
      <c r="E134" s="27">
        <f t="shared" si="24"/>
        <v>1.0615929219438864</v>
      </c>
      <c r="F134" s="27">
        <f t="shared" si="21"/>
        <v>0</v>
      </c>
    </row>
    <row r="135" spans="1:6" x14ac:dyDescent="0.3">
      <c r="A135" s="15">
        <f t="shared" si="22"/>
        <v>46308</v>
      </c>
      <c r="B135" s="27">
        <f>INDEX(Serie!$K$5:$K$74,MATCH(A135&amp;"|"&amp;$B$9,Serie!$C$5:$C$74,0))</f>
        <v>-9.9728014505893192E-3</v>
      </c>
      <c r="C135" s="27">
        <f t="shared" si="20"/>
        <v>0.99002719854941068</v>
      </c>
      <c r="D135" s="27">
        <f t="shared" si="23"/>
        <v>1.051005866511989</v>
      </c>
      <c r="E135" s="27">
        <f t="shared" si="24"/>
        <v>1.0615929219438864</v>
      </c>
      <c r="F135" s="27">
        <f t="shared" si="21"/>
        <v>-9.9728014505894302E-3</v>
      </c>
    </row>
    <row r="136" spans="1:6" x14ac:dyDescent="0.3">
      <c r="A136" s="15">
        <f t="shared" si="22"/>
        <v>46309</v>
      </c>
      <c r="B136" s="27">
        <f>INDEX(Serie!$K$5:$K$74,MATCH(A136&amp;"|"&amp;$B$9,Serie!$C$5:$C$74,0))</f>
        <v>1.6941391941391881E-2</v>
      </c>
      <c r="C136" s="27">
        <f t="shared" si="20"/>
        <v>1.0169413919413919</v>
      </c>
      <c r="D136" s="27">
        <f t="shared" si="23"/>
        <v>1.0688113688292709</v>
      </c>
      <c r="E136" s="27">
        <f t="shared" si="24"/>
        <v>1.0688113688292709</v>
      </c>
      <c r="F136" s="27">
        <f t="shared" si="21"/>
        <v>0</v>
      </c>
    </row>
    <row r="139" spans="1:6" x14ac:dyDescent="0.3">
      <c r="A139" s="7" t="s">
        <v>390</v>
      </c>
    </row>
    <row r="140" spans="1:6" ht="26.4" x14ac:dyDescent="0.3">
      <c r="A140" s="8" t="s">
        <v>177</v>
      </c>
      <c r="B140" s="8" t="s">
        <v>382</v>
      </c>
      <c r="C140" s="8" t="s">
        <v>383</v>
      </c>
      <c r="D140" s="8" t="s">
        <v>384</v>
      </c>
      <c r="E140" s="8" t="s">
        <v>385</v>
      </c>
      <c r="F140" s="8" t="s">
        <v>362</v>
      </c>
    </row>
    <row r="141" spans="1:6" x14ac:dyDescent="0.3">
      <c r="A141" s="15">
        <f>$C$10</f>
        <v>46296</v>
      </c>
      <c r="B141" s="27">
        <f>INDEX(Serie!$K$5:$K$74,MATCH(A141&amp;"|"&amp;$B$10,Serie!$C$5:$C$74,0))</f>
        <v>-1.6339869281045805E-2</v>
      </c>
      <c r="C141" s="27">
        <f t="shared" ref="C141:C154" si="25">1+B141</f>
        <v>0.9836601307189542</v>
      </c>
      <c r="D141" s="27">
        <f>C141</f>
        <v>0.9836601307189542</v>
      </c>
      <c r="E141" s="27">
        <f>MAX(1,D141)</f>
        <v>1</v>
      </c>
      <c r="F141" s="27">
        <f t="shared" ref="F141:F154" si="26">D141/E141-1</f>
        <v>-1.6339869281045805E-2</v>
      </c>
    </row>
    <row r="142" spans="1:6" x14ac:dyDescent="0.3">
      <c r="A142" s="15">
        <f t="shared" ref="A142:A154" si="27">A141+1</f>
        <v>46297</v>
      </c>
      <c r="B142" s="27">
        <f>INDEX(Serie!$K$5:$K$74,MATCH(A142&amp;"|"&amp;$B$10,Serie!$C$5:$C$74,0))</f>
        <v>-1.3763644992880852E-2</v>
      </c>
      <c r="C142" s="27">
        <f t="shared" si="25"/>
        <v>0.98623635500711915</v>
      </c>
      <c r="D142" s="27">
        <f t="shared" ref="D142:D154" si="28">D141*C142</f>
        <v>0.97012138188608776</v>
      </c>
      <c r="E142" s="27">
        <f t="shared" ref="E142:E154" si="29">MAX(E141,D142)</f>
        <v>1</v>
      </c>
      <c r="F142" s="27">
        <f t="shared" si="26"/>
        <v>-2.9878618113912236E-2</v>
      </c>
    </row>
    <row r="143" spans="1:6" x14ac:dyDescent="0.3">
      <c r="A143" s="15">
        <f t="shared" si="27"/>
        <v>46298</v>
      </c>
      <c r="B143" s="27">
        <f>INDEX(Serie!$K$5:$K$74,MATCH(A143&amp;"|"&amp;$B$10,Serie!$C$5:$C$74,0))</f>
        <v>0</v>
      </c>
      <c r="C143" s="27">
        <f t="shared" si="25"/>
        <v>1</v>
      </c>
      <c r="D143" s="27">
        <f t="shared" si="28"/>
        <v>0.97012138188608776</v>
      </c>
      <c r="E143" s="27">
        <f t="shared" si="29"/>
        <v>1</v>
      </c>
      <c r="F143" s="27">
        <f t="shared" si="26"/>
        <v>-2.9878618113912236E-2</v>
      </c>
    </row>
    <row r="144" spans="1:6" x14ac:dyDescent="0.3">
      <c r="A144" s="15">
        <f t="shared" si="27"/>
        <v>46299</v>
      </c>
      <c r="B144" s="27">
        <f>INDEX(Serie!$K$5:$K$74,MATCH(A144&amp;"|"&amp;$B$10,Serie!$C$5:$C$74,0))</f>
        <v>0</v>
      </c>
      <c r="C144" s="27">
        <f t="shared" si="25"/>
        <v>1</v>
      </c>
      <c r="D144" s="27">
        <f t="shared" si="28"/>
        <v>0.97012138188608776</v>
      </c>
      <c r="E144" s="27">
        <f t="shared" si="29"/>
        <v>1</v>
      </c>
      <c r="F144" s="27">
        <f t="shared" si="26"/>
        <v>-2.9878618113912236E-2</v>
      </c>
    </row>
    <row r="145" spans="1:6" x14ac:dyDescent="0.3">
      <c r="A145" s="15">
        <f t="shared" si="27"/>
        <v>46300</v>
      </c>
      <c r="B145" s="27">
        <f>INDEX(Serie!$K$5:$K$74,MATCH(A145&amp;"|"&amp;$B$10,Serie!$C$5:$C$74,0))</f>
        <v>-2.1655437921077936E-2</v>
      </c>
      <c r="C145" s="27">
        <f t="shared" si="25"/>
        <v>0.97834456207892206</v>
      </c>
      <c r="D145" s="27">
        <f t="shared" si="28"/>
        <v>0.9491129785247433</v>
      </c>
      <c r="E145" s="27">
        <f t="shared" si="29"/>
        <v>1</v>
      </c>
      <c r="F145" s="27">
        <f t="shared" si="26"/>
        <v>-5.08870214752567E-2</v>
      </c>
    </row>
    <row r="146" spans="1:6" x14ac:dyDescent="0.3">
      <c r="A146" s="15">
        <f t="shared" si="27"/>
        <v>46301</v>
      </c>
      <c r="B146" s="27">
        <f>INDEX(Serie!$K$5:$K$74,MATCH(A146&amp;"|"&amp;$B$10,Serie!$C$5:$C$74,0))</f>
        <v>1.1313330054107285E-2</v>
      </c>
      <c r="C146" s="27">
        <f t="shared" si="25"/>
        <v>1.0113133300541073</v>
      </c>
      <c r="D146" s="27">
        <f t="shared" si="28"/>
        <v>0.95985060690943058</v>
      </c>
      <c r="E146" s="27">
        <f t="shared" si="29"/>
        <v>1</v>
      </c>
      <c r="F146" s="27">
        <f t="shared" si="26"/>
        <v>-4.0149393090569419E-2</v>
      </c>
    </row>
    <row r="147" spans="1:6" x14ac:dyDescent="0.3">
      <c r="A147" s="15">
        <f t="shared" si="27"/>
        <v>46302</v>
      </c>
      <c r="B147" s="27">
        <f>INDEX(Serie!$K$5:$K$74,MATCH(A147&amp;"|"&amp;$B$10,Serie!$C$5:$C$74,0))</f>
        <v>2.0914396887159459E-2</v>
      </c>
      <c r="C147" s="27">
        <f t="shared" si="25"/>
        <v>1.0209143968871595</v>
      </c>
      <c r="D147" s="27">
        <f t="shared" si="28"/>
        <v>0.97992530345471529</v>
      </c>
      <c r="E147" s="27">
        <f t="shared" si="29"/>
        <v>1</v>
      </c>
      <c r="F147" s="27">
        <f t="shared" si="26"/>
        <v>-2.0074696545284709E-2</v>
      </c>
    </row>
    <row r="148" spans="1:6" x14ac:dyDescent="0.3">
      <c r="A148" s="15">
        <f t="shared" si="27"/>
        <v>46303</v>
      </c>
      <c r="B148" s="27">
        <f>INDEX(Serie!$K$5:$K$74,MATCH(A148&amp;"|"&amp;$B$10,Serie!$C$5:$C$74,0))</f>
        <v>2.3344449737970452E-2</v>
      </c>
      <c r="C148" s="27">
        <f t="shared" si="25"/>
        <v>1.0233444497379705</v>
      </c>
      <c r="D148" s="27">
        <f t="shared" si="28"/>
        <v>1.0028011204481793</v>
      </c>
      <c r="E148" s="27">
        <f t="shared" si="29"/>
        <v>1.0028011204481793</v>
      </c>
      <c r="F148" s="27">
        <f t="shared" si="26"/>
        <v>0</v>
      </c>
    </row>
    <row r="149" spans="1:6" x14ac:dyDescent="0.3">
      <c r="A149" s="15">
        <f t="shared" si="27"/>
        <v>46304</v>
      </c>
      <c r="B149" s="27">
        <f>INDEX(Serie!$K$5:$K$74,MATCH(A149&amp;"|"&amp;$B$10,Serie!$C$5:$C$74,0))</f>
        <v>1.6294227188081933E-2</v>
      </c>
      <c r="C149" s="27">
        <f t="shared" si="25"/>
        <v>1.0162942271880819</v>
      </c>
      <c r="D149" s="27">
        <f t="shared" si="28"/>
        <v>1.019140989729225</v>
      </c>
      <c r="E149" s="27">
        <f t="shared" si="29"/>
        <v>1.019140989729225</v>
      </c>
      <c r="F149" s="27">
        <f t="shared" si="26"/>
        <v>0</v>
      </c>
    </row>
    <row r="150" spans="1:6" x14ac:dyDescent="0.3">
      <c r="A150" s="15">
        <f t="shared" si="27"/>
        <v>46305</v>
      </c>
      <c r="B150" s="27">
        <f>INDEX(Serie!$K$5:$K$74,MATCH(A150&amp;"|"&amp;$B$10,Serie!$C$5:$C$74,0))</f>
        <v>0</v>
      </c>
      <c r="C150" s="27">
        <f t="shared" si="25"/>
        <v>1</v>
      </c>
      <c r="D150" s="27">
        <f t="shared" si="28"/>
        <v>1.019140989729225</v>
      </c>
      <c r="E150" s="27">
        <f t="shared" si="29"/>
        <v>1.019140989729225</v>
      </c>
      <c r="F150" s="27">
        <f t="shared" si="26"/>
        <v>0</v>
      </c>
    </row>
    <row r="151" spans="1:6" x14ac:dyDescent="0.3">
      <c r="A151" s="15">
        <f t="shared" si="27"/>
        <v>46306</v>
      </c>
      <c r="B151" s="27">
        <f>INDEX(Serie!$K$5:$K$74,MATCH(A151&amp;"|"&amp;$B$10,Serie!$C$5:$C$74,0))</f>
        <v>0</v>
      </c>
      <c r="C151" s="27">
        <f t="shared" si="25"/>
        <v>1</v>
      </c>
      <c r="D151" s="27">
        <f t="shared" si="28"/>
        <v>1.019140989729225</v>
      </c>
      <c r="E151" s="27">
        <f t="shared" si="29"/>
        <v>1.019140989729225</v>
      </c>
      <c r="F151" s="27">
        <f t="shared" si="26"/>
        <v>0</v>
      </c>
    </row>
    <row r="152" spans="1:6" x14ac:dyDescent="0.3">
      <c r="A152" s="15">
        <f t="shared" si="27"/>
        <v>46307</v>
      </c>
      <c r="B152" s="27">
        <f>INDEX(Serie!$K$5:$K$74,MATCH(A152&amp;"|"&amp;$B$10,Serie!$C$5:$C$74,0))</f>
        <v>1.0535959688501961E-2</v>
      </c>
      <c r="C152" s="27">
        <f t="shared" si="25"/>
        <v>1.010535959688502</v>
      </c>
      <c r="D152" s="27">
        <f t="shared" si="28"/>
        <v>1.0298786181139121</v>
      </c>
      <c r="E152" s="27">
        <f t="shared" si="29"/>
        <v>1.0298786181139121</v>
      </c>
      <c r="F152" s="27">
        <f t="shared" si="26"/>
        <v>0</v>
      </c>
    </row>
    <row r="153" spans="1:6" x14ac:dyDescent="0.3">
      <c r="A153" s="15">
        <f t="shared" si="27"/>
        <v>46308</v>
      </c>
      <c r="B153" s="27">
        <f>INDEX(Serie!$K$5:$K$74,MATCH(A153&amp;"|"&amp;$B$10,Serie!$C$5:$C$74,0))</f>
        <v>-9.9728014505893192E-3</v>
      </c>
      <c r="C153" s="27">
        <f t="shared" si="25"/>
        <v>0.99002719854941068</v>
      </c>
      <c r="D153" s="27">
        <f t="shared" si="28"/>
        <v>1.0196078431372548</v>
      </c>
      <c r="E153" s="27">
        <f t="shared" si="29"/>
        <v>1.0298786181139121</v>
      </c>
      <c r="F153" s="27">
        <f t="shared" si="26"/>
        <v>-9.9728014505893192E-3</v>
      </c>
    </row>
    <row r="154" spans="1:6" x14ac:dyDescent="0.3">
      <c r="A154" s="15">
        <f t="shared" si="27"/>
        <v>46309</v>
      </c>
      <c r="B154" s="27">
        <f>INDEX(Serie!$K$5:$K$74,MATCH(A154&amp;"|"&amp;$B$10,Serie!$C$5:$C$74,0))</f>
        <v>1.6941391941391881E-2</v>
      </c>
      <c r="C154" s="27">
        <f t="shared" si="25"/>
        <v>1.0169413919413919</v>
      </c>
      <c r="D154" s="27">
        <f t="shared" si="28"/>
        <v>1.0368814192343603</v>
      </c>
      <c r="E154" s="27">
        <f t="shared" si="29"/>
        <v>1.0368814192343603</v>
      </c>
      <c r="F154" s="27">
        <f t="shared" si="26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22" customWidth="1"/>
    <col min="3" max="6" width="12" customWidth="1"/>
    <col min="7" max="7" width="9" customWidth="1"/>
    <col min="8" max="8" width="12" customWidth="1"/>
    <col min="9" max="9" width="9" customWidth="1"/>
    <col min="10" max="11" width="10" customWidth="1"/>
    <col min="12" max="13" width="12" customWidth="1"/>
    <col min="14" max="14" width="40" customWidth="1"/>
    <col min="15" max="15" width="24" customWidth="1"/>
    <col min="16" max="16" width="10" customWidth="1"/>
    <col min="17" max="19" width="12" customWidth="1"/>
    <col min="20" max="35" width="11" customWidth="1"/>
    <col min="36" max="37" width="12" customWidth="1"/>
    <col min="38" max="38" width="50" customWidth="1"/>
    <col min="39" max="41" width="12" customWidth="1"/>
  </cols>
  <sheetData>
    <row r="1" spans="1:41" ht="17.399999999999999" x14ac:dyDescent="0.3">
      <c r="A1" s="5" t="s">
        <v>391</v>
      </c>
    </row>
    <row r="2" spans="1:41" x14ac:dyDescent="0.3">
      <c r="A2" s="6" t="s">
        <v>392</v>
      </c>
    </row>
    <row r="3" spans="1:41" x14ac:dyDescent="0.3">
      <c r="S3" s="6" t="s">
        <v>393</v>
      </c>
      <c r="T3" s="15">
        <f>Transacciones!$F$5</f>
        <v>46275</v>
      </c>
      <c r="U3" s="15">
        <f>Transacciones!$F$6</f>
        <v>46275</v>
      </c>
      <c r="V3" s="15">
        <f>Transacciones!$F$7</f>
        <v>46275</v>
      </c>
      <c r="W3" s="15">
        <f>Transacciones!$F$8</f>
        <v>46275</v>
      </c>
      <c r="X3" s="15">
        <f>Transacciones!$F$9</f>
        <v>46276</v>
      </c>
      <c r="Y3" s="15">
        <f>Transacciones!$F$10</f>
        <v>46279</v>
      </c>
      <c r="Z3" s="15">
        <f>Transacciones!$F$11</f>
        <v>46279</v>
      </c>
      <c r="AA3" s="15">
        <f>Transacciones!$F$12</f>
        <v>46282</v>
      </c>
      <c r="AB3" s="15">
        <f>Transacciones!$F$13</f>
        <v>46282</v>
      </c>
      <c r="AC3" s="15">
        <f>Transacciones!$F$14</f>
        <v>46287</v>
      </c>
      <c r="AD3" s="15">
        <f>Transacciones!$F$15</f>
        <v>46290</v>
      </c>
      <c r="AE3" s="15">
        <f>Transacciones!$F$16</f>
        <v>46290</v>
      </c>
      <c r="AF3" s="15">
        <f>Transacciones!$F$17</f>
        <v>46296</v>
      </c>
      <c r="AG3" s="15">
        <f>Transacciones!$F$18</f>
        <v>46297</v>
      </c>
      <c r="AH3" s="15">
        <f>Transacciones!$F$19</f>
        <v>46300</v>
      </c>
      <c r="AI3" s="15">
        <f>Transacciones!$F$20</f>
        <v>46303</v>
      </c>
    </row>
    <row r="4" spans="1:41" ht="66" x14ac:dyDescent="0.3">
      <c r="A4" s="8" t="s">
        <v>394</v>
      </c>
      <c r="B4" s="8" t="s">
        <v>395</v>
      </c>
      <c r="C4" s="8" t="s">
        <v>312</v>
      </c>
      <c r="D4" s="8" t="s">
        <v>89</v>
      </c>
      <c r="E4" s="8" t="s">
        <v>203</v>
      </c>
      <c r="F4" s="8" t="s">
        <v>204</v>
      </c>
      <c r="G4" s="8" t="s">
        <v>179</v>
      </c>
      <c r="H4" s="8" t="s">
        <v>205</v>
      </c>
      <c r="I4" s="8" t="s">
        <v>206</v>
      </c>
      <c r="J4" s="8" t="s">
        <v>207</v>
      </c>
      <c r="K4" s="8" t="s">
        <v>208</v>
      </c>
      <c r="L4" s="8" t="s">
        <v>396</v>
      </c>
      <c r="M4" s="8" t="s">
        <v>397</v>
      </c>
      <c r="N4" s="8" t="s">
        <v>398</v>
      </c>
      <c r="O4" s="8" t="s">
        <v>216</v>
      </c>
      <c r="P4" s="8" t="s">
        <v>210</v>
      </c>
      <c r="Q4" s="8" t="s">
        <v>399</v>
      </c>
      <c r="R4" s="8" t="s">
        <v>400</v>
      </c>
      <c r="S4" s="8" t="s">
        <v>401</v>
      </c>
      <c r="T4" s="28" t="str">
        <f>Transacciones!$A$5</f>
        <v>T01</v>
      </c>
      <c r="U4" s="28" t="str">
        <f>Transacciones!$A$6</f>
        <v>T02</v>
      </c>
      <c r="V4" s="28" t="str">
        <f>Transacciones!$A$7</f>
        <v>T03</v>
      </c>
      <c r="W4" s="28" t="str">
        <f>Transacciones!$A$8</f>
        <v>T04</v>
      </c>
      <c r="X4" s="28" t="str">
        <f>Transacciones!$A$9</f>
        <v>T05</v>
      </c>
      <c r="Y4" s="28" t="str">
        <f>Transacciones!$A$10</f>
        <v>T06</v>
      </c>
      <c r="Z4" s="28" t="str">
        <f>Transacciones!$A$11</f>
        <v>T07</v>
      </c>
      <c r="AA4" s="28" t="str">
        <f>Transacciones!$A$12</f>
        <v>T08</v>
      </c>
      <c r="AB4" s="28" t="str">
        <f>Transacciones!$A$13</f>
        <v>T09</v>
      </c>
      <c r="AC4" s="28" t="str">
        <f>Transacciones!$A$14</f>
        <v>T10</v>
      </c>
      <c r="AD4" s="28" t="str">
        <f>Transacciones!$A$15</f>
        <v>T11</v>
      </c>
      <c r="AE4" s="28" t="str">
        <f>Transacciones!$A$16</f>
        <v>T12</v>
      </c>
      <c r="AF4" s="28" t="str">
        <f>Transacciones!$A$17</f>
        <v>T13</v>
      </c>
      <c r="AG4" s="28" t="str">
        <f>Transacciones!$A$18</f>
        <v>T14</v>
      </c>
      <c r="AH4" s="28" t="str">
        <f>Transacciones!$A$19</f>
        <v>T15</v>
      </c>
      <c r="AI4" s="28" t="str">
        <f>Transacciones!$A$20</f>
        <v>T16</v>
      </c>
      <c r="AJ4" s="8" t="s">
        <v>402</v>
      </c>
      <c r="AK4" s="8" t="s">
        <v>403</v>
      </c>
      <c r="AL4" s="8" t="s">
        <v>404</v>
      </c>
      <c r="AM4" s="8" t="s">
        <v>405</v>
      </c>
      <c r="AN4" s="8" t="s">
        <v>406</v>
      </c>
      <c r="AO4" s="8" t="s">
        <v>407</v>
      </c>
    </row>
    <row r="5" spans="1:41" x14ac:dyDescent="0.3">
      <c r="A5" s="9" t="s">
        <v>408</v>
      </c>
      <c r="B5" s="9" t="s">
        <v>409</v>
      </c>
      <c r="C5" s="9" t="s">
        <v>410</v>
      </c>
      <c r="D5" s="9" t="s">
        <v>94</v>
      </c>
      <c r="E5" s="9" t="s">
        <v>113</v>
      </c>
      <c r="F5" s="9" t="s">
        <v>123</v>
      </c>
      <c r="G5" s="9" t="s">
        <v>249</v>
      </c>
      <c r="H5" s="10">
        <v>46283</v>
      </c>
      <c r="I5" s="13">
        <v>150</v>
      </c>
      <c r="J5" s="16">
        <v>98.5</v>
      </c>
      <c r="K5" s="12">
        <v>42.85</v>
      </c>
      <c r="N5" s="9" t="s">
        <v>411</v>
      </c>
      <c r="O5" s="11" t="str">
        <f t="shared" ref="O5:O12" si="0">IF($C5="transaccion",D5&amp;"|"&amp;F5&amp;"|"&amp;E5,"")</f>
        <v>Principal|DEMOACC|Casa B</v>
      </c>
      <c r="P5" s="14">
        <f t="shared" ref="P5:P12" si="1">IF($C5="transaccion",IF(G5="compra",1,-1)*I5,"")</f>
        <v>-150</v>
      </c>
      <c r="Q5" s="11" t="b">
        <f>IF($C5="transaccion",OR(H5&lt;Entradas!$B$6,H5&gt;Entradas!$B$7),"")</f>
        <v>0</v>
      </c>
      <c r="R5" s="11" t="b">
        <f>IF($C5="transaccion",AND(INDEX(Entradas!$C$40:$C$46,MATCH(F5,Entradas!$A$40:$A$46,0))="cetes",H5&gt;=INDEX(Entradas!$F$40:$F$46,MATCH(F5,Entradas!$A$40:$A$46,0))),"")</f>
        <v>0</v>
      </c>
      <c r="S5" s="14">
        <f>IF($C5="transaccion",SUMIFS(Transacciones!$N$5:$N$20,Transacciones!$T$5:$T$20,O5,Transacciones!$F$5:$F$20,"&lt;="&amp;H5)+P5,"")</f>
        <v>-50</v>
      </c>
      <c r="T5" s="14" t="str">
        <f>IF($C5&lt;&gt;"transaccion","",IF(AND(Transacciones!$T$5=$O5,Transacciones!$F$5&gt;$H5),SUMIFS(Transacciones!$N$5:$N$20,Transacciones!$T$5:$T$20,$O5,Transacciones!$F$5:$F$20,"&lt;="&amp;Transacciones!$F$5)+$P5,""))</f>
        <v/>
      </c>
      <c r="U5" s="14" t="str">
        <f>IF($C5&lt;&gt;"transaccion","",IF(AND(Transacciones!$T$6=$O5,Transacciones!$F$6&gt;$H5),SUMIFS(Transacciones!$N$5:$N$20,Transacciones!$T$5:$T$20,$O5,Transacciones!$F$5:$F$20,"&lt;="&amp;Transacciones!$F$6)+$P5,""))</f>
        <v/>
      </c>
      <c r="V5" s="14" t="str">
        <f>IF($C5&lt;&gt;"transaccion","",IF(AND(Transacciones!$T$7=$O5,Transacciones!$F$7&gt;$H5),SUMIFS(Transacciones!$N$5:$N$20,Transacciones!$T$5:$T$20,$O5,Transacciones!$F$5:$F$20,"&lt;="&amp;Transacciones!$F$7)+$P5,""))</f>
        <v/>
      </c>
      <c r="W5" s="14" t="str">
        <f>IF($C5&lt;&gt;"transaccion","",IF(AND(Transacciones!$T$8=$O5,Transacciones!$F$8&gt;$H5),SUMIFS(Transacciones!$N$5:$N$20,Transacciones!$T$5:$T$20,$O5,Transacciones!$F$5:$F$20,"&lt;="&amp;Transacciones!$F$8)+$P5,""))</f>
        <v/>
      </c>
      <c r="X5" s="14" t="str">
        <f>IF($C5&lt;&gt;"transaccion","",IF(AND(Transacciones!$T$9=$O5,Transacciones!$F$9&gt;$H5),SUMIFS(Transacciones!$N$5:$N$20,Transacciones!$T$5:$T$20,$O5,Transacciones!$F$5:$F$20,"&lt;="&amp;Transacciones!$F$9)+$P5,""))</f>
        <v/>
      </c>
      <c r="Y5" s="14" t="str">
        <f>IF($C5&lt;&gt;"transaccion","",IF(AND(Transacciones!$T$10=$O5,Transacciones!$F$10&gt;$H5),SUMIFS(Transacciones!$N$5:$N$20,Transacciones!$T$5:$T$20,$O5,Transacciones!$F$5:$F$20,"&lt;="&amp;Transacciones!$F$10)+$P5,""))</f>
        <v/>
      </c>
      <c r="Z5" s="14" t="str">
        <f>IF($C5&lt;&gt;"transaccion","",IF(AND(Transacciones!$T$11=$O5,Transacciones!$F$11&gt;$H5),SUMIFS(Transacciones!$N$5:$N$20,Transacciones!$T$5:$T$20,$O5,Transacciones!$F$5:$F$20,"&lt;="&amp;Transacciones!$F$11)+$P5,""))</f>
        <v/>
      </c>
      <c r="AA5" s="14" t="str">
        <f>IF($C5&lt;&gt;"transaccion","",IF(AND(Transacciones!$T$12=$O5,Transacciones!$F$12&gt;$H5),SUMIFS(Transacciones!$N$5:$N$20,Transacciones!$T$5:$T$20,$O5,Transacciones!$F$5:$F$20,"&lt;="&amp;Transacciones!$F$12)+$P5,""))</f>
        <v/>
      </c>
      <c r="AB5" s="14" t="str">
        <f>IF($C5&lt;&gt;"transaccion","",IF(AND(Transacciones!$T$13=$O5,Transacciones!$F$13&gt;$H5),SUMIFS(Transacciones!$N$5:$N$20,Transacciones!$T$5:$T$20,$O5,Transacciones!$F$5:$F$20,"&lt;="&amp;Transacciones!$F$13)+$P5,""))</f>
        <v/>
      </c>
      <c r="AC5" s="14" t="str">
        <f>IF($C5&lt;&gt;"transaccion","",IF(AND(Transacciones!$T$14=$O5,Transacciones!$F$14&gt;$H5),SUMIFS(Transacciones!$N$5:$N$20,Transacciones!$T$5:$T$20,$O5,Transacciones!$F$5:$F$20,"&lt;="&amp;Transacciones!$F$14)+$P5,""))</f>
        <v/>
      </c>
      <c r="AD5" s="14" t="str">
        <f>IF($C5&lt;&gt;"transaccion","",IF(AND(Transacciones!$T$15=$O5,Transacciones!$F$15&gt;$H5),SUMIFS(Transacciones!$N$5:$N$20,Transacciones!$T$5:$T$20,$O5,Transacciones!$F$5:$F$20,"&lt;="&amp;Transacciones!$F$15)+$P5,""))</f>
        <v/>
      </c>
      <c r="AE5" s="14" t="str">
        <f>IF($C5&lt;&gt;"transaccion","",IF(AND(Transacciones!$T$16=$O5,Transacciones!$F$16&gt;$H5),SUMIFS(Transacciones!$N$5:$N$20,Transacciones!$T$5:$T$20,$O5,Transacciones!$F$5:$F$20,"&lt;="&amp;Transacciones!$F$16)+$P5,""))</f>
        <v/>
      </c>
      <c r="AF5" s="14" t="str">
        <f>IF($C5&lt;&gt;"transaccion","",IF(AND(Transacciones!$T$17=$O5,Transacciones!$F$17&gt;$H5),SUMIFS(Transacciones!$N$5:$N$20,Transacciones!$T$5:$T$20,$O5,Transacciones!$F$5:$F$20,"&lt;="&amp;Transacciones!$F$17)+$P5,""))</f>
        <v/>
      </c>
      <c r="AG5" s="14" t="str">
        <f>IF($C5&lt;&gt;"transaccion","",IF(AND(Transacciones!$T$18=$O5,Transacciones!$F$18&gt;$H5),SUMIFS(Transacciones!$N$5:$N$20,Transacciones!$T$5:$T$20,$O5,Transacciones!$F$5:$F$20,"&lt;="&amp;Transacciones!$F$18)+$P5,""))</f>
        <v/>
      </c>
      <c r="AH5" s="14" t="str">
        <f>IF($C5&lt;&gt;"transaccion","",IF(AND(Transacciones!$T$19=$O5,Transacciones!$F$19&gt;$H5),SUMIFS(Transacciones!$N$5:$N$20,Transacciones!$T$5:$T$20,$O5,Transacciones!$F$5:$F$20,"&lt;="&amp;Transacciones!$F$19)+$P5,""))</f>
        <v/>
      </c>
      <c r="AI5" s="14" t="str">
        <f>IF($C5&lt;&gt;"transaccion","",IF(AND(Transacciones!$T$20=$O5,Transacciones!$F$20&gt;$H5),SUMIFS(Transacciones!$N$5:$N$20,Transacciones!$T$5:$T$20,$O5,Transacciones!$F$5:$F$20,"&lt;="&amp;Transacciones!$F$20)+$P5,""))</f>
        <v/>
      </c>
      <c r="AJ5" s="14">
        <f t="shared" ref="AJ5:AJ12" si="2">IF($C5="transaccion",MIN(S5,T5:AI5),"")</f>
        <v>-50</v>
      </c>
      <c r="AK5" s="15">
        <f t="shared" ref="AK5:AK12" si="3">IF($C5&lt;&gt;"transaccion","",IF(S5&lt;0,H5,IF(AJ5&lt;0,_xlfn.MINIFS($T$3:$AI$3,T5:AI5,"&lt;0"),"")))</f>
        <v>46283</v>
      </c>
      <c r="AL5" s="11" t="str">
        <f>IF($C5="periodo",IF(M5&lt;L5,"criterio 3 de RF-09: fecha final anterior a la inicial",IF(OR(L5-1&lt;Entradas!$B$6,M5&gt;Entradas!$B$7),"criterio 3 de RF-09: fechas fuera de las semillas","")),IF(Q5,"RD-07 y criterio 3 de RF-05: fecha fuera del intervalo de las semillas",IF(R5,"criterio 2 de RF-26a: fecha igual o posterior al vencimiento de la emision",IF(AJ5&lt;0,"RF-28: deja negativo el saldo del instrumento con el intermediario dentro del portafolio",""))))</f>
        <v>RF-28: deja negativo el saldo del instrumento con el intermediario dentro del portafolio</v>
      </c>
      <c r="AM5" s="11" t="str">
        <f t="shared" ref="AM5:AM12" si="4">IF(AL5="","aceptar","rechazar")</f>
        <v>rechazar</v>
      </c>
      <c r="AN5" s="15">
        <f t="shared" ref="AN5:AN12" si="5">IF(LEFT(AL5,5)="RF-28",AK5,"")</f>
        <v>46283</v>
      </c>
      <c r="AO5" s="14">
        <f>IF(LEFT(AL5,5)="RF-28",SUMIFS(Transacciones!$N$5:$N$20,Transacciones!$T$5:$T$20,O5,Transacciones!$F$5:$F$20,"&lt;="&amp;AK5)+P5,"")</f>
        <v>-50</v>
      </c>
    </row>
    <row r="6" spans="1:41" x14ac:dyDescent="0.3">
      <c r="A6" s="9" t="s">
        <v>412</v>
      </c>
      <c r="B6" s="9" t="s">
        <v>413</v>
      </c>
      <c r="C6" s="9" t="s">
        <v>410</v>
      </c>
      <c r="D6" s="9" t="s">
        <v>94</v>
      </c>
      <c r="E6" s="9" t="s">
        <v>112</v>
      </c>
      <c r="F6" s="9" t="s">
        <v>129</v>
      </c>
      <c r="G6" s="9" t="s">
        <v>249</v>
      </c>
      <c r="H6" s="10">
        <v>46280</v>
      </c>
      <c r="I6" s="13">
        <v>100</v>
      </c>
      <c r="J6" s="16">
        <v>25.4</v>
      </c>
      <c r="K6" s="12">
        <v>7.37</v>
      </c>
      <c r="N6" s="9" t="s">
        <v>414</v>
      </c>
      <c r="O6" s="11" t="str">
        <f t="shared" si="0"/>
        <v>Principal|DEMOFIB|Casa A</v>
      </c>
      <c r="P6" s="14">
        <f t="shared" si="1"/>
        <v>-100</v>
      </c>
      <c r="Q6" s="11" t="b">
        <f>IF($C6="transaccion",OR(H6&lt;Entradas!$B$6,H6&gt;Entradas!$B$7),"")</f>
        <v>0</v>
      </c>
      <c r="R6" s="11" t="b">
        <f>IF($C6="transaccion",AND(INDEX(Entradas!$C$40:$C$46,MATCH(F6,Entradas!$A$40:$A$46,0))="cetes",H6&gt;=INDEX(Entradas!$F$40:$F$46,MATCH(F6,Entradas!$A$40:$A$46,0))),"")</f>
        <v>0</v>
      </c>
      <c r="S6" s="14">
        <f>IF($C6="transaccion",SUMIFS(Transacciones!$N$5:$N$20,Transacciones!$T$5:$T$20,O6,Transacciones!$F$5:$F$20,"&lt;="&amp;H6)+P6,"")</f>
        <v>300</v>
      </c>
      <c r="T6" s="14" t="str">
        <f>IF($C6&lt;&gt;"transaccion","",IF(AND(Transacciones!$T$5=$O6,Transacciones!$F$5&gt;$H6),SUMIFS(Transacciones!$N$5:$N$20,Transacciones!$T$5:$T$20,$O6,Transacciones!$F$5:$F$20,"&lt;="&amp;Transacciones!$F$5)+$P6,""))</f>
        <v/>
      </c>
      <c r="U6" s="14" t="str">
        <f>IF($C6&lt;&gt;"transaccion","",IF(AND(Transacciones!$T$6=$O6,Transacciones!$F$6&gt;$H6),SUMIFS(Transacciones!$N$5:$N$20,Transacciones!$T$5:$T$20,$O6,Transacciones!$F$5:$F$20,"&lt;="&amp;Transacciones!$F$6)+$P6,""))</f>
        <v/>
      </c>
      <c r="V6" s="14" t="str">
        <f>IF($C6&lt;&gt;"transaccion","",IF(AND(Transacciones!$T$7=$O6,Transacciones!$F$7&gt;$H6),SUMIFS(Transacciones!$N$5:$N$20,Transacciones!$T$5:$T$20,$O6,Transacciones!$F$5:$F$20,"&lt;="&amp;Transacciones!$F$7)+$P6,""))</f>
        <v/>
      </c>
      <c r="W6" s="14" t="str">
        <f>IF($C6&lt;&gt;"transaccion","",IF(AND(Transacciones!$T$8=$O6,Transacciones!$F$8&gt;$H6),SUMIFS(Transacciones!$N$5:$N$20,Transacciones!$T$5:$T$20,$O6,Transacciones!$F$5:$F$20,"&lt;="&amp;Transacciones!$F$8)+$P6,""))</f>
        <v/>
      </c>
      <c r="X6" s="14" t="str">
        <f>IF($C6&lt;&gt;"transaccion","",IF(AND(Transacciones!$T$9=$O6,Transacciones!$F$9&gt;$H6),SUMIFS(Transacciones!$N$5:$N$20,Transacciones!$T$5:$T$20,$O6,Transacciones!$F$5:$F$20,"&lt;="&amp;Transacciones!$F$9)+$P6,""))</f>
        <v/>
      </c>
      <c r="Y6" s="14" t="str">
        <f>IF($C6&lt;&gt;"transaccion","",IF(AND(Transacciones!$T$10=$O6,Transacciones!$F$10&gt;$H6),SUMIFS(Transacciones!$N$5:$N$20,Transacciones!$T$5:$T$20,$O6,Transacciones!$F$5:$F$20,"&lt;="&amp;Transacciones!$F$10)+$P6,""))</f>
        <v/>
      </c>
      <c r="Z6" s="14" t="str">
        <f>IF($C6&lt;&gt;"transaccion","",IF(AND(Transacciones!$T$11=$O6,Transacciones!$F$11&gt;$H6),SUMIFS(Transacciones!$N$5:$N$20,Transacciones!$T$5:$T$20,$O6,Transacciones!$F$5:$F$20,"&lt;="&amp;Transacciones!$F$11)+$P6,""))</f>
        <v/>
      </c>
      <c r="AA6" s="14" t="str">
        <f>IF($C6&lt;&gt;"transaccion","",IF(AND(Transacciones!$T$12=$O6,Transacciones!$F$12&gt;$H6),SUMIFS(Transacciones!$N$5:$N$20,Transacciones!$T$5:$T$20,$O6,Transacciones!$F$5:$F$20,"&lt;="&amp;Transacciones!$F$12)+$P6,""))</f>
        <v/>
      </c>
      <c r="AB6" s="14" t="str">
        <f>IF($C6&lt;&gt;"transaccion","",IF(AND(Transacciones!$T$13=$O6,Transacciones!$F$13&gt;$H6),SUMIFS(Transacciones!$N$5:$N$20,Transacciones!$T$5:$T$20,$O6,Transacciones!$F$5:$F$20,"&lt;="&amp;Transacciones!$F$13)+$P6,""))</f>
        <v/>
      </c>
      <c r="AC6" s="14">
        <f>IF($C6&lt;&gt;"transaccion","",IF(AND(Transacciones!$T$14=$O6,Transacciones!$F$14&gt;$H6),SUMIFS(Transacciones!$N$5:$N$20,Transacciones!$T$5:$T$20,$O6,Transacciones!$F$5:$F$20,"&lt;="&amp;Transacciones!$F$14)+$P6,""))</f>
        <v>-100</v>
      </c>
      <c r="AD6" s="14" t="str">
        <f>IF($C6&lt;&gt;"transaccion","",IF(AND(Transacciones!$T$15=$O6,Transacciones!$F$15&gt;$H6),SUMIFS(Transacciones!$N$5:$N$20,Transacciones!$T$5:$T$20,$O6,Transacciones!$F$5:$F$20,"&lt;="&amp;Transacciones!$F$15)+$P6,""))</f>
        <v/>
      </c>
      <c r="AE6" s="14" t="str">
        <f>IF($C6&lt;&gt;"transaccion","",IF(AND(Transacciones!$T$16=$O6,Transacciones!$F$16&gt;$H6),SUMIFS(Transacciones!$N$5:$N$20,Transacciones!$T$5:$T$20,$O6,Transacciones!$F$5:$F$20,"&lt;="&amp;Transacciones!$F$16)+$P6,""))</f>
        <v/>
      </c>
      <c r="AF6" s="14" t="str">
        <f>IF($C6&lt;&gt;"transaccion","",IF(AND(Transacciones!$T$17=$O6,Transacciones!$F$17&gt;$H6),SUMIFS(Transacciones!$N$5:$N$20,Transacciones!$T$5:$T$20,$O6,Transacciones!$F$5:$F$20,"&lt;="&amp;Transacciones!$F$17)+$P6,""))</f>
        <v/>
      </c>
      <c r="AG6" s="14" t="str">
        <f>IF($C6&lt;&gt;"transaccion","",IF(AND(Transacciones!$T$18=$O6,Transacciones!$F$18&gt;$H6),SUMIFS(Transacciones!$N$5:$N$20,Transacciones!$T$5:$T$20,$O6,Transacciones!$F$5:$F$20,"&lt;="&amp;Transacciones!$F$18)+$P6,""))</f>
        <v/>
      </c>
      <c r="AH6" s="14">
        <f>IF($C6&lt;&gt;"transaccion","",IF(AND(Transacciones!$T$19=$O6,Transacciones!$F$19&gt;$H6),SUMIFS(Transacciones!$N$5:$N$20,Transacciones!$T$5:$T$20,$O6,Transacciones!$F$5:$F$20,"&lt;="&amp;Transacciones!$F$19)+$P6,""))</f>
        <v>200</v>
      </c>
      <c r="AI6" s="14" t="str">
        <f>IF($C6&lt;&gt;"transaccion","",IF(AND(Transacciones!$T$20=$O6,Transacciones!$F$20&gt;$H6),SUMIFS(Transacciones!$N$5:$N$20,Transacciones!$T$5:$T$20,$O6,Transacciones!$F$5:$F$20,"&lt;="&amp;Transacciones!$F$20)+$P6,""))</f>
        <v/>
      </c>
      <c r="AJ6" s="14">
        <f t="shared" si="2"/>
        <v>-100</v>
      </c>
      <c r="AK6" s="15">
        <f t="shared" si="3"/>
        <v>46287</v>
      </c>
      <c r="AL6" s="11" t="str">
        <f>IF($C6="periodo",IF(M6&lt;L6,"criterio 3 de RF-09: fecha final anterior a la inicial",IF(OR(L6-1&lt;Entradas!$B$6,M6&gt;Entradas!$B$7),"criterio 3 de RF-09: fechas fuera de las semillas","")),IF(Q6,"RD-07 y criterio 3 de RF-05: fecha fuera del intervalo de las semillas",IF(R6,"criterio 2 de RF-26a: fecha igual o posterior al vencimiento de la emision",IF(AJ6&lt;0,"RF-28: deja negativo el saldo del instrumento con el intermediario dentro del portafolio",""))))</f>
        <v>RF-28: deja negativo el saldo del instrumento con el intermediario dentro del portafolio</v>
      </c>
      <c r="AM6" s="11" t="str">
        <f t="shared" si="4"/>
        <v>rechazar</v>
      </c>
      <c r="AN6" s="15">
        <f t="shared" si="5"/>
        <v>46287</v>
      </c>
      <c r="AO6" s="14">
        <f>IF(LEFT(AL6,5)="RF-28",SUMIFS(Transacciones!$N$5:$N$20,Transacciones!$T$5:$T$20,O6,Transacciones!$F$5:$F$20,"&lt;="&amp;AK6)+P6,"")</f>
        <v>-100</v>
      </c>
    </row>
    <row r="7" spans="1:41" x14ac:dyDescent="0.3">
      <c r="A7" s="9" t="s">
        <v>415</v>
      </c>
      <c r="B7" s="9" t="s">
        <v>416</v>
      </c>
      <c r="C7" s="9" t="s">
        <v>410</v>
      </c>
      <c r="D7" s="9" t="s">
        <v>94</v>
      </c>
      <c r="E7" s="9" t="s">
        <v>112</v>
      </c>
      <c r="F7" s="9" t="s">
        <v>123</v>
      </c>
      <c r="G7" s="9" t="s">
        <v>249</v>
      </c>
      <c r="H7" s="10">
        <v>46304</v>
      </c>
      <c r="I7" s="13">
        <v>150</v>
      </c>
      <c r="J7" s="16">
        <v>109</v>
      </c>
      <c r="K7" s="12">
        <v>47.42</v>
      </c>
      <c r="N7" s="9" t="s">
        <v>417</v>
      </c>
      <c r="O7" s="11" t="str">
        <f t="shared" si="0"/>
        <v>Principal|DEMOACC|Casa A</v>
      </c>
      <c r="P7" s="14">
        <f t="shared" si="1"/>
        <v>-150</v>
      </c>
      <c r="Q7" s="11" t="b">
        <f>IF($C7="transaccion",OR(H7&lt;Entradas!$B$6,H7&gt;Entradas!$B$7),"")</f>
        <v>0</v>
      </c>
      <c r="R7" s="11" t="b">
        <f>IF($C7="transaccion",AND(INDEX(Entradas!$C$40:$C$46,MATCH(F7,Entradas!$A$40:$A$46,0))="cetes",H7&gt;=INDEX(Entradas!$F$40:$F$46,MATCH(F7,Entradas!$A$40:$A$46,0))),"")</f>
        <v>0</v>
      </c>
      <c r="S7" s="14">
        <f>IF($C7="transaccion",SUMIFS(Transacciones!$N$5:$N$20,Transacciones!$T$5:$T$20,O7,Transacciones!$F$5:$F$20,"&lt;="&amp;H7)+P7,"")</f>
        <v>-30</v>
      </c>
      <c r="T7" s="14" t="str">
        <f>IF($C7&lt;&gt;"transaccion","",IF(AND(Transacciones!$T$5=$O7,Transacciones!$F$5&gt;$H7),SUMIFS(Transacciones!$N$5:$N$20,Transacciones!$T$5:$T$20,$O7,Transacciones!$F$5:$F$20,"&lt;="&amp;Transacciones!$F$5)+$P7,""))</f>
        <v/>
      </c>
      <c r="U7" s="14" t="str">
        <f>IF($C7&lt;&gt;"transaccion","",IF(AND(Transacciones!$T$6=$O7,Transacciones!$F$6&gt;$H7),SUMIFS(Transacciones!$N$5:$N$20,Transacciones!$T$5:$T$20,$O7,Transacciones!$F$5:$F$20,"&lt;="&amp;Transacciones!$F$6)+$P7,""))</f>
        <v/>
      </c>
      <c r="V7" s="14" t="str">
        <f>IF($C7&lt;&gt;"transaccion","",IF(AND(Transacciones!$T$7=$O7,Transacciones!$F$7&gt;$H7),SUMIFS(Transacciones!$N$5:$N$20,Transacciones!$T$5:$T$20,$O7,Transacciones!$F$5:$F$20,"&lt;="&amp;Transacciones!$F$7)+$P7,""))</f>
        <v/>
      </c>
      <c r="W7" s="14" t="str">
        <f>IF($C7&lt;&gt;"transaccion","",IF(AND(Transacciones!$T$8=$O7,Transacciones!$F$8&gt;$H7),SUMIFS(Transacciones!$N$5:$N$20,Transacciones!$T$5:$T$20,$O7,Transacciones!$F$5:$F$20,"&lt;="&amp;Transacciones!$F$8)+$P7,""))</f>
        <v/>
      </c>
      <c r="X7" s="14" t="str">
        <f>IF($C7&lt;&gt;"transaccion","",IF(AND(Transacciones!$T$9=$O7,Transacciones!$F$9&gt;$H7),SUMIFS(Transacciones!$N$5:$N$20,Transacciones!$T$5:$T$20,$O7,Transacciones!$F$5:$F$20,"&lt;="&amp;Transacciones!$F$9)+$P7,""))</f>
        <v/>
      </c>
      <c r="Y7" s="14" t="str">
        <f>IF($C7&lt;&gt;"transaccion","",IF(AND(Transacciones!$T$10=$O7,Transacciones!$F$10&gt;$H7),SUMIFS(Transacciones!$N$5:$N$20,Transacciones!$T$5:$T$20,$O7,Transacciones!$F$5:$F$20,"&lt;="&amp;Transacciones!$F$10)+$P7,""))</f>
        <v/>
      </c>
      <c r="Z7" s="14" t="str">
        <f>IF($C7&lt;&gt;"transaccion","",IF(AND(Transacciones!$T$11=$O7,Transacciones!$F$11&gt;$H7),SUMIFS(Transacciones!$N$5:$N$20,Transacciones!$T$5:$T$20,$O7,Transacciones!$F$5:$F$20,"&lt;="&amp;Transacciones!$F$11)+$P7,""))</f>
        <v/>
      </c>
      <c r="AA7" s="14" t="str">
        <f>IF($C7&lt;&gt;"transaccion","",IF(AND(Transacciones!$T$12=$O7,Transacciones!$F$12&gt;$H7),SUMIFS(Transacciones!$N$5:$N$20,Transacciones!$T$5:$T$20,$O7,Transacciones!$F$5:$F$20,"&lt;="&amp;Transacciones!$F$12)+$P7,""))</f>
        <v/>
      </c>
      <c r="AB7" s="14" t="str">
        <f>IF($C7&lt;&gt;"transaccion","",IF(AND(Transacciones!$T$13=$O7,Transacciones!$F$13&gt;$H7),SUMIFS(Transacciones!$N$5:$N$20,Transacciones!$T$5:$T$20,$O7,Transacciones!$F$5:$F$20,"&lt;="&amp;Transacciones!$F$13)+$P7,""))</f>
        <v/>
      </c>
      <c r="AC7" s="14" t="str">
        <f>IF($C7&lt;&gt;"transaccion","",IF(AND(Transacciones!$T$14=$O7,Transacciones!$F$14&gt;$H7),SUMIFS(Transacciones!$N$5:$N$20,Transacciones!$T$5:$T$20,$O7,Transacciones!$F$5:$F$20,"&lt;="&amp;Transacciones!$F$14)+$P7,""))</f>
        <v/>
      </c>
      <c r="AD7" s="14" t="str">
        <f>IF($C7&lt;&gt;"transaccion","",IF(AND(Transacciones!$T$15=$O7,Transacciones!$F$15&gt;$H7),SUMIFS(Transacciones!$N$5:$N$20,Transacciones!$T$5:$T$20,$O7,Transacciones!$F$5:$F$20,"&lt;="&amp;Transacciones!$F$15)+$P7,""))</f>
        <v/>
      </c>
      <c r="AE7" s="14" t="str">
        <f>IF($C7&lt;&gt;"transaccion","",IF(AND(Transacciones!$T$16=$O7,Transacciones!$F$16&gt;$H7),SUMIFS(Transacciones!$N$5:$N$20,Transacciones!$T$5:$T$20,$O7,Transacciones!$F$5:$F$20,"&lt;="&amp;Transacciones!$F$16)+$P7,""))</f>
        <v/>
      </c>
      <c r="AF7" s="14" t="str">
        <f>IF($C7&lt;&gt;"transaccion","",IF(AND(Transacciones!$T$17=$O7,Transacciones!$F$17&gt;$H7),SUMIFS(Transacciones!$N$5:$N$20,Transacciones!$T$5:$T$20,$O7,Transacciones!$F$5:$F$20,"&lt;="&amp;Transacciones!$F$17)+$P7,""))</f>
        <v/>
      </c>
      <c r="AG7" s="14" t="str">
        <f>IF($C7&lt;&gt;"transaccion","",IF(AND(Transacciones!$T$18=$O7,Transacciones!$F$18&gt;$H7),SUMIFS(Transacciones!$N$5:$N$20,Transacciones!$T$5:$T$20,$O7,Transacciones!$F$5:$F$20,"&lt;="&amp;Transacciones!$F$18)+$P7,""))</f>
        <v/>
      </c>
      <c r="AH7" s="14" t="str">
        <f>IF($C7&lt;&gt;"transaccion","",IF(AND(Transacciones!$T$19=$O7,Transacciones!$F$19&gt;$H7),SUMIFS(Transacciones!$N$5:$N$20,Transacciones!$T$5:$T$20,$O7,Transacciones!$F$5:$F$20,"&lt;="&amp;Transacciones!$F$19)+$P7,""))</f>
        <v/>
      </c>
      <c r="AI7" s="14" t="str">
        <f>IF($C7&lt;&gt;"transaccion","",IF(AND(Transacciones!$T$20=$O7,Transacciones!$F$20&gt;$H7),SUMIFS(Transacciones!$N$5:$N$20,Transacciones!$T$5:$T$20,$O7,Transacciones!$F$5:$F$20,"&lt;="&amp;Transacciones!$F$20)+$P7,""))</f>
        <v/>
      </c>
      <c r="AJ7" s="14">
        <f t="shared" si="2"/>
        <v>-30</v>
      </c>
      <c r="AK7" s="15">
        <f t="shared" si="3"/>
        <v>46304</v>
      </c>
      <c r="AL7" s="11" t="str">
        <f>IF($C7="periodo",IF(M7&lt;L7,"criterio 3 de RF-09: fecha final anterior a la inicial",IF(OR(L7-1&lt;Entradas!$B$6,M7&gt;Entradas!$B$7),"criterio 3 de RF-09: fechas fuera de las semillas","")),IF(Q7,"RD-07 y criterio 3 de RF-05: fecha fuera del intervalo de las semillas",IF(R7,"criterio 2 de RF-26a: fecha igual o posterior al vencimiento de la emision",IF(AJ7&lt;0,"RF-28: deja negativo el saldo del instrumento con el intermediario dentro del portafolio",""))))</f>
        <v>RF-28: deja negativo el saldo del instrumento con el intermediario dentro del portafolio</v>
      </c>
      <c r="AM7" s="11" t="str">
        <f t="shared" si="4"/>
        <v>rechazar</v>
      </c>
      <c r="AN7" s="15">
        <f t="shared" si="5"/>
        <v>46304</v>
      </c>
      <c r="AO7" s="14">
        <f>IF(LEFT(AL7,5)="RF-28",SUMIFS(Transacciones!$N$5:$N$20,Transacciones!$T$5:$T$20,O7,Transacciones!$F$5:$F$20,"&lt;="&amp;AK7)+P7,"")</f>
        <v>-30</v>
      </c>
    </row>
    <row r="8" spans="1:41" x14ac:dyDescent="0.3">
      <c r="A8" s="9" t="s">
        <v>418</v>
      </c>
      <c r="B8" s="9" t="s">
        <v>419</v>
      </c>
      <c r="C8" s="9" t="s">
        <v>410</v>
      </c>
      <c r="D8" s="9" t="s">
        <v>94</v>
      </c>
      <c r="E8" s="9" t="s">
        <v>113</v>
      </c>
      <c r="F8" s="9" t="s">
        <v>132</v>
      </c>
      <c r="G8" s="9" t="s">
        <v>249</v>
      </c>
      <c r="H8" s="10">
        <v>46303</v>
      </c>
      <c r="I8" s="13">
        <v>100</v>
      </c>
      <c r="J8" s="16">
        <v>10</v>
      </c>
      <c r="K8" s="12">
        <v>0</v>
      </c>
      <c r="N8" s="9" t="s">
        <v>420</v>
      </c>
      <c r="O8" s="11" t="str">
        <f t="shared" si="0"/>
        <v>Principal|BI261008|Casa B</v>
      </c>
      <c r="P8" s="14">
        <f t="shared" si="1"/>
        <v>-100</v>
      </c>
      <c r="Q8" s="11" t="b">
        <f>IF($C8="transaccion",OR(H8&lt;Entradas!$B$6,H8&gt;Entradas!$B$7),"")</f>
        <v>0</v>
      </c>
      <c r="R8" s="11" t="b">
        <f>IF($C8="transaccion",AND(INDEX(Entradas!$C$40:$C$46,MATCH(F8,Entradas!$A$40:$A$46,0))="cetes",H8&gt;=INDEX(Entradas!$F$40:$F$46,MATCH(F8,Entradas!$A$40:$A$46,0))),"")</f>
        <v>1</v>
      </c>
      <c r="S8" s="14">
        <f>IF($C8="transaccion",SUMIFS(Transacciones!$N$5:$N$20,Transacciones!$T$5:$T$20,O8,Transacciones!$F$5:$F$20,"&lt;="&amp;H8)+P8,"")</f>
        <v>900</v>
      </c>
      <c r="T8" s="14" t="str">
        <f>IF($C8&lt;&gt;"transaccion","",IF(AND(Transacciones!$T$5=$O8,Transacciones!$F$5&gt;$H8),SUMIFS(Transacciones!$N$5:$N$20,Transacciones!$T$5:$T$20,$O8,Transacciones!$F$5:$F$20,"&lt;="&amp;Transacciones!$F$5)+$P8,""))</f>
        <v/>
      </c>
      <c r="U8" s="14" t="str">
        <f>IF($C8&lt;&gt;"transaccion","",IF(AND(Transacciones!$T$6=$O8,Transacciones!$F$6&gt;$H8),SUMIFS(Transacciones!$N$5:$N$20,Transacciones!$T$5:$T$20,$O8,Transacciones!$F$5:$F$20,"&lt;="&amp;Transacciones!$F$6)+$P8,""))</f>
        <v/>
      </c>
      <c r="V8" s="14" t="str">
        <f>IF($C8&lt;&gt;"transaccion","",IF(AND(Transacciones!$T$7=$O8,Transacciones!$F$7&gt;$H8),SUMIFS(Transacciones!$N$5:$N$20,Transacciones!$T$5:$T$20,$O8,Transacciones!$F$5:$F$20,"&lt;="&amp;Transacciones!$F$7)+$P8,""))</f>
        <v/>
      </c>
      <c r="W8" s="14" t="str">
        <f>IF($C8&lt;&gt;"transaccion","",IF(AND(Transacciones!$T$8=$O8,Transacciones!$F$8&gt;$H8),SUMIFS(Transacciones!$N$5:$N$20,Transacciones!$T$5:$T$20,$O8,Transacciones!$F$5:$F$20,"&lt;="&amp;Transacciones!$F$8)+$P8,""))</f>
        <v/>
      </c>
      <c r="X8" s="14" t="str">
        <f>IF($C8&lt;&gt;"transaccion","",IF(AND(Transacciones!$T$9=$O8,Transacciones!$F$9&gt;$H8),SUMIFS(Transacciones!$N$5:$N$20,Transacciones!$T$5:$T$20,$O8,Transacciones!$F$5:$F$20,"&lt;="&amp;Transacciones!$F$9)+$P8,""))</f>
        <v/>
      </c>
      <c r="Y8" s="14" t="str">
        <f>IF($C8&lt;&gt;"transaccion","",IF(AND(Transacciones!$T$10=$O8,Transacciones!$F$10&gt;$H8),SUMIFS(Transacciones!$N$5:$N$20,Transacciones!$T$5:$T$20,$O8,Transacciones!$F$5:$F$20,"&lt;="&amp;Transacciones!$F$10)+$P8,""))</f>
        <v/>
      </c>
      <c r="Z8" s="14" t="str">
        <f>IF($C8&lt;&gt;"transaccion","",IF(AND(Transacciones!$T$11=$O8,Transacciones!$F$11&gt;$H8),SUMIFS(Transacciones!$N$5:$N$20,Transacciones!$T$5:$T$20,$O8,Transacciones!$F$5:$F$20,"&lt;="&amp;Transacciones!$F$11)+$P8,""))</f>
        <v/>
      </c>
      <c r="AA8" s="14" t="str">
        <f>IF($C8&lt;&gt;"transaccion","",IF(AND(Transacciones!$T$12=$O8,Transacciones!$F$12&gt;$H8),SUMIFS(Transacciones!$N$5:$N$20,Transacciones!$T$5:$T$20,$O8,Transacciones!$F$5:$F$20,"&lt;="&amp;Transacciones!$F$12)+$P8,""))</f>
        <v/>
      </c>
      <c r="AB8" s="14" t="str">
        <f>IF($C8&lt;&gt;"transaccion","",IF(AND(Transacciones!$T$13=$O8,Transacciones!$F$13&gt;$H8),SUMIFS(Transacciones!$N$5:$N$20,Transacciones!$T$5:$T$20,$O8,Transacciones!$F$5:$F$20,"&lt;="&amp;Transacciones!$F$13)+$P8,""))</f>
        <v/>
      </c>
      <c r="AC8" s="14" t="str">
        <f>IF($C8&lt;&gt;"transaccion","",IF(AND(Transacciones!$T$14=$O8,Transacciones!$F$14&gt;$H8),SUMIFS(Transacciones!$N$5:$N$20,Transacciones!$T$5:$T$20,$O8,Transacciones!$F$5:$F$20,"&lt;="&amp;Transacciones!$F$14)+$P8,""))</f>
        <v/>
      </c>
      <c r="AD8" s="14" t="str">
        <f>IF($C8&lt;&gt;"transaccion","",IF(AND(Transacciones!$T$15=$O8,Transacciones!$F$15&gt;$H8),SUMIFS(Transacciones!$N$5:$N$20,Transacciones!$T$5:$T$20,$O8,Transacciones!$F$5:$F$20,"&lt;="&amp;Transacciones!$F$15)+$P8,""))</f>
        <v/>
      </c>
      <c r="AE8" s="14" t="str">
        <f>IF($C8&lt;&gt;"transaccion","",IF(AND(Transacciones!$T$16=$O8,Transacciones!$F$16&gt;$H8),SUMIFS(Transacciones!$N$5:$N$20,Transacciones!$T$5:$T$20,$O8,Transacciones!$F$5:$F$20,"&lt;="&amp;Transacciones!$F$16)+$P8,""))</f>
        <v/>
      </c>
      <c r="AF8" s="14" t="str">
        <f>IF($C8&lt;&gt;"transaccion","",IF(AND(Transacciones!$T$17=$O8,Transacciones!$F$17&gt;$H8),SUMIFS(Transacciones!$N$5:$N$20,Transacciones!$T$5:$T$20,$O8,Transacciones!$F$5:$F$20,"&lt;="&amp;Transacciones!$F$17)+$P8,""))</f>
        <v/>
      </c>
      <c r="AG8" s="14" t="str">
        <f>IF($C8&lt;&gt;"transaccion","",IF(AND(Transacciones!$T$18=$O8,Transacciones!$F$18&gt;$H8),SUMIFS(Transacciones!$N$5:$N$20,Transacciones!$T$5:$T$20,$O8,Transacciones!$F$5:$F$20,"&lt;="&amp;Transacciones!$F$18)+$P8,""))</f>
        <v/>
      </c>
      <c r="AH8" s="14" t="str">
        <f>IF($C8&lt;&gt;"transaccion","",IF(AND(Transacciones!$T$19=$O8,Transacciones!$F$19&gt;$H8),SUMIFS(Transacciones!$N$5:$N$20,Transacciones!$T$5:$T$20,$O8,Transacciones!$F$5:$F$20,"&lt;="&amp;Transacciones!$F$19)+$P8,""))</f>
        <v/>
      </c>
      <c r="AI8" s="14" t="str">
        <f>IF($C8&lt;&gt;"transaccion","",IF(AND(Transacciones!$T$20=$O8,Transacciones!$F$20&gt;$H8),SUMIFS(Transacciones!$N$5:$N$20,Transacciones!$T$5:$T$20,$O8,Transacciones!$F$5:$F$20,"&lt;="&amp;Transacciones!$F$20)+$P8,""))</f>
        <v/>
      </c>
      <c r="AJ8" s="14">
        <f t="shared" si="2"/>
        <v>900</v>
      </c>
      <c r="AK8" s="15" t="str">
        <f t="shared" si="3"/>
        <v/>
      </c>
      <c r="AL8" s="11" t="str">
        <f>IF($C8="periodo",IF(M8&lt;L8,"criterio 3 de RF-09: fecha final anterior a la inicial",IF(OR(L8-1&lt;Entradas!$B$6,M8&gt;Entradas!$B$7),"criterio 3 de RF-09: fechas fuera de las semillas","")),IF(Q8,"RD-07 y criterio 3 de RF-05: fecha fuera del intervalo de las semillas",IF(R8,"criterio 2 de RF-26a: fecha igual o posterior al vencimiento de la emision",IF(AJ8&lt;0,"RF-28: deja negativo el saldo del instrumento con el intermediario dentro del portafolio",""))))</f>
        <v>criterio 2 de RF-26a: fecha igual o posterior al vencimiento de la emision</v>
      </c>
      <c r="AM8" s="11" t="str">
        <f t="shared" si="4"/>
        <v>rechazar</v>
      </c>
      <c r="AN8" s="15" t="str">
        <f t="shared" si="5"/>
        <v/>
      </c>
      <c r="AO8" s="14" t="str">
        <f>IF(LEFT(AL8,5)="RF-28",SUMIFS(Transacciones!$N$5:$N$20,Transacciones!$T$5:$T$20,O8,Transacciones!$F$5:$F$20,"&lt;="&amp;AK8)+P8,"")</f>
        <v/>
      </c>
    </row>
    <row r="9" spans="1:41" x14ac:dyDescent="0.3">
      <c r="A9" s="9" t="s">
        <v>421</v>
      </c>
      <c r="B9" s="9" t="s">
        <v>422</v>
      </c>
      <c r="C9" s="9" t="s">
        <v>410</v>
      </c>
      <c r="D9" s="9" t="s">
        <v>94</v>
      </c>
      <c r="E9" s="9" t="s">
        <v>112</v>
      </c>
      <c r="F9" s="9" t="s">
        <v>123</v>
      </c>
      <c r="G9" s="9" t="s">
        <v>230</v>
      </c>
      <c r="H9" s="10">
        <v>46274</v>
      </c>
      <c r="I9" s="13">
        <v>10</v>
      </c>
      <c r="J9" s="16">
        <v>100</v>
      </c>
      <c r="K9" s="12">
        <v>2.9</v>
      </c>
      <c r="N9" s="9" t="s">
        <v>423</v>
      </c>
      <c r="O9" s="11" t="str">
        <f t="shared" si="0"/>
        <v>Principal|DEMOACC|Casa A</v>
      </c>
      <c r="P9" s="14">
        <f t="shared" si="1"/>
        <v>10</v>
      </c>
      <c r="Q9" s="11" t="b">
        <f>IF($C9="transaccion",OR(H9&lt;Entradas!$B$6,H9&gt;Entradas!$B$7),"")</f>
        <v>1</v>
      </c>
      <c r="R9" s="11" t="b">
        <f>IF($C9="transaccion",AND(INDEX(Entradas!$C$40:$C$46,MATCH(F9,Entradas!$A$40:$A$46,0))="cetes",H9&gt;=INDEX(Entradas!$F$40:$F$46,MATCH(F9,Entradas!$A$40:$A$46,0))),"")</f>
        <v>0</v>
      </c>
      <c r="S9" s="14">
        <f>IF($C9="transaccion",SUMIFS(Transacciones!$N$5:$N$20,Transacciones!$T$5:$T$20,O9,Transacciones!$F$5:$F$20,"&lt;="&amp;H9)+P9,"")</f>
        <v>10</v>
      </c>
      <c r="T9" s="14">
        <f>IF($C9&lt;&gt;"transaccion","",IF(AND(Transacciones!$T$5=$O9,Transacciones!$F$5&gt;$H9),SUMIFS(Transacciones!$N$5:$N$20,Transacciones!$T$5:$T$20,$O9,Transacciones!$F$5:$F$20,"&lt;="&amp;Transacciones!$F$5)+$P9,""))</f>
        <v>210</v>
      </c>
      <c r="U9" s="14" t="str">
        <f>IF($C9&lt;&gt;"transaccion","",IF(AND(Transacciones!$T$6=$O9,Transacciones!$F$6&gt;$H9),SUMIFS(Transacciones!$N$5:$N$20,Transacciones!$T$5:$T$20,$O9,Transacciones!$F$5:$F$20,"&lt;="&amp;Transacciones!$F$6)+$P9,""))</f>
        <v/>
      </c>
      <c r="V9" s="14" t="str">
        <f>IF($C9&lt;&gt;"transaccion","",IF(AND(Transacciones!$T$7=$O9,Transacciones!$F$7&gt;$H9),SUMIFS(Transacciones!$N$5:$N$20,Transacciones!$T$5:$T$20,$O9,Transacciones!$F$5:$F$20,"&lt;="&amp;Transacciones!$F$7)+$P9,""))</f>
        <v/>
      </c>
      <c r="W9" s="14" t="str">
        <f>IF($C9&lt;&gt;"transaccion","",IF(AND(Transacciones!$T$8=$O9,Transacciones!$F$8&gt;$H9),SUMIFS(Transacciones!$N$5:$N$20,Transacciones!$T$5:$T$20,$O9,Transacciones!$F$5:$F$20,"&lt;="&amp;Transacciones!$F$8)+$P9,""))</f>
        <v/>
      </c>
      <c r="X9" s="14" t="str">
        <f>IF($C9&lt;&gt;"transaccion","",IF(AND(Transacciones!$T$9=$O9,Transacciones!$F$9&gt;$H9),SUMIFS(Transacciones!$N$5:$N$20,Transacciones!$T$5:$T$20,$O9,Transacciones!$F$5:$F$20,"&lt;="&amp;Transacciones!$F$9)+$P9,""))</f>
        <v/>
      </c>
      <c r="Y9" s="14" t="str">
        <f>IF($C9&lt;&gt;"transaccion","",IF(AND(Transacciones!$T$10=$O9,Transacciones!$F$10&gt;$H9),SUMIFS(Transacciones!$N$5:$N$20,Transacciones!$T$5:$T$20,$O9,Transacciones!$F$5:$F$20,"&lt;="&amp;Transacciones!$F$10)+$P9,""))</f>
        <v/>
      </c>
      <c r="Z9" s="14" t="str">
        <f>IF($C9&lt;&gt;"transaccion","",IF(AND(Transacciones!$T$11=$O9,Transacciones!$F$11&gt;$H9),SUMIFS(Transacciones!$N$5:$N$20,Transacciones!$T$5:$T$20,$O9,Transacciones!$F$5:$F$20,"&lt;="&amp;Transacciones!$F$11)+$P9,""))</f>
        <v/>
      </c>
      <c r="AA9" s="14" t="str">
        <f>IF($C9&lt;&gt;"transaccion","",IF(AND(Transacciones!$T$12=$O9,Transacciones!$F$12&gt;$H9),SUMIFS(Transacciones!$N$5:$N$20,Transacciones!$T$5:$T$20,$O9,Transacciones!$F$5:$F$20,"&lt;="&amp;Transacciones!$F$12)+$P9,""))</f>
        <v/>
      </c>
      <c r="AB9" s="14" t="str">
        <f>IF($C9&lt;&gt;"transaccion","",IF(AND(Transacciones!$T$13=$O9,Transacciones!$F$13&gt;$H9),SUMIFS(Transacciones!$N$5:$N$20,Transacciones!$T$5:$T$20,$O9,Transacciones!$F$5:$F$20,"&lt;="&amp;Transacciones!$F$13)+$P9,""))</f>
        <v/>
      </c>
      <c r="AC9" s="14" t="str">
        <f>IF($C9&lt;&gt;"transaccion","",IF(AND(Transacciones!$T$14=$O9,Transacciones!$F$14&gt;$H9),SUMIFS(Transacciones!$N$5:$N$20,Transacciones!$T$5:$T$20,$O9,Transacciones!$F$5:$F$20,"&lt;="&amp;Transacciones!$F$14)+$P9,""))</f>
        <v/>
      </c>
      <c r="AD9" s="14" t="str">
        <f>IF($C9&lt;&gt;"transaccion","",IF(AND(Transacciones!$T$15=$O9,Transacciones!$F$15&gt;$H9),SUMIFS(Transacciones!$N$5:$N$20,Transacciones!$T$5:$T$20,$O9,Transacciones!$F$5:$F$20,"&lt;="&amp;Transacciones!$F$15)+$P9,""))</f>
        <v/>
      </c>
      <c r="AE9" s="14" t="str">
        <f>IF($C9&lt;&gt;"transaccion","",IF(AND(Transacciones!$T$16=$O9,Transacciones!$F$16&gt;$H9),SUMIFS(Transacciones!$N$5:$N$20,Transacciones!$T$5:$T$20,$O9,Transacciones!$F$5:$F$20,"&lt;="&amp;Transacciones!$F$16)+$P9,""))</f>
        <v/>
      </c>
      <c r="AF9" s="14" t="str">
        <f>IF($C9&lt;&gt;"transaccion","",IF(AND(Transacciones!$T$17=$O9,Transacciones!$F$17&gt;$H9),SUMIFS(Transacciones!$N$5:$N$20,Transacciones!$T$5:$T$20,$O9,Transacciones!$F$5:$F$20,"&lt;="&amp;Transacciones!$F$17)+$P9,""))</f>
        <v/>
      </c>
      <c r="AG9" s="14">
        <f>IF($C9&lt;&gt;"transaccion","",IF(AND(Transacciones!$T$18=$O9,Transacciones!$F$18&gt;$H9),SUMIFS(Transacciones!$N$5:$N$20,Transacciones!$T$5:$T$20,$O9,Transacciones!$F$5:$F$20,"&lt;="&amp;Transacciones!$F$18)+$P9,""))</f>
        <v>130</v>
      </c>
      <c r="AH9" s="14" t="str">
        <f>IF($C9&lt;&gt;"transaccion","",IF(AND(Transacciones!$T$19=$O9,Transacciones!$F$19&gt;$H9),SUMIFS(Transacciones!$N$5:$N$20,Transacciones!$T$5:$T$20,$O9,Transacciones!$F$5:$F$20,"&lt;="&amp;Transacciones!$F$19)+$P9,""))</f>
        <v/>
      </c>
      <c r="AI9" s="14" t="str">
        <f>IF($C9&lt;&gt;"transaccion","",IF(AND(Transacciones!$T$20=$O9,Transacciones!$F$20&gt;$H9),SUMIFS(Transacciones!$N$5:$N$20,Transacciones!$T$5:$T$20,$O9,Transacciones!$F$5:$F$20,"&lt;="&amp;Transacciones!$F$20)+$P9,""))</f>
        <v/>
      </c>
      <c r="AJ9" s="14">
        <f t="shared" si="2"/>
        <v>10</v>
      </c>
      <c r="AK9" s="15" t="str">
        <f t="shared" si="3"/>
        <v/>
      </c>
      <c r="AL9" s="11" t="str">
        <f>IF($C9="periodo",IF(M9&lt;L9,"criterio 3 de RF-09: fecha final anterior a la inicial",IF(OR(L9-1&lt;Entradas!$B$6,M9&gt;Entradas!$B$7),"criterio 3 de RF-09: fechas fuera de las semillas","")),IF(Q9,"RD-07 y criterio 3 de RF-05: fecha fuera del intervalo de las semillas",IF(R9,"criterio 2 de RF-26a: fecha igual o posterior al vencimiento de la emision",IF(AJ9&lt;0,"RF-28: deja negativo el saldo del instrumento con el intermediario dentro del portafolio",""))))</f>
        <v>RD-07 y criterio 3 de RF-05: fecha fuera del intervalo de las semillas</v>
      </c>
      <c r="AM9" s="11" t="str">
        <f t="shared" si="4"/>
        <v>rechazar</v>
      </c>
      <c r="AN9" s="15" t="str">
        <f t="shared" si="5"/>
        <v/>
      </c>
      <c r="AO9" s="14" t="str">
        <f>IF(LEFT(AL9,5)="RF-28",SUMIFS(Transacciones!$N$5:$N$20,Transacciones!$T$5:$T$20,O9,Transacciones!$F$5:$F$20,"&lt;="&amp;AK9)+P9,"")</f>
        <v/>
      </c>
    </row>
    <row r="10" spans="1:41" x14ac:dyDescent="0.3">
      <c r="A10" s="9" t="s">
        <v>424</v>
      </c>
      <c r="B10" s="9" t="s">
        <v>422</v>
      </c>
      <c r="C10" s="9" t="s">
        <v>410</v>
      </c>
      <c r="D10" s="9" t="s">
        <v>94</v>
      </c>
      <c r="E10" s="9" t="s">
        <v>112</v>
      </c>
      <c r="F10" s="9" t="s">
        <v>123</v>
      </c>
      <c r="G10" s="9" t="s">
        <v>230</v>
      </c>
      <c r="H10" s="10">
        <v>46310</v>
      </c>
      <c r="I10" s="13">
        <v>10</v>
      </c>
      <c r="J10" s="16">
        <v>111</v>
      </c>
      <c r="K10" s="12">
        <v>3.22</v>
      </c>
      <c r="N10" s="9" t="s">
        <v>425</v>
      </c>
      <c r="O10" s="11" t="str">
        <f t="shared" si="0"/>
        <v>Principal|DEMOACC|Casa A</v>
      </c>
      <c r="P10" s="14">
        <f t="shared" si="1"/>
        <v>10</v>
      </c>
      <c r="Q10" s="11" t="b">
        <f>IF($C10="transaccion",OR(H10&lt;Entradas!$B$6,H10&gt;Entradas!$B$7),"")</f>
        <v>1</v>
      </c>
      <c r="R10" s="11" t="b">
        <f>IF($C10="transaccion",AND(INDEX(Entradas!$C$40:$C$46,MATCH(F10,Entradas!$A$40:$A$46,0))="cetes",H10&gt;=INDEX(Entradas!$F$40:$F$46,MATCH(F10,Entradas!$A$40:$A$46,0))),"")</f>
        <v>0</v>
      </c>
      <c r="S10" s="14">
        <f>IF($C10="transaccion",SUMIFS(Transacciones!$N$5:$N$20,Transacciones!$T$5:$T$20,O10,Transacciones!$F$5:$F$20,"&lt;="&amp;H10)+P10,"")</f>
        <v>130</v>
      </c>
      <c r="T10" s="14" t="str">
        <f>IF($C10&lt;&gt;"transaccion","",IF(AND(Transacciones!$T$5=$O10,Transacciones!$F$5&gt;$H10),SUMIFS(Transacciones!$N$5:$N$20,Transacciones!$T$5:$T$20,$O10,Transacciones!$F$5:$F$20,"&lt;="&amp;Transacciones!$F$5)+$P10,""))</f>
        <v/>
      </c>
      <c r="U10" s="14" t="str">
        <f>IF($C10&lt;&gt;"transaccion","",IF(AND(Transacciones!$T$6=$O10,Transacciones!$F$6&gt;$H10),SUMIFS(Transacciones!$N$5:$N$20,Transacciones!$T$5:$T$20,$O10,Transacciones!$F$5:$F$20,"&lt;="&amp;Transacciones!$F$6)+$P10,""))</f>
        <v/>
      </c>
      <c r="V10" s="14" t="str">
        <f>IF($C10&lt;&gt;"transaccion","",IF(AND(Transacciones!$T$7=$O10,Transacciones!$F$7&gt;$H10),SUMIFS(Transacciones!$N$5:$N$20,Transacciones!$T$5:$T$20,$O10,Transacciones!$F$5:$F$20,"&lt;="&amp;Transacciones!$F$7)+$P10,""))</f>
        <v/>
      </c>
      <c r="W10" s="14" t="str">
        <f>IF($C10&lt;&gt;"transaccion","",IF(AND(Transacciones!$T$8=$O10,Transacciones!$F$8&gt;$H10),SUMIFS(Transacciones!$N$5:$N$20,Transacciones!$T$5:$T$20,$O10,Transacciones!$F$5:$F$20,"&lt;="&amp;Transacciones!$F$8)+$P10,""))</f>
        <v/>
      </c>
      <c r="X10" s="14" t="str">
        <f>IF($C10&lt;&gt;"transaccion","",IF(AND(Transacciones!$T$9=$O10,Transacciones!$F$9&gt;$H10),SUMIFS(Transacciones!$N$5:$N$20,Transacciones!$T$5:$T$20,$O10,Transacciones!$F$5:$F$20,"&lt;="&amp;Transacciones!$F$9)+$P10,""))</f>
        <v/>
      </c>
      <c r="Y10" s="14" t="str">
        <f>IF($C10&lt;&gt;"transaccion","",IF(AND(Transacciones!$T$10=$O10,Transacciones!$F$10&gt;$H10),SUMIFS(Transacciones!$N$5:$N$20,Transacciones!$T$5:$T$20,$O10,Transacciones!$F$5:$F$20,"&lt;="&amp;Transacciones!$F$10)+$P10,""))</f>
        <v/>
      </c>
      <c r="Z10" s="14" t="str">
        <f>IF($C10&lt;&gt;"transaccion","",IF(AND(Transacciones!$T$11=$O10,Transacciones!$F$11&gt;$H10),SUMIFS(Transacciones!$N$5:$N$20,Transacciones!$T$5:$T$20,$O10,Transacciones!$F$5:$F$20,"&lt;="&amp;Transacciones!$F$11)+$P10,""))</f>
        <v/>
      </c>
      <c r="AA10" s="14" t="str">
        <f>IF($C10&lt;&gt;"transaccion","",IF(AND(Transacciones!$T$12=$O10,Transacciones!$F$12&gt;$H10),SUMIFS(Transacciones!$N$5:$N$20,Transacciones!$T$5:$T$20,$O10,Transacciones!$F$5:$F$20,"&lt;="&amp;Transacciones!$F$12)+$P10,""))</f>
        <v/>
      </c>
      <c r="AB10" s="14" t="str">
        <f>IF($C10&lt;&gt;"transaccion","",IF(AND(Transacciones!$T$13=$O10,Transacciones!$F$13&gt;$H10),SUMIFS(Transacciones!$N$5:$N$20,Transacciones!$T$5:$T$20,$O10,Transacciones!$F$5:$F$20,"&lt;="&amp;Transacciones!$F$13)+$P10,""))</f>
        <v/>
      </c>
      <c r="AC10" s="14" t="str">
        <f>IF($C10&lt;&gt;"transaccion","",IF(AND(Transacciones!$T$14=$O10,Transacciones!$F$14&gt;$H10),SUMIFS(Transacciones!$N$5:$N$20,Transacciones!$T$5:$T$20,$O10,Transacciones!$F$5:$F$20,"&lt;="&amp;Transacciones!$F$14)+$P10,""))</f>
        <v/>
      </c>
      <c r="AD10" s="14" t="str">
        <f>IF($C10&lt;&gt;"transaccion","",IF(AND(Transacciones!$T$15=$O10,Transacciones!$F$15&gt;$H10),SUMIFS(Transacciones!$N$5:$N$20,Transacciones!$T$5:$T$20,$O10,Transacciones!$F$5:$F$20,"&lt;="&amp;Transacciones!$F$15)+$P10,""))</f>
        <v/>
      </c>
      <c r="AE10" s="14" t="str">
        <f>IF($C10&lt;&gt;"transaccion","",IF(AND(Transacciones!$T$16=$O10,Transacciones!$F$16&gt;$H10),SUMIFS(Transacciones!$N$5:$N$20,Transacciones!$T$5:$T$20,$O10,Transacciones!$F$5:$F$20,"&lt;="&amp;Transacciones!$F$16)+$P10,""))</f>
        <v/>
      </c>
      <c r="AF10" s="14" t="str">
        <f>IF($C10&lt;&gt;"transaccion","",IF(AND(Transacciones!$T$17=$O10,Transacciones!$F$17&gt;$H10),SUMIFS(Transacciones!$N$5:$N$20,Transacciones!$T$5:$T$20,$O10,Transacciones!$F$5:$F$20,"&lt;="&amp;Transacciones!$F$17)+$P10,""))</f>
        <v/>
      </c>
      <c r="AG10" s="14" t="str">
        <f>IF($C10&lt;&gt;"transaccion","",IF(AND(Transacciones!$T$18=$O10,Transacciones!$F$18&gt;$H10),SUMIFS(Transacciones!$N$5:$N$20,Transacciones!$T$5:$T$20,$O10,Transacciones!$F$5:$F$20,"&lt;="&amp;Transacciones!$F$18)+$P10,""))</f>
        <v/>
      </c>
      <c r="AH10" s="14" t="str">
        <f>IF($C10&lt;&gt;"transaccion","",IF(AND(Transacciones!$T$19=$O10,Transacciones!$F$19&gt;$H10),SUMIFS(Transacciones!$N$5:$N$20,Transacciones!$T$5:$T$20,$O10,Transacciones!$F$5:$F$20,"&lt;="&amp;Transacciones!$F$19)+$P10,""))</f>
        <v/>
      </c>
      <c r="AI10" s="14" t="str">
        <f>IF($C10&lt;&gt;"transaccion","",IF(AND(Transacciones!$T$20=$O10,Transacciones!$F$20&gt;$H10),SUMIFS(Transacciones!$N$5:$N$20,Transacciones!$T$5:$T$20,$O10,Transacciones!$F$5:$F$20,"&lt;="&amp;Transacciones!$F$20)+$P10,""))</f>
        <v/>
      </c>
      <c r="AJ10" s="14">
        <f t="shared" si="2"/>
        <v>130</v>
      </c>
      <c r="AK10" s="15" t="str">
        <f t="shared" si="3"/>
        <v/>
      </c>
      <c r="AL10" s="11" t="str">
        <f>IF($C10="periodo",IF(M10&lt;L10,"criterio 3 de RF-09: fecha final anterior a la inicial",IF(OR(L10-1&lt;Entradas!$B$6,M10&gt;Entradas!$B$7),"criterio 3 de RF-09: fechas fuera de las semillas","")),IF(Q10,"RD-07 y criterio 3 de RF-05: fecha fuera del intervalo de las semillas",IF(R10,"criterio 2 de RF-26a: fecha igual o posterior al vencimiento de la emision",IF(AJ10&lt;0,"RF-28: deja negativo el saldo del instrumento con el intermediario dentro del portafolio",""))))</f>
        <v>RD-07 y criterio 3 de RF-05: fecha fuera del intervalo de las semillas</v>
      </c>
      <c r="AM10" s="11" t="str">
        <f t="shared" si="4"/>
        <v>rechazar</v>
      </c>
      <c r="AN10" s="15" t="str">
        <f t="shared" si="5"/>
        <v/>
      </c>
      <c r="AO10" s="14" t="str">
        <f>IF(LEFT(AL10,5)="RF-28",SUMIFS(Transacciones!$N$5:$N$20,Transacciones!$T$5:$T$20,O10,Transacciones!$F$5:$F$20,"&lt;="&amp;AK10)+P10,"")</f>
        <v/>
      </c>
    </row>
    <row r="11" spans="1:41" x14ac:dyDescent="0.3">
      <c r="A11" s="9" t="s">
        <v>426</v>
      </c>
      <c r="B11" s="9" t="s">
        <v>427</v>
      </c>
      <c r="C11" s="9" t="s">
        <v>88</v>
      </c>
      <c r="D11" s="9" t="s">
        <v>94</v>
      </c>
      <c r="L11" s="10">
        <v>46309</v>
      </c>
      <c r="M11" s="10">
        <v>46276</v>
      </c>
      <c r="N11" s="9" t="s">
        <v>428</v>
      </c>
      <c r="O11" s="11" t="str">
        <f t="shared" si="0"/>
        <v/>
      </c>
      <c r="P11" s="14" t="str">
        <f t="shared" si="1"/>
        <v/>
      </c>
      <c r="Q11" s="11" t="str">
        <f>IF($C11="transaccion",OR(H11&lt;Entradas!$B$6,H11&gt;Entradas!$B$7),"")</f>
        <v/>
      </c>
      <c r="R11" s="11" t="str">
        <f>IF($C11="transaccion",AND(INDEX(Entradas!$C$40:$C$46,MATCH(F11,Entradas!$A$40:$A$46,0))="cetes",H11&gt;=INDEX(Entradas!$F$40:$F$46,MATCH(F11,Entradas!$A$40:$A$46,0))),"")</f>
        <v/>
      </c>
      <c r="S11" s="14" t="str">
        <f>IF($C11="transaccion",SUMIFS(Transacciones!$N$5:$N$20,Transacciones!$T$5:$T$20,O11,Transacciones!$F$5:$F$20,"&lt;="&amp;H11)+P11,"")</f>
        <v/>
      </c>
      <c r="T11" s="14" t="str">
        <f>IF($C11&lt;&gt;"transaccion","",IF(AND(Transacciones!$T$5=$O11,Transacciones!$F$5&gt;$H11),SUMIFS(Transacciones!$N$5:$N$20,Transacciones!$T$5:$T$20,$O11,Transacciones!$F$5:$F$20,"&lt;="&amp;Transacciones!$F$5)+$P11,""))</f>
        <v/>
      </c>
      <c r="U11" s="14" t="str">
        <f>IF($C11&lt;&gt;"transaccion","",IF(AND(Transacciones!$T$6=$O11,Transacciones!$F$6&gt;$H11),SUMIFS(Transacciones!$N$5:$N$20,Transacciones!$T$5:$T$20,$O11,Transacciones!$F$5:$F$20,"&lt;="&amp;Transacciones!$F$6)+$P11,""))</f>
        <v/>
      </c>
      <c r="V11" s="14" t="str">
        <f>IF($C11&lt;&gt;"transaccion","",IF(AND(Transacciones!$T$7=$O11,Transacciones!$F$7&gt;$H11),SUMIFS(Transacciones!$N$5:$N$20,Transacciones!$T$5:$T$20,$O11,Transacciones!$F$5:$F$20,"&lt;="&amp;Transacciones!$F$7)+$P11,""))</f>
        <v/>
      </c>
      <c r="W11" s="14" t="str">
        <f>IF($C11&lt;&gt;"transaccion","",IF(AND(Transacciones!$T$8=$O11,Transacciones!$F$8&gt;$H11),SUMIFS(Transacciones!$N$5:$N$20,Transacciones!$T$5:$T$20,$O11,Transacciones!$F$5:$F$20,"&lt;="&amp;Transacciones!$F$8)+$P11,""))</f>
        <v/>
      </c>
      <c r="X11" s="14" t="str">
        <f>IF($C11&lt;&gt;"transaccion","",IF(AND(Transacciones!$T$9=$O11,Transacciones!$F$9&gt;$H11),SUMIFS(Transacciones!$N$5:$N$20,Transacciones!$T$5:$T$20,$O11,Transacciones!$F$5:$F$20,"&lt;="&amp;Transacciones!$F$9)+$P11,""))</f>
        <v/>
      </c>
      <c r="Y11" s="14" t="str">
        <f>IF($C11&lt;&gt;"transaccion","",IF(AND(Transacciones!$T$10=$O11,Transacciones!$F$10&gt;$H11),SUMIFS(Transacciones!$N$5:$N$20,Transacciones!$T$5:$T$20,$O11,Transacciones!$F$5:$F$20,"&lt;="&amp;Transacciones!$F$10)+$P11,""))</f>
        <v/>
      </c>
      <c r="Z11" s="14" t="str">
        <f>IF($C11&lt;&gt;"transaccion","",IF(AND(Transacciones!$T$11=$O11,Transacciones!$F$11&gt;$H11),SUMIFS(Transacciones!$N$5:$N$20,Transacciones!$T$5:$T$20,$O11,Transacciones!$F$5:$F$20,"&lt;="&amp;Transacciones!$F$11)+$P11,""))</f>
        <v/>
      </c>
      <c r="AA11" s="14" t="str">
        <f>IF($C11&lt;&gt;"transaccion","",IF(AND(Transacciones!$T$12=$O11,Transacciones!$F$12&gt;$H11),SUMIFS(Transacciones!$N$5:$N$20,Transacciones!$T$5:$T$20,$O11,Transacciones!$F$5:$F$20,"&lt;="&amp;Transacciones!$F$12)+$P11,""))</f>
        <v/>
      </c>
      <c r="AB11" s="14" t="str">
        <f>IF($C11&lt;&gt;"transaccion","",IF(AND(Transacciones!$T$13=$O11,Transacciones!$F$13&gt;$H11),SUMIFS(Transacciones!$N$5:$N$20,Transacciones!$T$5:$T$20,$O11,Transacciones!$F$5:$F$20,"&lt;="&amp;Transacciones!$F$13)+$P11,""))</f>
        <v/>
      </c>
      <c r="AC11" s="14" t="str">
        <f>IF($C11&lt;&gt;"transaccion","",IF(AND(Transacciones!$T$14=$O11,Transacciones!$F$14&gt;$H11),SUMIFS(Transacciones!$N$5:$N$20,Transacciones!$T$5:$T$20,$O11,Transacciones!$F$5:$F$20,"&lt;="&amp;Transacciones!$F$14)+$P11,""))</f>
        <v/>
      </c>
      <c r="AD11" s="14" t="str">
        <f>IF($C11&lt;&gt;"transaccion","",IF(AND(Transacciones!$T$15=$O11,Transacciones!$F$15&gt;$H11),SUMIFS(Transacciones!$N$5:$N$20,Transacciones!$T$5:$T$20,$O11,Transacciones!$F$5:$F$20,"&lt;="&amp;Transacciones!$F$15)+$P11,""))</f>
        <v/>
      </c>
      <c r="AE11" s="14" t="str">
        <f>IF($C11&lt;&gt;"transaccion","",IF(AND(Transacciones!$T$16=$O11,Transacciones!$F$16&gt;$H11),SUMIFS(Transacciones!$N$5:$N$20,Transacciones!$T$5:$T$20,$O11,Transacciones!$F$5:$F$20,"&lt;="&amp;Transacciones!$F$16)+$P11,""))</f>
        <v/>
      </c>
      <c r="AF11" s="14" t="str">
        <f>IF($C11&lt;&gt;"transaccion","",IF(AND(Transacciones!$T$17=$O11,Transacciones!$F$17&gt;$H11),SUMIFS(Transacciones!$N$5:$N$20,Transacciones!$T$5:$T$20,$O11,Transacciones!$F$5:$F$20,"&lt;="&amp;Transacciones!$F$17)+$P11,""))</f>
        <v/>
      </c>
      <c r="AG11" s="14" t="str">
        <f>IF($C11&lt;&gt;"transaccion","",IF(AND(Transacciones!$T$18=$O11,Transacciones!$F$18&gt;$H11),SUMIFS(Transacciones!$N$5:$N$20,Transacciones!$T$5:$T$20,$O11,Transacciones!$F$5:$F$20,"&lt;="&amp;Transacciones!$F$18)+$P11,""))</f>
        <v/>
      </c>
      <c r="AH11" s="14" t="str">
        <f>IF($C11&lt;&gt;"transaccion","",IF(AND(Transacciones!$T$19=$O11,Transacciones!$F$19&gt;$H11),SUMIFS(Transacciones!$N$5:$N$20,Transacciones!$T$5:$T$20,$O11,Transacciones!$F$5:$F$20,"&lt;="&amp;Transacciones!$F$19)+$P11,""))</f>
        <v/>
      </c>
      <c r="AI11" s="14" t="str">
        <f>IF($C11&lt;&gt;"transaccion","",IF(AND(Transacciones!$T$20=$O11,Transacciones!$F$20&gt;$H11),SUMIFS(Transacciones!$N$5:$N$20,Transacciones!$T$5:$T$20,$O11,Transacciones!$F$5:$F$20,"&lt;="&amp;Transacciones!$F$20)+$P11,""))</f>
        <v/>
      </c>
      <c r="AJ11" s="14" t="str">
        <f t="shared" si="2"/>
        <v/>
      </c>
      <c r="AK11" s="15" t="str">
        <f t="shared" si="3"/>
        <v/>
      </c>
      <c r="AL11" s="11" t="str">
        <f>IF($C11="periodo",IF(M11&lt;L11,"criterio 3 de RF-09: fecha final anterior a la inicial",IF(OR(L11-1&lt;Entradas!$B$6,M11&gt;Entradas!$B$7),"criterio 3 de RF-09: fechas fuera de las semillas","")),IF(Q11,"RD-07 y criterio 3 de RF-05: fecha fuera del intervalo de las semillas",IF(R11,"criterio 2 de RF-26a: fecha igual o posterior al vencimiento de la emision",IF(AJ11&lt;0,"RF-28: deja negativo el saldo del instrumento con el intermediario dentro del portafolio",""))))</f>
        <v>criterio 3 de RF-09: fecha final anterior a la inicial</v>
      </c>
      <c r="AM11" s="11" t="str">
        <f t="shared" si="4"/>
        <v>rechazar</v>
      </c>
      <c r="AN11" s="15" t="str">
        <f t="shared" si="5"/>
        <v/>
      </c>
      <c r="AO11" s="14" t="str">
        <f>IF(LEFT(AL11,5)="RF-28",SUMIFS(Transacciones!$N$5:$N$20,Transacciones!$T$5:$T$20,O11,Transacciones!$F$5:$F$20,"&lt;="&amp;AK11)+P11,"")</f>
        <v/>
      </c>
    </row>
    <row r="12" spans="1:41" x14ac:dyDescent="0.3">
      <c r="A12" s="9" t="s">
        <v>429</v>
      </c>
      <c r="B12" s="9" t="s">
        <v>427</v>
      </c>
      <c r="C12" s="9" t="s">
        <v>88</v>
      </c>
      <c r="D12" s="9" t="s">
        <v>94</v>
      </c>
      <c r="L12" s="10">
        <v>46276</v>
      </c>
      <c r="M12" s="10">
        <v>46310</v>
      </c>
      <c r="N12" s="9" t="s">
        <v>430</v>
      </c>
      <c r="O12" s="11" t="str">
        <f t="shared" si="0"/>
        <v/>
      </c>
      <c r="P12" s="14" t="str">
        <f t="shared" si="1"/>
        <v/>
      </c>
      <c r="Q12" s="11" t="str">
        <f>IF($C12="transaccion",OR(H12&lt;Entradas!$B$6,H12&gt;Entradas!$B$7),"")</f>
        <v/>
      </c>
      <c r="R12" s="11" t="str">
        <f>IF($C12="transaccion",AND(INDEX(Entradas!$C$40:$C$46,MATCH(F12,Entradas!$A$40:$A$46,0))="cetes",H12&gt;=INDEX(Entradas!$F$40:$F$46,MATCH(F12,Entradas!$A$40:$A$46,0))),"")</f>
        <v/>
      </c>
      <c r="S12" s="14" t="str">
        <f>IF($C12="transaccion",SUMIFS(Transacciones!$N$5:$N$20,Transacciones!$T$5:$T$20,O12,Transacciones!$F$5:$F$20,"&lt;="&amp;H12)+P12,"")</f>
        <v/>
      </c>
      <c r="T12" s="14" t="str">
        <f>IF($C12&lt;&gt;"transaccion","",IF(AND(Transacciones!$T$5=$O12,Transacciones!$F$5&gt;$H12),SUMIFS(Transacciones!$N$5:$N$20,Transacciones!$T$5:$T$20,$O12,Transacciones!$F$5:$F$20,"&lt;="&amp;Transacciones!$F$5)+$P12,""))</f>
        <v/>
      </c>
      <c r="U12" s="14" t="str">
        <f>IF($C12&lt;&gt;"transaccion","",IF(AND(Transacciones!$T$6=$O12,Transacciones!$F$6&gt;$H12),SUMIFS(Transacciones!$N$5:$N$20,Transacciones!$T$5:$T$20,$O12,Transacciones!$F$5:$F$20,"&lt;="&amp;Transacciones!$F$6)+$P12,""))</f>
        <v/>
      </c>
      <c r="V12" s="14" t="str">
        <f>IF($C12&lt;&gt;"transaccion","",IF(AND(Transacciones!$T$7=$O12,Transacciones!$F$7&gt;$H12),SUMIFS(Transacciones!$N$5:$N$20,Transacciones!$T$5:$T$20,$O12,Transacciones!$F$5:$F$20,"&lt;="&amp;Transacciones!$F$7)+$P12,""))</f>
        <v/>
      </c>
      <c r="W12" s="14" t="str">
        <f>IF($C12&lt;&gt;"transaccion","",IF(AND(Transacciones!$T$8=$O12,Transacciones!$F$8&gt;$H12),SUMIFS(Transacciones!$N$5:$N$20,Transacciones!$T$5:$T$20,$O12,Transacciones!$F$5:$F$20,"&lt;="&amp;Transacciones!$F$8)+$P12,""))</f>
        <v/>
      </c>
      <c r="X12" s="14" t="str">
        <f>IF($C12&lt;&gt;"transaccion","",IF(AND(Transacciones!$T$9=$O12,Transacciones!$F$9&gt;$H12),SUMIFS(Transacciones!$N$5:$N$20,Transacciones!$T$5:$T$20,$O12,Transacciones!$F$5:$F$20,"&lt;="&amp;Transacciones!$F$9)+$P12,""))</f>
        <v/>
      </c>
      <c r="Y12" s="14" t="str">
        <f>IF($C12&lt;&gt;"transaccion","",IF(AND(Transacciones!$T$10=$O12,Transacciones!$F$10&gt;$H12),SUMIFS(Transacciones!$N$5:$N$20,Transacciones!$T$5:$T$20,$O12,Transacciones!$F$5:$F$20,"&lt;="&amp;Transacciones!$F$10)+$P12,""))</f>
        <v/>
      </c>
      <c r="Z12" s="14" t="str">
        <f>IF($C12&lt;&gt;"transaccion","",IF(AND(Transacciones!$T$11=$O12,Transacciones!$F$11&gt;$H12),SUMIFS(Transacciones!$N$5:$N$20,Transacciones!$T$5:$T$20,$O12,Transacciones!$F$5:$F$20,"&lt;="&amp;Transacciones!$F$11)+$P12,""))</f>
        <v/>
      </c>
      <c r="AA12" s="14" t="str">
        <f>IF($C12&lt;&gt;"transaccion","",IF(AND(Transacciones!$T$12=$O12,Transacciones!$F$12&gt;$H12),SUMIFS(Transacciones!$N$5:$N$20,Transacciones!$T$5:$T$20,$O12,Transacciones!$F$5:$F$20,"&lt;="&amp;Transacciones!$F$12)+$P12,""))</f>
        <v/>
      </c>
      <c r="AB12" s="14" t="str">
        <f>IF($C12&lt;&gt;"transaccion","",IF(AND(Transacciones!$T$13=$O12,Transacciones!$F$13&gt;$H12),SUMIFS(Transacciones!$N$5:$N$20,Transacciones!$T$5:$T$20,$O12,Transacciones!$F$5:$F$20,"&lt;="&amp;Transacciones!$F$13)+$P12,""))</f>
        <v/>
      </c>
      <c r="AC12" s="14" t="str">
        <f>IF($C12&lt;&gt;"transaccion","",IF(AND(Transacciones!$T$14=$O12,Transacciones!$F$14&gt;$H12),SUMIFS(Transacciones!$N$5:$N$20,Transacciones!$T$5:$T$20,$O12,Transacciones!$F$5:$F$20,"&lt;="&amp;Transacciones!$F$14)+$P12,""))</f>
        <v/>
      </c>
      <c r="AD12" s="14" t="str">
        <f>IF($C12&lt;&gt;"transaccion","",IF(AND(Transacciones!$T$15=$O12,Transacciones!$F$15&gt;$H12),SUMIFS(Transacciones!$N$5:$N$20,Transacciones!$T$5:$T$20,$O12,Transacciones!$F$5:$F$20,"&lt;="&amp;Transacciones!$F$15)+$P12,""))</f>
        <v/>
      </c>
      <c r="AE12" s="14" t="str">
        <f>IF($C12&lt;&gt;"transaccion","",IF(AND(Transacciones!$T$16=$O12,Transacciones!$F$16&gt;$H12),SUMIFS(Transacciones!$N$5:$N$20,Transacciones!$T$5:$T$20,$O12,Transacciones!$F$5:$F$20,"&lt;="&amp;Transacciones!$F$16)+$P12,""))</f>
        <v/>
      </c>
      <c r="AF12" s="14" t="str">
        <f>IF($C12&lt;&gt;"transaccion","",IF(AND(Transacciones!$T$17=$O12,Transacciones!$F$17&gt;$H12),SUMIFS(Transacciones!$N$5:$N$20,Transacciones!$T$5:$T$20,$O12,Transacciones!$F$5:$F$20,"&lt;="&amp;Transacciones!$F$17)+$P12,""))</f>
        <v/>
      </c>
      <c r="AG12" s="14" t="str">
        <f>IF($C12&lt;&gt;"transaccion","",IF(AND(Transacciones!$T$18=$O12,Transacciones!$F$18&gt;$H12),SUMIFS(Transacciones!$N$5:$N$20,Transacciones!$T$5:$T$20,$O12,Transacciones!$F$5:$F$20,"&lt;="&amp;Transacciones!$F$18)+$P12,""))</f>
        <v/>
      </c>
      <c r="AH12" s="14" t="str">
        <f>IF($C12&lt;&gt;"transaccion","",IF(AND(Transacciones!$T$19=$O12,Transacciones!$F$19&gt;$H12),SUMIFS(Transacciones!$N$5:$N$20,Transacciones!$T$5:$T$20,$O12,Transacciones!$F$5:$F$20,"&lt;="&amp;Transacciones!$F$19)+$P12,""))</f>
        <v/>
      </c>
      <c r="AI12" s="14" t="str">
        <f>IF($C12&lt;&gt;"transaccion","",IF(AND(Transacciones!$T$20=$O12,Transacciones!$F$20&gt;$H12),SUMIFS(Transacciones!$N$5:$N$20,Transacciones!$T$5:$T$20,$O12,Transacciones!$F$5:$F$20,"&lt;="&amp;Transacciones!$F$20)+$P12,""))</f>
        <v/>
      </c>
      <c r="AJ12" s="14" t="str">
        <f t="shared" si="2"/>
        <v/>
      </c>
      <c r="AK12" s="15" t="str">
        <f t="shared" si="3"/>
        <v/>
      </c>
      <c r="AL12" s="11" t="str">
        <f>IF($C12="periodo",IF(M12&lt;L12,"criterio 3 de RF-09: fecha final anterior a la inicial",IF(OR(L12-1&lt;Entradas!$B$6,M12&gt;Entradas!$B$7),"criterio 3 de RF-09: fechas fuera de las semillas","")),IF(Q12,"RD-07 y criterio 3 de RF-05: fecha fuera del intervalo de las semillas",IF(R12,"criterio 2 de RF-26a: fecha igual o posterior al vencimiento de la emision",IF(AJ12&lt;0,"RF-28: deja negativo el saldo del instrumento con el intermediario dentro del portafolio",""))))</f>
        <v>criterio 3 de RF-09: fechas fuera de las semillas</v>
      </c>
      <c r="AM12" s="11" t="str">
        <f t="shared" si="4"/>
        <v>rechazar</v>
      </c>
      <c r="AN12" s="15" t="str">
        <f t="shared" si="5"/>
        <v/>
      </c>
      <c r="AO12" s="14" t="str">
        <f>IF(LEFT(AL12,5)="RF-28",SUMIFS(Transacciones!$N$5:$N$20,Transacciones!$T$5:$T$20,O12,Transacciones!$F$5:$F$20,"&lt;="&amp;AK12)+P12,"")</f>
        <v/>
      </c>
    </row>
    <row r="15" spans="1:41" x14ac:dyDescent="0.3">
      <c r="A15" s="7" t="s">
        <v>431</v>
      </c>
    </row>
    <row r="16" spans="1:41" ht="39.6" x14ac:dyDescent="0.3">
      <c r="A16" s="8" t="s">
        <v>394</v>
      </c>
      <c r="B16" s="8" t="s">
        <v>395</v>
      </c>
      <c r="C16" s="8" t="s">
        <v>432</v>
      </c>
      <c r="D16" s="8" t="s">
        <v>89</v>
      </c>
      <c r="E16" s="8" t="s">
        <v>203</v>
      </c>
      <c r="F16" s="8" t="s">
        <v>204</v>
      </c>
      <c r="G16" s="8" t="s">
        <v>205</v>
      </c>
      <c r="H16" s="8" t="s">
        <v>404</v>
      </c>
      <c r="I16" s="8" t="s">
        <v>216</v>
      </c>
      <c r="J16" s="8" t="s">
        <v>433</v>
      </c>
      <c r="K16" s="8" t="s">
        <v>434</v>
      </c>
      <c r="L16" s="8" t="s">
        <v>435</v>
      </c>
      <c r="M16" s="8" t="s">
        <v>407</v>
      </c>
      <c r="N16" s="8" t="s">
        <v>436</v>
      </c>
      <c r="O16" s="8" t="s">
        <v>405</v>
      </c>
    </row>
    <row r="17" spans="1:15" x14ac:dyDescent="0.3">
      <c r="A17" s="9" t="s">
        <v>437</v>
      </c>
      <c r="B17" s="9" t="s">
        <v>438</v>
      </c>
      <c r="C17" s="9" t="s">
        <v>439</v>
      </c>
      <c r="D17" s="11" t="str">
        <f>INDEX(Transacciones!$B$5:$B$20,MATCH(LEFT(C17,3),Transacciones!$A$5:$A$20,0))</f>
        <v>Principal</v>
      </c>
      <c r="E17" s="11" t="str">
        <f>INDEX(Transacciones!$C$5:$C$20,MATCH(LEFT(C17,3),Transacciones!$A$5:$A$20,0))</f>
        <v>Casa B</v>
      </c>
      <c r="F17" s="11" t="str">
        <f>INDEX(Transacciones!$D$5:$D$20,MATCH(LEFT(C17,3),Transacciones!$A$5:$A$20,0))</f>
        <v>DEMOETF</v>
      </c>
      <c r="G17" s="15">
        <f>INDEX(Transacciones!$F$5:$F$20,MATCH(LEFT(C17,3),Transacciones!$A$5:$A$20,0))</f>
        <v>46290</v>
      </c>
      <c r="H17" s="9" t="s">
        <v>440</v>
      </c>
      <c r="I17" s="11" t="str">
        <f>D17&amp;"|"&amp;F17&amp;"|"&amp;E17</f>
        <v>Principal|DEMOETF|Casa B</v>
      </c>
      <c r="J17" s="14">
        <f>SUMIFS(Transacciones!$N$5:$N$20,Transacciones!$T$5:$T$20,I17,Transacciones!$F$5:$F$20,"&lt;"&amp;G17)</f>
        <v>100</v>
      </c>
      <c r="K17" s="14">
        <f>SUMIFS(Transacciones!$G$5:$G$20,Transacciones!$T$5:$T$20,I17,Transacciones!$F$5:$F$20,G17,Transacciones!$E$5:$E$20,"compra")</f>
        <v>60</v>
      </c>
      <c r="L17" s="14">
        <f>SUMIFS(Transacciones!$G$5:$G$20,Transacciones!$T$5:$T$20,I17,Transacciones!$F$5:$F$20,G17,Transacciones!$E$5:$E$20,"venta")</f>
        <v>120</v>
      </c>
      <c r="M17" s="14">
        <f>J17+K17-L17</f>
        <v>40</v>
      </c>
      <c r="N17" s="14">
        <f>J17-L17</f>
        <v>-20</v>
      </c>
      <c r="O17" s="11" t="str">
        <f>IF(AND(MIN(Transacciones!$W$5:$W$20)&gt;=0,MIN('Valuación diaria'!$I$5:$I$354)&gt;=0,M17&gt;=0),"aceptar","rechazar")</f>
        <v>aceptar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78" customWidth="1"/>
    <col min="3" max="3" width="11" customWidth="1"/>
    <col min="4" max="5" width="18" customWidth="1"/>
    <col min="6" max="6" width="14" customWidth="1"/>
    <col min="7" max="7" width="40" customWidth="1"/>
  </cols>
  <sheetData>
    <row r="1" spans="1:7" ht="17.399999999999999" x14ac:dyDescent="0.3">
      <c r="A1" s="5" t="s">
        <v>441</v>
      </c>
    </row>
    <row r="2" spans="1:7" x14ac:dyDescent="0.3">
      <c r="A2" s="6" t="s">
        <v>442</v>
      </c>
    </row>
    <row r="4" spans="1:7" ht="26.4" x14ac:dyDescent="0.3">
      <c r="A4" s="8" t="s">
        <v>443</v>
      </c>
      <c r="B4" s="8" t="s">
        <v>444</v>
      </c>
      <c r="C4" s="8" t="s">
        <v>162</v>
      </c>
      <c r="D4" s="8" t="s">
        <v>445</v>
      </c>
      <c r="E4" s="8" t="s">
        <v>446</v>
      </c>
      <c r="F4" s="8" t="s">
        <v>447</v>
      </c>
      <c r="G4" s="8" t="s">
        <v>159</v>
      </c>
    </row>
    <row r="5" spans="1:7" x14ac:dyDescent="0.3">
      <c r="A5" s="29">
        <v>1</v>
      </c>
      <c r="B5" s="30" t="s">
        <v>448</v>
      </c>
      <c r="C5" s="11" t="b">
        <f>ABS(F5)&lt;0.000000000001</f>
        <v>1</v>
      </c>
      <c r="D5" s="27">
        <f>(1+Periodos!$K$6)*(1+Periodos!$K$7)</f>
        <v>1.0439280840611509</v>
      </c>
      <c r="E5" s="27">
        <f>1+Periodos!$K$5</f>
        <v>1.0439280840611507</v>
      </c>
      <c r="F5" s="27">
        <f>D5-E5</f>
        <v>0</v>
      </c>
      <c r="G5" s="30" t="s">
        <v>449</v>
      </c>
    </row>
    <row r="6" spans="1:7" x14ac:dyDescent="0.3">
      <c r="A6" s="29">
        <v>2</v>
      </c>
      <c r="B6" s="30" t="s">
        <v>450</v>
      </c>
      <c r="C6" s="11" t="b">
        <f>ABS(F6)&lt;0.000000000001</f>
        <v>1</v>
      </c>
      <c r="D6" s="27">
        <f>Periodos!$K$9</f>
        <v>6.8811368829270858E-2</v>
      </c>
      <c r="E6" s="27">
        <f>INDEX(Transacciones!$G$5:$G$20,MATCH("T07",Transacciones!$A$5:$A$20,0))*SUMIFS(Precios!$C$5:$C$75,Precios!$A$5:$A$75,"DEMOACC",Precios!$B$5:$B$75,Periodos!$D$9)/(INDEX(Transacciones!$G$5:$G$20,MATCH("T07",Transacciones!$A$5:$A$20,0))*INDEX(Transacciones!$H$5:$H$20,MATCH("T07",Transacciones!$A$5:$A$20,0))+INDEX(Transacciones!$I$5:$I$20,MATCH("T07",Transacciones!$A$5:$A$20,0)))-1</f>
        <v>6.8811368829270636E-2</v>
      </c>
      <c r="F6" s="27">
        <f>D6-E6</f>
        <v>2.2204460492503131E-16</v>
      </c>
      <c r="G6" s="30" t="s">
        <v>451</v>
      </c>
    </row>
    <row r="7" spans="1:7" x14ac:dyDescent="0.3">
      <c r="A7" s="29">
        <v>3</v>
      </c>
      <c r="B7" s="30" t="s">
        <v>452</v>
      </c>
      <c r="C7" s="11" t="b">
        <f>ABS(F7)&lt;0.000000000001</f>
        <v>1</v>
      </c>
      <c r="D7" s="27">
        <f>Periodos!$K$10</f>
        <v>3.688141923436028E-2</v>
      </c>
      <c r="E7" s="27">
        <f>SUMIFS(Precios!$C$5:$C$75,Precios!$A$5:$A$75,"DEMOACC",Precios!$B$5:$B$75,Periodos!$D$10)/SUMIFS(Precios!$C$5:$C$75,Precios!$A$5:$A$75,"DEMOACC",Precios!$B$5:$B$75,Periodos!$E$10)-1</f>
        <v>3.6881419234360502E-2</v>
      </c>
      <c r="F7" s="27">
        <f>D7-E7</f>
        <v>-2.2204460492503131E-16</v>
      </c>
      <c r="G7" s="30" t="s">
        <v>453</v>
      </c>
    </row>
    <row r="8" spans="1:7" x14ac:dyDescent="0.3">
      <c r="A8" s="29">
        <v>4</v>
      </c>
      <c r="B8" s="30" t="s">
        <v>454</v>
      </c>
      <c r="C8" s="11" t="b">
        <f>ABS(F8)&lt;0.000000000001</f>
        <v>1</v>
      </c>
      <c r="D8" s="27">
        <f>Periodos!$N$10</f>
        <v>-5.08870214752567E-2</v>
      </c>
      <c r="E8" s="27">
        <f>SUMIFS(Precios!$C$5:$C$75,Precios!$A$5:$A$75,"DEMOACC",Precios!$B$5:$B$75,Periodos!$P$10)/SUMIFS(Precios!$C$5:$C$75,Precios!$A$5:$A$75,"DEMOACC",Precios!$B$5:$B$75,Periodos!$E$10)-1</f>
        <v>-5.08870214752567E-2</v>
      </c>
      <c r="F8" s="27">
        <f>D8-E8</f>
        <v>0</v>
      </c>
      <c r="G8" s="30" t="s">
        <v>455</v>
      </c>
    </row>
    <row r="9" spans="1:7" x14ac:dyDescent="0.3">
      <c r="A9" s="29">
        <v>5</v>
      </c>
      <c r="B9" s="30" t="s">
        <v>456</v>
      </c>
      <c r="C9" s="11" t="b">
        <f>ABS(F9)&lt;0.000000000001</f>
        <v>1</v>
      </c>
      <c r="D9" s="27">
        <f>Periodos!$N$9</f>
        <v>-0.13675417661097844</v>
      </c>
      <c r="E9" s="27">
        <f>SUMIFS(Precios!$C$5:$C$75,Precios!$A$5:$A$75,"DEMOACC",Precios!$B$5:$B$75,Periodos!$P$9)/SUMIFS(Precios!$C$5:$C$75,Precios!$A$5:$A$75,"DEMOACC",Precios!$B$5:$B$75,Periodos!$R$9)-1</f>
        <v>-0.13675417661097855</v>
      </c>
      <c r="F9" s="27">
        <f>D9-E9</f>
        <v>0</v>
      </c>
      <c r="G9" s="30" t="s">
        <v>457</v>
      </c>
    </row>
    <row r="10" spans="1:7" x14ac:dyDescent="0.3">
      <c r="A10" s="29">
        <v>6</v>
      </c>
      <c r="B10" s="30" t="s">
        <v>458</v>
      </c>
      <c r="C10" s="11" t="b">
        <f>Periodos!$R$9=DATE(2026,9,15)</f>
        <v>1</v>
      </c>
      <c r="D10" s="15">
        <f>Periodos!$R$9</f>
        <v>46280</v>
      </c>
      <c r="G10" s="30" t="s">
        <v>459</v>
      </c>
    </row>
    <row r="11" spans="1:7" x14ac:dyDescent="0.3">
      <c r="A11" s="29">
        <v>7</v>
      </c>
      <c r="B11" s="30" t="s">
        <v>460</v>
      </c>
      <c r="C11" s="11" t="b">
        <f>Periodos!$P$9=DATE(2026,9,23)</f>
        <v>1</v>
      </c>
      <c r="D11" s="15">
        <f>Periodos!$P$9</f>
        <v>46288</v>
      </c>
      <c r="G11" s="30" t="s">
        <v>459</v>
      </c>
    </row>
    <row r="12" spans="1:7" x14ac:dyDescent="0.3">
      <c r="A12" s="29">
        <v>8</v>
      </c>
      <c r="B12" s="30" t="s">
        <v>461</v>
      </c>
      <c r="C12" s="11" t="b">
        <f>AND(Posiciones!$H$83:$H$90)</f>
        <v>1</v>
      </c>
      <c r="G12" s="30" t="s">
        <v>462</v>
      </c>
    </row>
    <row r="13" spans="1:7" x14ac:dyDescent="0.3">
      <c r="A13" s="29">
        <v>9</v>
      </c>
      <c r="B13" s="30" t="s">
        <v>463</v>
      </c>
      <c r="C13" s="11" t="b">
        <f>AND(Transacciones!$AB$5:$AB$20)</f>
        <v>1</v>
      </c>
      <c r="G13" s="30" t="s">
        <v>464</v>
      </c>
    </row>
    <row r="14" spans="1:7" x14ac:dyDescent="0.3">
      <c r="A14" s="29">
        <v>10</v>
      </c>
      <c r="B14" s="30" t="s">
        <v>465</v>
      </c>
      <c r="C14" s="11" t="b">
        <f>INDEX(Transacciones!$H$5:$H$20,MATCH("T13",Transacciones!$A$5:$A$20,0))=SUMIFS(CETES!$AF$5:$AF$95,CETES!$A$5:$A$95,INDEX(Transacciones!$F$5:$F$20,MATCH("T13",Transacciones!$A$5:$A$20,0)),CETES!$B$5:$B$95,"BI261008")</f>
        <v>1</v>
      </c>
      <c r="D14" s="27">
        <f>INDEX(Transacciones!$H$5:$H$20,MATCH("T13",Transacciones!$A$5:$A$20,0))</f>
        <v>9.9883275000000005</v>
      </c>
      <c r="E14" s="27">
        <f>SUMIFS(CETES!$AF$5:$AF$95,CETES!$A$5:$A$95,INDEX(Transacciones!$F$5:$F$20,MATCH("T13",Transacciones!$A$5:$A$20,0)),CETES!$B$5:$B$95,"BI261008")</f>
        <v>9.9883275000000005</v>
      </c>
      <c r="F14" s="27">
        <f>D14-E14</f>
        <v>0</v>
      </c>
      <c r="G14" s="30" t="s">
        <v>466</v>
      </c>
    </row>
    <row r="15" spans="1:7" x14ac:dyDescent="0.3">
      <c r="A15" s="29">
        <v>11</v>
      </c>
      <c r="B15" s="30" t="s">
        <v>467</v>
      </c>
      <c r="C15" s="11" t="b">
        <f>D15=E15</f>
        <v>1</v>
      </c>
      <c r="D15" s="27">
        <f>SUMIFS(Serie!$H$5:$H$74,Serie!$A$5:$A$74,Entradas!$A$16,Serie!$B$5:$B$74,"Principal")</f>
        <v>20000</v>
      </c>
      <c r="E15" s="27">
        <f>2000*10</f>
        <v>20000</v>
      </c>
      <c r="F15" s="27">
        <f>D15-E15</f>
        <v>0</v>
      </c>
      <c r="G15" s="30" t="s">
        <v>468</v>
      </c>
    </row>
    <row r="16" spans="1:7" x14ac:dyDescent="0.3">
      <c r="A16" s="29">
        <v>12</v>
      </c>
      <c r="B16" s="30" t="s">
        <v>469</v>
      </c>
      <c r="C16" s="11" t="b">
        <f>MIN(Transacciones!$W$5:$W$20)&gt;=0</f>
        <v>1</v>
      </c>
      <c r="D16" s="27">
        <f>MIN(Transacciones!$W$5:$W$20)</f>
        <v>0</v>
      </c>
      <c r="G16" s="30" t="s">
        <v>470</v>
      </c>
    </row>
    <row r="17" spans="1:7" x14ac:dyDescent="0.3">
      <c r="A17" s="29">
        <v>13</v>
      </c>
      <c r="B17" s="30" t="s">
        <v>471</v>
      </c>
      <c r="C17" s="11" t="b">
        <f>MIN('Valuación diaria'!$I$5:$I$354)&gt;=0</f>
        <v>1</v>
      </c>
      <c r="D17" s="27">
        <f>MIN('Valuación diaria'!$I$5:$I$354)</f>
        <v>0</v>
      </c>
      <c r="G17" s="30" t="s">
        <v>413</v>
      </c>
    </row>
    <row r="18" spans="1:7" x14ac:dyDescent="0.3">
      <c r="A18" s="29">
        <v>14</v>
      </c>
      <c r="B18" s="30" t="s">
        <v>472</v>
      </c>
      <c r="C18" s="11" t="b">
        <f>SUMPRODUCT(--(Transacciones!$U$6:$U$20&lt;=Transacciones!$U$5:$U$19))=0</f>
        <v>1</v>
      </c>
      <c r="G18" s="30" t="s">
        <v>473</v>
      </c>
    </row>
    <row r="19" spans="1:7" x14ac:dyDescent="0.3">
      <c r="A19" s="29">
        <v>15</v>
      </c>
      <c r="B19" s="30" t="s">
        <v>474</v>
      </c>
      <c r="C19" s="11" t="b">
        <f>MIN(CETES!$F$5:$J$95)&gt;0</f>
        <v>1</v>
      </c>
      <c r="G19" s="30" t="s">
        <v>475</v>
      </c>
    </row>
    <row r="20" spans="1:7" x14ac:dyDescent="0.3">
      <c r="A20" s="29">
        <v>16</v>
      </c>
      <c r="B20" s="30" t="s">
        <v>476</v>
      </c>
      <c r="C20" s="11" t="b">
        <f>SUMPRODUCT(--(CETES!$Y$5:$Y$95&gt;CETES!$A$5:$A$95))+SUMPRODUCT(--(CETES!$Z$5:$Z$95&gt;CETES!$A$5:$A$95))=0</f>
        <v>1</v>
      </c>
      <c r="G20" s="30" t="s">
        <v>477</v>
      </c>
    </row>
    <row r="21" spans="1:7" x14ac:dyDescent="0.3">
      <c r="A21" s="29">
        <v>17</v>
      </c>
      <c r="B21" s="30" t="s">
        <v>478</v>
      </c>
      <c r="C21" s="11" t="b">
        <f>COUNTIF(CETES!$F$5:$J$95,DATE(2026,10,15))=0</f>
        <v>1</v>
      </c>
      <c r="G21" s="30" t="s">
        <v>479</v>
      </c>
    </row>
    <row r="22" spans="1:7" x14ac:dyDescent="0.3">
      <c r="A22" s="29">
        <v>18</v>
      </c>
      <c r="B22" s="30" t="s">
        <v>480</v>
      </c>
      <c r="C22" s="11" t="b">
        <f>AND(INDEX(CETES!$Y$5:$Y$95,MATCH(DATE(2026,10,7)&amp;"|BI261008",CETES!$AG$5:$AG$95,0))=DATE(2026,10,1),INDEX(CETES!$AA$5:$AA$95,MATCH(DATE(2026,10,7)&amp;"|BI261008",CETES!$AG$5:$AG$95,0))=6.01)</f>
        <v>1</v>
      </c>
      <c r="G22" s="30" t="s">
        <v>481</v>
      </c>
    </row>
    <row r="23" spans="1:7" x14ac:dyDescent="0.3">
      <c r="A23" s="29">
        <v>19</v>
      </c>
      <c r="B23" s="30" t="s">
        <v>482</v>
      </c>
      <c r="C23" s="11" t="b">
        <f>AND(Precios!$G$5:$G$75)</f>
        <v>1</v>
      </c>
      <c r="G23" s="30" t="s">
        <v>483</v>
      </c>
    </row>
    <row r="24" spans="1:7" x14ac:dyDescent="0.3">
      <c r="A24" s="29">
        <v>20</v>
      </c>
      <c r="B24" s="30" t="s">
        <v>484</v>
      </c>
      <c r="C24" s="11" t="b">
        <f>SUMPRODUCT(--(ABS(Precios!$C$5:$C$75*10^7-ROUND(Precios!$C$5:$C$75*10^7,0))&gt;0.000001))=0</f>
        <v>1</v>
      </c>
      <c r="G24" s="30" t="s">
        <v>485</v>
      </c>
    </row>
    <row r="25" spans="1:7" x14ac:dyDescent="0.3">
      <c r="A25" s="29">
        <v>21</v>
      </c>
      <c r="B25" s="30" t="s">
        <v>486</v>
      </c>
      <c r="C25" s="11" t="b">
        <f>SUMPRODUCT(--(ABS(Transacciones!$H$5:$H$20*10^7-ROUND(Transacciones!$H$5:$H$20*10^7,0))&gt;0.000001))+SUMPRODUCT(--(ABS(Transacciones!$I$5:$I$20*100-ROUND(Transacciones!$I$5:$I$20*100,0))&gt;0.000001))=0</f>
        <v>1</v>
      </c>
      <c r="G25" s="30" t="s">
        <v>487</v>
      </c>
    </row>
    <row r="26" spans="1:7" x14ac:dyDescent="0.3">
      <c r="A26" s="29">
        <v>22</v>
      </c>
      <c r="B26" s="30" t="s">
        <v>488</v>
      </c>
      <c r="C26" s="11" t="b">
        <f>SUMPRODUCT(--(ABS(Tasas!$C$5:$C$36*10^5-ROUND(Tasas!$C$5:$C$36*10^5,0))&gt;0.000001))=0</f>
        <v>1</v>
      </c>
      <c r="G26" s="30" t="s">
        <v>485</v>
      </c>
    </row>
    <row r="27" spans="1:7" x14ac:dyDescent="0.3">
      <c r="A27" s="29">
        <v>23</v>
      </c>
      <c r="B27" s="30" t="s">
        <v>489</v>
      </c>
      <c r="C27" s="11" t="b">
        <f>AND(Entradas!$H$40:$H$46)</f>
        <v>1</v>
      </c>
      <c r="G27" s="30" t="s">
        <v>490</v>
      </c>
    </row>
    <row r="28" spans="1:7" x14ac:dyDescent="0.3">
      <c r="A28" s="29">
        <v>24</v>
      </c>
      <c r="B28" s="30" t="s">
        <v>491</v>
      </c>
      <c r="C28" s="11" t="b">
        <f>AND(Entradas!$I$40:$I$46)</f>
        <v>1</v>
      </c>
      <c r="G28" s="30" t="s">
        <v>492</v>
      </c>
    </row>
    <row r="29" spans="1:7" x14ac:dyDescent="0.3">
      <c r="A29" s="29">
        <v>25</v>
      </c>
      <c r="B29" s="30" t="s">
        <v>493</v>
      </c>
      <c r="C29" s="11" t="b">
        <f>SUMPRODUCT((Transacciones!$K$5:$K$20="cetes")*((Transacciones!$AC$5:$AC$20&lt;1)+(Transacciones!$AC$5:$AC$20&gt;728)))=0</f>
        <v>1</v>
      </c>
      <c r="G29" s="30" t="s">
        <v>494</v>
      </c>
    </row>
    <row r="30" spans="1:7" x14ac:dyDescent="0.3">
      <c r="A30" s="29">
        <v>26</v>
      </c>
      <c r="B30" s="30" t="s">
        <v>495</v>
      </c>
      <c r="C30" s="11" t="b">
        <f>AND(Transacciones!$AD$5:$AD$20)</f>
        <v>1</v>
      </c>
      <c r="G30" s="30" t="s">
        <v>496</v>
      </c>
    </row>
    <row r="31" spans="1:7" x14ac:dyDescent="0.3">
      <c r="A31" s="29">
        <v>27</v>
      </c>
      <c r="B31" s="30" t="s">
        <v>497</v>
      </c>
      <c r="C31" s="11" t="b">
        <f>COUNTIFS(Transacciones!$F$5:$F$20,"&lt;"&amp;Entradas!$B$6)+COUNTIFS(Transacciones!$F$5:$F$20,"&gt;"&amp;Entradas!$B$7)=0</f>
        <v>1</v>
      </c>
      <c r="G31" s="30" t="s">
        <v>498</v>
      </c>
    </row>
    <row r="32" spans="1:7" x14ac:dyDescent="0.3">
      <c r="A32" s="29">
        <v>28</v>
      </c>
      <c r="B32" s="30" t="s">
        <v>499</v>
      </c>
      <c r="C32" s="11" t="b">
        <f>AND(COUNTIFS(Tasas!$A$5:$A$36,28,Tasas!$B$5:$B$36,"&lt;"&amp;Entradas!$B$6)&gt;0,COUNTIFS(Tasas!$A$5:$A$36,91,Tasas!$B$5:$B$36,"&lt;"&amp;Entradas!$B$6)&gt;0,COUNTIFS(Tasas!$A$5:$A$36,182,Tasas!$B$5:$B$36,"&lt;"&amp;Entradas!$B$6)&gt;0,COUNTIFS(Tasas!$A$5:$A$36,364,Tasas!$B$5:$B$36,"&lt;"&amp;Entradas!$B$6)&gt;0,COUNTIFS(Tasas!$A$5:$A$36,728,Tasas!$B$5:$B$36,"&lt;"&amp;Entradas!$B$6)&gt;0)</f>
        <v>1</v>
      </c>
      <c r="G32" s="30" t="s">
        <v>500</v>
      </c>
    </row>
    <row r="33" spans="1:7" x14ac:dyDescent="0.3">
      <c r="A33" s="29">
        <v>29</v>
      </c>
      <c r="B33" s="30" t="s">
        <v>501</v>
      </c>
      <c r="C33" s="11" t="b">
        <f>AND(Serie!K41=0,Serie!K42=0,Serie!K43=0)</f>
        <v>1</v>
      </c>
      <c r="G33" s="30" t="s">
        <v>502</v>
      </c>
    </row>
    <row r="34" spans="1:7" x14ac:dyDescent="0.3">
      <c r="A34" s="29">
        <v>30</v>
      </c>
      <c r="B34" s="30" t="s">
        <v>503</v>
      </c>
      <c r="C34" s="11" t="b">
        <f>ABS(F34)&lt;0.000000000001</f>
        <v>1</v>
      </c>
      <c r="D34" s="27">
        <f>INDEX(Serie!$M$5:$M$74,MATCH(Periodos!$D$5&amp;"|Principal",Serie!$C$5:$C$74,0))-1</f>
        <v>4.3928084061150674E-2</v>
      </c>
      <c r="E34" s="27">
        <f>Periodos!$K$5</f>
        <v>4.3928084061150674E-2</v>
      </c>
      <c r="F34" s="27">
        <f>D34-E34</f>
        <v>0</v>
      </c>
      <c r="G34" s="30" t="s">
        <v>504</v>
      </c>
    </row>
    <row r="35" spans="1:7" x14ac:dyDescent="0.3">
      <c r="A35" s="29">
        <v>31</v>
      </c>
      <c r="B35" s="30" t="s">
        <v>505</v>
      </c>
      <c r="C35" s="11" t="b">
        <f>Periodos!$N$8=0</f>
        <v>1</v>
      </c>
      <c r="D35" s="27">
        <f>Periodos!$N$8</f>
        <v>0</v>
      </c>
      <c r="G35" s="30" t="s">
        <v>506</v>
      </c>
    </row>
    <row r="36" spans="1:7" x14ac:dyDescent="0.3">
      <c r="A36" s="29">
        <v>32</v>
      </c>
      <c r="B36" s="30" t="s">
        <v>507</v>
      </c>
      <c r="C36" s="11" t="b">
        <f>AND(Periodos!$R$5=DATE(2026,9,16),Periodos!$P$5=DATE(2026,9,23))</f>
        <v>1</v>
      </c>
      <c r="G36" s="30" t="s">
        <v>508</v>
      </c>
    </row>
    <row r="37" spans="1:7" x14ac:dyDescent="0.3">
      <c r="A37" s="29">
        <v>33</v>
      </c>
      <c r="B37" s="30" t="s">
        <v>509</v>
      </c>
      <c r="C37" s="11" t="b">
        <f>SUMIFS(Posiciones!$D$48:$D$79,Posiciones!$A$48:$A$79,Entradas!$A$15,Posiciones!$B$48:$B$79,"Principal",Posiciones!$C$48:$C$79,"DEMOACC")=300</f>
        <v>1</v>
      </c>
      <c r="G37" s="30" t="s">
        <v>510</v>
      </c>
    </row>
    <row r="38" spans="1:7" x14ac:dyDescent="0.3">
      <c r="A38" s="29">
        <v>34</v>
      </c>
      <c r="B38" s="30" t="s">
        <v>511</v>
      </c>
      <c r="C38" s="11" t="b">
        <f>SUMIFS(Posiciones!$D$48:$D$79,Posiciones!$A$48:$A$79,Entradas!$A$16,Posiciones!$B$48:$B$79,"Principal",Posiciones!$C$48:$C$79,"BI261008")=0</f>
        <v>1</v>
      </c>
      <c r="G38" s="30" t="s">
        <v>512</v>
      </c>
    </row>
    <row r="39" spans="1:7" x14ac:dyDescent="0.3">
      <c r="A39" s="29">
        <v>35</v>
      </c>
      <c r="B39" s="30" t="s">
        <v>513</v>
      </c>
      <c r="C39" s="11" t="b">
        <f>ROUND(-0.125,2)=-0.13</f>
        <v>1</v>
      </c>
      <c r="D39" s="27">
        <f>ROUND(-0.125,2)</f>
        <v>-0.13</v>
      </c>
      <c r="G39" s="30" t="s">
        <v>514</v>
      </c>
    </row>
    <row r="40" spans="1:7" x14ac:dyDescent="0.3">
      <c r="A40" s="29">
        <v>36</v>
      </c>
      <c r="B40" s="30" t="s">
        <v>515</v>
      </c>
      <c r="C40" s="11" t="b">
        <f>ROUND(10/(1+7.0698412698/100*50/360),7)=9.9027626</f>
        <v>1</v>
      </c>
      <c r="D40" s="27">
        <f>ROUND(10/(1+7.0698412698/100*50/360),7)</f>
        <v>9.9027626000000009</v>
      </c>
      <c r="G40" s="30" t="s">
        <v>516</v>
      </c>
    </row>
    <row r="41" spans="1:7" x14ac:dyDescent="0.3">
      <c r="A41" s="29">
        <v>37</v>
      </c>
      <c r="B41" s="30" t="s">
        <v>517</v>
      </c>
      <c r="C41" s="11" t="b">
        <f>AND(Periodos!$A$48=Periodos!$D$5,Periodos!$A$72=Periodos!$D$6,Periodos!$A$90=Periodos!$D$7,Periodos!$A$98=Periodos!$D$8,Periodos!$A$136=Periodos!$D$9,Periodos!$A$154=Periodos!$D$10)</f>
        <v>1</v>
      </c>
      <c r="G41" s="30" t="s">
        <v>473</v>
      </c>
    </row>
    <row r="42" spans="1:7" x14ac:dyDescent="0.3">
      <c r="A42" s="29">
        <v>38</v>
      </c>
      <c r="B42" s="30" t="s">
        <v>518</v>
      </c>
      <c r="C42" s="11" t="b">
        <f>SUMPRODUCT(--(ABS(Periodos!$K$5:$K$10-Periodos!$T$5:$T$10)&gt;0.000000000001))=0</f>
        <v>1</v>
      </c>
      <c r="D42" s="27">
        <f>SUMPRODUCT(ABS(Periodos!$K$5:$K$10-Periodos!$T$5:$T$10))</f>
        <v>4.4408920985006262E-16</v>
      </c>
      <c r="G42" s="30" t="s">
        <v>519</v>
      </c>
    </row>
    <row r="43" spans="1:7" x14ac:dyDescent="0.3">
      <c r="A43" s="29">
        <v>39</v>
      </c>
      <c r="B43" s="30" t="s">
        <v>520</v>
      </c>
      <c r="C43" s="11" t="b">
        <f>AND(Transacciones!$AF$5:$AF$20)</f>
        <v>1</v>
      </c>
      <c r="G43" s="30" t="s">
        <v>473</v>
      </c>
    </row>
    <row r="44" spans="1:7" x14ac:dyDescent="0.3">
      <c r="A44" s="29">
        <v>40</v>
      </c>
      <c r="B44" s="30" t="s">
        <v>521</v>
      </c>
      <c r="C44" s="11" t="b">
        <f>AND(SUMPRODUCT(--(WEEKDAY(Entradas!$A$65:$A$178,2)&gt;=6))=104,SUMPRODUCT(--(YEAR(Entradas!$A$65:$A$178)&lt;&gt;2026))=0,SUMPRODUCT(1/COUNTIF(Entradas!$A$65:$A$178,Entradas!$A$65:$A$178))=ROWS(Entradas!$A$65:$A$178))</f>
        <v>1</v>
      </c>
      <c r="G44" s="30" t="s">
        <v>522</v>
      </c>
    </row>
    <row r="45" spans="1:7" x14ac:dyDescent="0.3">
      <c r="A45" s="29">
        <v>41</v>
      </c>
      <c r="B45" s="30" t="s">
        <v>523</v>
      </c>
      <c r="C45" s="11" t="b">
        <f>AND(Entradas!$N$60:$N$61)</f>
        <v>1</v>
      </c>
      <c r="G45" s="30" t="s">
        <v>524</v>
      </c>
    </row>
    <row r="46" spans="1:7" x14ac:dyDescent="0.3">
      <c r="A46" s="29">
        <v>42</v>
      </c>
      <c r="B46" s="30" t="s">
        <v>525</v>
      </c>
      <c r="C46" s="11" t="b">
        <f>SUMPRODUCT(--(COUNTIFS(Entradas!$A$60:$A$61,Precios!$E$5:$E$75,Entradas!$B$60:$B$61,Precios!$D$5:$D$75)=0))+SUMPRODUCT(--(COUNTIFS(Entradas!$A$60:$A$61,Tasas!$G$5:$G$36,Entradas!$B$60:$B$61,Tasas!$F$5:$F$36)=0))=0</f>
        <v>1</v>
      </c>
      <c r="G46" s="30" t="s">
        <v>526</v>
      </c>
    </row>
    <row r="47" spans="1:7" x14ac:dyDescent="0.3">
      <c r="A47" s="29">
        <v>43</v>
      </c>
      <c r="B47" s="30" t="s">
        <v>527</v>
      </c>
      <c r="C47" s="11" t="b">
        <f>COUNTIF(Rechazos!$AM$5:$AM$12,"rechazar")=ROWS(Rechazos!$AM$5:$AM$12)</f>
        <v>1</v>
      </c>
      <c r="G47" s="30" t="s">
        <v>528</v>
      </c>
    </row>
    <row r="48" spans="1:7" x14ac:dyDescent="0.3">
      <c r="A48" s="29">
        <v>44</v>
      </c>
      <c r="B48" s="30" t="s">
        <v>529</v>
      </c>
      <c r="C48" s="11" t="b">
        <f>AND(Rechazos!$O$17="aceptar",Rechazos!$M$17&gt;=0,Rechazos!$N$17&lt;0)</f>
        <v>1</v>
      </c>
      <c r="G48" s="30" t="s">
        <v>530</v>
      </c>
    </row>
    <row r="50" spans="2:3" x14ac:dyDescent="0.3">
      <c r="B50" s="23" t="s">
        <v>531</v>
      </c>
      <c r="C50" s="23" t="b">
        <f>AND(C5:C48)</f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52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8" customWidth="1"/>
    <col min="2" max="17" width="15" customWidth="1"/>
  </cols>
  <sheetData>
    <row r="1" spans="1:7" ht="17.399999999999999" x14ac:dyDescent="0.3">
      <c r="A1" s="5" t="s">
        <v>532</v>
      </c>
    </row>
    <row r="2" spans="1:7" x14ac:dyDescent="0.3">
      <c r="A2" s="6" t="s">
        <v>533</v>
      </c>
    </row>
    <row r="4" spans="1:7" x14ac:dyDescent="0.3">
      <c r="A4" s="7" t="s">
        <v>534</v>
      </c>
    </row>
    <row r="5" spans="1:7" ht="26.4" x14ac:dyDescent="0.3">
      <c r="A5" s="8" t="s">
        <v>202</v>
      </c>
      <c r="B5" s="8" t="s">
        <v>179</v>
      </c>
      <c r="C5" s="8" t="s">
        <v>535</v>
      </c>
      <c r="D5" s="8" t="s">
        <v>536</v>
      </c>
      <c r="E5" s="8" t="s">
        <v>537</v>
      </c>
      <c r="F5" s="8" t="s">
        <v>538</v>
      </c>
      <c r="G5" s="8" t="s">
        <v>539</v>
      </c>
    </row>
    <row r="6" spans="1:7" x14ac:dyDescent="0.3">
      <c r="A6" s="11" t="str">
        <f>Transacciones!A5</f>
        <v>T01</v>
      </c>
      <c r="B6" s="11" t="str">
        <f>Transacciones!E5</f>
        <v>compra</v>
      </c>
      <c r="C6" s="17">
        <f>Transacciones!O5</f>
        <v>19990</v>
      </c>
      <c r="D6" s="18">
        <f>Transacciones!P5</f>
        <v>100.23985</v>
      </c>
      <c r="E6" s="18" t="str">
        <f>Transacciones!Q5</f>
        <v/>
      </c>
      <c r="F6" s="17">
        <f>Transacciones!R5</f>
        <v>20047.97</v>
      </c>
      <c r="G6" s="17">
        <f>Transacciones!S5</f>
        <v>0</v>
      </c>
    </row>
    <row r="7" spans="1:7" x14ac:dyDescent="0.3">
      <c r="A7" s="11" t="str">
        <f>Transacciones!A6</f>
        <v>T02</v>
      </c>
      <c r="B7" s="11" t="str">
        <f>Transacciones!E6</f>
        <v>compra</v>
      </c>
      <c r="C7" s="17">
        <f>Transacciones!O6</f>
        <v>5005</v>
      </c>
      <c r="D7" s="18">
        <f>Transacciones!P6</f>
        <v>50.195100000000004</v>
      </c>
      <c r="E7" s="18" t="str">
        <f>Transacciones!Q6</f>
        <v/>
      </c>
      <c r="F7" s="17">
        <f>Transacciones!R6</f>
        <v>5019.51</v>
      </c>
      <c r="G7" s="17">
        <f>Transacciones!S6</f>
        <v>0</v>
      </c>
    </row>
    <row r="8" spans="1:7" x14ac:dyDescent="0.3">
      <c r="A8" s="11" t="str">
        <f>Transacciones!A7</f>
        <v>T03</v>
      </c>
      <c r="B8" s="11" t="str">
        <f>Transacciones!E7</f>
        <v>compra</v>
      </c>
      <c r="C8" s="17">
        <f>Transacciones!O7</f>
        <v>14927.436000000002</v>
      </c>
      <c r="D8" s="18">
        <f>Transacciones!P7</f>
        <v>9.9516240000000007</v>
      </c>
      <c r="E8" s="18" t="str">
        <f>Transacciones!Q7</f>
        <v/>
      </c>
      <c r="F8" s="17">
        <f>Transacciones!R7</f>
        <v>14927.436000000002</v>
      </c>
      <c r="G8" s="17">
        <f>Transacciones!S7</f>
        <v>0</v>
      </c>
    </row>
    <row r="9" spans="1:7" x14ac:dyDescent="0.3">
      <c r="A9" s="11" t="str">
        <f>Transacciones!A8</f>
        <v>T04</v>
      </c>
      <c r="B9" s="11" t="str">
        <f>Transacciones!E8</f>
        <v>compra</v>
      </c>
      <c r="C9" s="17">
        <f>Transacciones!O8</f>
        <v>9951.6239999999998</v>
      </c>
      <c r="D9" s="18">
        <f>Transacciones!P8</f>
        <v>9.9516239999999989</v>
      </c>
      <c r="E9" s="18" t="str">
        <f>Transacciones!Q8</f>
        <v/>
      </c>
      <c r="F9" s="17">
        <f>Transacciones!R8</f>
        <v>9951.6239999999998</v>
      </c>
      <c r="G9" s="17">
        <f>Transacciones!S8</f>
        <v>0</v>
      </c>
    </row>
    <row r="10" spans="1:7" x14ac:dyDescent="0.3">
      <c r="A10" s="11" t="str">
        <f>Transacciones!A9</f>
        <v>T05</v>
      </c>
      <c r="B10" s="11" t="str">
        <f>Transacciones!E9</f>
        <v>compra</v>
      </c>
      <c r="C10" s="17">
        <f>Transacciones!O9</f>
        <v>9993</v>
      </c>
      <c r="D10" s="18">
        <f>Transacciones!P9</f>
        <v>25.054949999999998</v>
      </c>
      <c r="E10" s="18" t="str">
        <f>Transacciones!Q9</f>
        <v/>
      </c>
      <c r="F10" s="17">
        <f>Transacciones!R9</f>
        <v>10021.98</v>
      </c>
      <c r="G10" s="17">
        <f>Transacciones!S9</f>
        <v>0</v>
      </c>
    </row>
    <row r="11" spans="1:7" x14ac:dyDescent="0.3">
      <c r="A11" s="11" t="str">
        <f>Transacciones!A10</f>
        <v>T06</v>
      </c>
      <c r="B11" s="11" t="str">
        <f>Transacciones!E10</f>
        <v>compra</v>
      </c>
      <c r="C11" s="17">
        <f>Transacciones!O10</f>
        <v>10310</v>
      </c>
      <c r="D11" s="18">
        <f>Transacciones!P10</f>
        <v>103.399</v>
      </c>
      <c r="E11" s="18" t="str">
        <f>Transacciones!Q10</f>
        <v/>
      </c>
      <c r="F11" s="17">
        <f>Transacciones!R10</f>
        <v>10339.9</v>
      </c>
      <c r="G11" s="17">
        <f>Transacciones!S10</f>
        <v>0</v>
      </c>
    </row>
    <row r="12" spans="1:7" x14ac:dyDescent="0.3">
      <c r="A12" s="11" t="str">
        <f>Transacciones!A11</f>
        <v>T07</v>
      </c>
      <c r="B12" s="11" t="str">
        <f>Transacciones!E11</f>
        <v>compra</v>
      </c>
      <c r="C12" s="17">
        <f>Transacciones!O11</f>
        <v>15540</v>
      </c>
      <c r="D12" s="18">
        <f>Transacciones!P11</f>
        <v>103.90046666666666</v>
      </c>
      <c r="E12" s="18" t="str">
        <f>Transacciones!Q11</f>
        <v/>
      </c>
      <c r="F12" s="17">
        <f>Transacciones!R11</f>
        <v>15585.07</v>
      </c>
      <c r="G12" s="17">
        <f>Transacciones!S11</f>
        <v>0</v>
      </c>
    </row>
    <row r="13" spans="1:7" x14ac:dyDescent="0.3">
      <c r="A13" s="11" t="str">
        <f>Transacciones!A12</f>
        <v>T08</v>
      </c>
      <c r="B13" s="11" t="str">
        <f>Transacciones!E12</f>
        <v>compra</v>
      </c>
      <c r="C13" s="17">
        <f>Transacciones!O12</f>
        <v>9834.4372000000003</v>
      </c>
      <c r="D13" s="18">
        <f>Transacciones!P12</f>
        <v>9.8344372</v>
      </c>
      <c r="E13" s="18" t="str">
        <f>Transacciones!Q12</f>
        <v/>
      </c>
      <c r="F13" s="17">
        <f>Transacciones!R12</f>
        <v>9834.4372000000003</v>
      </c>
      <c r="G13" s="17">
        <f>Transacciones!S12</f>
        <v>0</v>
      </c>
    </row>
    <row r="14" spans="1:7" x14ac:dyDescent="0.3">
      <c r="A14" s="11" t="str">
        <f>Transacciones!A13</f>
        <v>T09</v>
      </c>
      <c r="B14" s="11" t="str">
        <f>Transacciones!E13</f>
        <v>compra</v>
      </c>
      <c r="C14" s="17">
        <f>Transacciones!O13</f>
        <v>4831.4624999999996</v>
      </c>
      <c r="D14" s="18">
        <f>Transacciones!P13</f>
        <v>9.6629249999999995</v>
      </c>
      <c r="E14" s="18" t="str">
        <f>Transacciones!Q13</f>
        <v/>
      </c>
      <c r="F14" s="17">
        <f>Transacciones!R13</f>
        <v>4831.4624999999996</v>
      </c>
      <c r="G14" s="17">
        <f>Transacciones!S13</f>
        <v>0</v>
      </c>
    </row>
    <row r="15" spans="1:7" x14ac:dyDescent="0.3">
      <c r="A15" s="11" t="str">
        <f>Transacciones!A14</f>
        <v>T10</v>
      </c>
      <c r="B15" s="11" t="str">
        <f>Transacciones!E14</f>
        <v>venta</v>
      </c>
      <c r="C15" s="17">
        <f>Transacciones!O14</f>
        <v>9283</v>
      </c>
      <c r="D15" s="18" t="str">
        <f>Transacciones!P14</f>
        <v/>
      </c>
      <c r="E15" s="18">
        <f>Transacciones!Q14</f>
        <v>23.1402</v>
      </c>
      <c r="F15" s="17">
        <f>Transacciones!R14</f>
        <v>0</v>
      </c>
      <c r="G15" s="17">
        <f>Transacciones!S14</f>
        <v>9256.08</v>
      </c>
    </row>
    <row r="16" spans="1:7" x14ac:dyDescent="0.3">
      <c r="A16" s="11" t="str">
        <f>Transacciones!A15</f>
        <v>T11</v>
      </c>
      <c r="B16" s="11" t="str">
        <f>Transacciones!E15</f>
        <v>compra</v>
      </c>
      <c r="C16" s="17">
        <f>Transacciones!O15</f>
        <v>2874</v>
      </c>
      <c r="D16" s="18">
        <f>Transacciones!P15</f>
        <v>48.038833333333329</v>
      </c>
      <c r="E16" s="18" t="str">
        <f>Transacciones!Q15</f>
        <v/>
      </c>
      <c r="F16" s="17">
        <f>Transacciones!R15</f>
        <v>2882.33</v>
      </c>
      <c r="G16" s="17">
        <f>Transacciones!S15</f>
        <v>0</v>
      </c>
    </row>
    <row r="17" spans="1:16" x14ac:dyDescent="0.3">
      <c r="A17" s="11" t="str">
        <f>Transacciones!A16</f>
        <v>T12</v>
      </c>
      <c r="B17" s="11" t="str">
        <f>Transacciones!E16</f>
        <v>venta</v>
      </c>
      <c r="C17" s="17">
        <f>Transacciones!O16</f>
        <v>5772</v>
      </c>
      <c r="D17" s="18" t="str">
        <f>Transacciones!P16</f>
        <v/>
      </c>
      <c r="E17" s="18">
        <f>Transacciones!Q16</f>
        <v>47.960500000000003</v>
      </c>
      <c r="F17" s="17">
        <f>Transacciones!R16</f>
        <v>0</v>
      </c>
      <c r="G17" s="17">
        <f>Transacciones!S16</f>
        <v>5755.26</v>
      </c>
    </row>
    <row r="18" spans="1:16" x14ac:dyDescent="0.3">
      <c r="A18" s="11" t="str">
        <f>Transacciones!A17</f>
        <v>T13</v>
      </c>
      <c r="B18" s="11" t="str">
        <f>Transacciones!E17</f>
        <v>venta</v>
      </c>
      <c r="C18" s="17">
        <f>Transacciones!O17</f>
        <v>4994.1637500000006</v>
      </c>
      <c r="D18" s="18" t="str">
        <f>Transacciones!P17</f>
        <v/>
      </c>
      <c r="E18" s="18">
        <f>Transacciones!Q17</f>
        <v>9.9883275000000005</v>
      </c>
      <c r="F18" s="17">
        <f>Transacciones!R17</f>
        <v>0</v>
      </c>
      <c r="G18" s="17">
        <f>Transacciones!S17</f>
        <v>4994.1637500000006</v>
      </c>
    </row>
    <row r="19" spans="1:16" x14ac:dyDescent="0.3">
      <c r="A19" s="11" t="str">
        <f>Transacciones!A18</f>
        <v>T14</v>
      </c>
      <c r="B19" s="11" t="str">
        <f>Transacciones!E18</f>
        <v>venta</v>
      </c>
      <c r="C19" s="17">
        <f>Transacciones!O18</f>
        <v>8336</v>
      </c>
      <c r="D19" s="18" t="str">
        <f>Transacciones!P18</f>
        <v/>
      </c>
      <c r="E19" s="18">
        <f>Transacciones!Q18</f>
        <v>103.897875</v>
      </c>
      <c r="F19" s="17">
        <f>Transacciones!R18</f>
        <v>0</v>
      </c>
      <c r="G19" s="17">
        <f>Transacciones!S18</f>
        <v>8311.83</v>
      </c>
    </row>
    <row r="20" spans="1:16" x14ac:dyDescent="0.3">
      <c r="A20" s="11" t="str">
        <f>Transacciones!A19</f>
        <v>T15</v>
      </c>
      <c r="B20" s="11" t="str">
        <f>Transacciones!E19</f>
        <v>compra</v>
      </c>
      <c r="C20" s="17">
        <f>Transacciones!O19</f>
        <v>7323.75</v>
      </c>
      <c r="D20" s="18">
        <f>Transacciones!P19</f>
        <v>24.4833</v>
      </c>
      <c r="E20" s="18" t="str">
        <f>Transacciones!Q19</f>
        <v/>
      </c>
      <c r="F20" s="17">
        <f>Transacciones!R19</f>
        <v>7344.99</v>
      </c>
      <c r="G20" s="17">
        <f>Transacciones!S19</f>
        <v>0</v>
      </c>
    </row>
    <row r="21" spans="1:16" x14ac:dyDescent="0.3">
      <c r="A21" s="11" t="str">
        <f>Transacciones!A20</f>
        <v>T16</v>
      </c>
      <c r="B21" s="11" t="str">
        <f>Transacciones!E20</f>
        <v>compra</v>
      </c>
      <c r="C21" s="17">
        <f>Transacciones!O20</f>
        <v>9952.856600000001</v>
      </c>
      <c r="D21" s="18">
        <f>Transacciones!P20</f>
        <v>9.9528566000000005</v>
      </c>
      <c r="E21" s="18" t="str">
        <f>Transacciones!Q20</f>
        <v/>
      </c>
      <c r="F21" s="17">
        <f>Transacciones!R20</f>
        <v>9952.856600000001</v>
      </c>
      <c r="G21" s="17">
        <f>Transacciones!S20</f>
        <v>0</v>
      </c>
    </row>
    <row r="23" spans="1:16" x14ac:dyDescent="0.3">
      <c r="A23" s="7" t="s">
        <v>540</v>
      </c>
    </row>
    <row r="24" spans="1:16" ht="26.4" x14ac:dyDescent="0.3">
      <c r="A24" s="8" t="s">
        <v>177</v>
      </c>
      <c r="B24" s="8" t="s">
        <v>204</v>
      </c>
      <c r="C24" s="8" t="s">
        <v>119</v>
      </c>
      <c r="D24" s="8" t="s">
        <v>340</v>
      </c>
      <c r="E24" s="8" t="s">
        <v>312</v>
      </c>
      <c r="F24" s="8" t="s">
        <v>541</v>
      </c>
      <c r="G24" s="8" t="s">
        <v>542</v>
      </c>
      <c r="H24" s="8" t="s">
        <v>543</v>
      </c>
      <c r="I24" s="8" t="s">
        <v>544</v>
      </c>
      <c r="J24" s="8" t="s">
        <v>545</v>
      </c>
      <c r="K24" s="8" t="s">
        <v>546</v>
      </c>
      <c r="L24" s="8" t="s">
        <v>547</v>
      </c>
      <c r="M24" s="8" t="s">
        <v>548</v>
      </c>
      <c r="N24" s="8" t="s">
        <v>549</v>
      </c>
      <c r="O24" s="8" t="s">
        <v>550</v>
      </c>
      <c r="P24" s="8" t="s">
        <v>551</v>
      </c>
    </row>
    <row r="25" spans="1:16" x14ac:dyDescent="0.3">
      <c r="A25" s="15">
        <f>CETES!A5</f>
        <v>46275</v>
      </c>
      <c r="B25" s="11" t="str">
        <f>CETES!B5</f>
        <v>BI261008</v>
      </c>
      <c r="C25" s="15">
        <f>CETES!C5</f>
        <v>46303</v>
      </c>
      <c r="D25" s="14">
        <f>CETES!E5</f>
        <v>28</v>
      </c>
      <c r="E25" s="11" t="str">
        <f>CETES!AC5</f>
        <v>nodo</v>
      </c>
      <c r="F25" s="14">
        <f>CETES!W5</f>
        <v>28</v>
      </c>
      <c r="G25" s="14">
        <f>CETES!U5</f>
        <v>28</v>
      </c>
      <c r="H25" s="26">
        <f>CETES!AA5</f>
        <v>6.25</v>
      </c>
      <c r="I25" s="15">
        <f>CETES!Y5</f>
        <v>46275</v>
      </c>
      <c r="J25" s="14">
        <f>CETES!X5</f>
        <v>28</v>
      </c>
      <c r="K25" s="14">
        <f>CETES!V5</f>
        <v>28</v>
      </c>
      <c r="L25" s="26">
        <f>CETES!AB5</f>
        <v>6.25</v>
      </c>
      <c r="M25" s="15">
        <f>CETES!Z5</f>
        <v>46275</v>
      </c>
      <c r="N25" s="26">
        <f>CETES!AD5</f>
        <v>6.25</v>
      </c>
      <c r="O25" s="26">
        <f>CETES!AE5</f>
        <v>9.9516240497581201</v>
      </c>
      <c r="P25" s="19">
        <f>CETES!AF5</f>
        <v>9.9516240000000007</v>
      </c>
    </row>
    <row r="26" spans="1:16" x14ac:dyDescent="0.3">
      <c r="A26" s="15">
        <f>CETES!A6</f>
        <v>46276</v>
      </c>
      <c r="B26" s="11" t="str">
        <f>CETES!B6</f>
        <v>BI261008</v>
      </c>
      <c r="C26" s="15">
        <f>CETES!C6</f>
        <v>46303</v>
      </c>
      <c r="D26" s="14">
        <f>CETES!E6</f>
        <v>27</v>
      </c>
      <c r="E26" s="11" t="str">
        <f>CETES!AC6</f>
        <v>extremo inferior</v>
      </c>
      <c r="F26" s="14">
        <f>CETES!W6</f>
        <v>28</v>
      </c>
      <c r="G26" s="14">
        <f>CETES!U6</f>
        <v>28</v>
      </c>
      <c r="H26" s="26">
        <f>CETES!AA6</f>
        <v>6.25</v>
      </c>
      <c r="I26" s="15">
        <f>CETES!Y6</f>
        <v>46275</v>
      </c>
      <c r="J26" s="14">
        <f>CETES!X6</f>
        <v>28</v>
      </c>
      <c r="K26" s="14">
        <f>CETES!V6</f>
        <v>28</v>
      </c>
      <c r="L26" s="26">
        <f>CETES!AB6</f>
        <v>6.25</v>
      </c>
      <c r="M26" s="15">
        <f>CETES!Z6</f>
        <v>46275</v>
      </c>
      <c r="N26" s="26">
        <f>CETES!AD6</f>
        <v>6.25</v>
      </c>
      <c r="O26" s="26">
        <f>CETES!AE6</f>
        <v>9.9533437013996888</v>
      </c>
      <c r="P26" s="19">
        <f>CETES!AF6</f>
        <v>9.9533436999999996</v>
      </c>
    </row>
    <row r="27" spans="1:16" x14ac:dyDescent="0.3">
      <c r="A27" s="15">
        <f>CETES!A7</f>
        <v>46277</v>
      </c>
      <c r="B27" s="11" t="str">
        <f>CETES!B7</f>
        <v>BI261008</v>
      </c>
      <c r="C27" s="15">
        <f>CETES!C7</f>
        <v>46303</v>
      </c>
      <c r="D27" s="14">
        <f>CETES!E7</f>
        <v>26</v>
      </c>
      <c r="E27" s="11" t="str">
        <f>CETES!AC7</f>
        <v>extremo inferior</v>
      </c>
      <c r="F27" s="14">
        <f>CETES!W7</f>
        <v>28</v>
      </c>
      <c r="G27" s="14">
        <f>CETES!U7</f>
        <v>28</v>
      </c>
      <c r="H27" s="26">
        <f>CETES!AA7</f>
        <v>6.25</v>
      </c>
      <c r="I27" s="15">
        <f>CETES!Y7</f>
        <v>46275</v>
      </c>
      <c r="J27" s="14">
        <f>CETES!X7</f>
        <v>28</v>
      </c>
      <c r="K27" s="14">
        <f>CETES!V7</f>
        <v>28</v>
      </c>
      <c r="L27" s="26">
        <f>CETES!AB7</f>
        <v>6.25</v>
      </c>
      <c r="M27" s="15">
        <f>CETES!Z7</f>
        <v>46275</v>
      </c>
      <c r="N27" s="26">
        <f>CETES!AD7</f>
        <v>6.25</v>
      </c>
      <c r="O27" s="26">
        <f>CETES!AE7</f>
        <v>9.9550639474593847</v>
      </c>
      <c r="P27" s="19">
        <f>CETES!AF7</f>
        <v>9.9550639000000007</v>
      </c>
    </row>
    <row r="28" spans="1:16" x14ac:dyDescent="0.3">
      <c r="A28" s="15">
        <f>CETES!A8</f>
        <v>46278</v>
      </c>
      <c r="B28" s="11" t="str">
        <f>CETES!B8</f>
        <v>BI261008</v>
      </c>
      <c r="C28" s="15">
        <f>CETES!C8</f>
        <v>46303</v>
      </c>
      <c r="D28" s="14">
        <f>CETES!E8</f>
        <v>25</v>
      </c>
      <c r="E28" s="11" t="str">
        <f>CETES!AC8</f>
        <v>extremo inferior</v>
      </c>
      <c r="F28" s="14">
        <f>CETES!W8</f>
        <v>28</v>
      </c>
      <c r="G28" s="14">
        <f>CETES!U8</f>
        <v>28</v>
      </c>
      <c r="H28" s="26">
        <f>CETES!AA8</f>
        <v>6.25</v>
      </c>
      <c r="I28" s="15">
        <f>CETES!Y8</f>
        <v>46275</v>
      </c>
      <c r="J28" s="14">
        <f>CETES!X8</f>
        <v>28</v>
      </c>
      <c r="K28" s="14">
        <f>CETES!V8</f>
        <v>28</v>
      </c>
      <c r="L28" s="26">
        <f>CETES!AB8</f>
        <v>6.25</v>
      </c>
      <c r="M28" s="15">
        <f>CETES!Z8</f>
        <v>46275</v>
      </c>
      <c r="N28" s="26">
        <f>CETES!AD8</f>
        <v>6.25</v>
      </c>
      <c r="O28" s="26">
        <f>CETES!AE8</f>
        <v>9.9567847882454625</v>
      </c>
      <c r="P28" s="19">
        <f>CETES!AF8</f>
        <v>9.9567847999999994</v>
      </c>
    </row>
    <row r="29" spans="1:16" x14ac:dyDescent="0.3">
      <c r="A29" s="15">
        <f>CETES!A9</f>
        <v>46279</v>
      </c>
      <c r="B29" s="11" t="str">
        <f>CETES!B9</f>
        <v>BI261008</v>
      </c>
      <c r="C29" s="15">
        <f>CETES!C9</f>
        <v>46303</v>
      </c>
      <c r="D29" s="14">
        <f>CETES!E9</f>
        <v>24</v>
      </c>
      <c r="E29" s="11" t="str">
        <f>CETES!AC9</f>
        <v>extremo inferior</v>
      </c>
      <c r="F29" s="14">
        <f>CETES!W9</f>
        <v>28</v>
      </c>
      <c r="G29" s="14">
        <f>CETES!U9</f>
        <v>28</v>
      </c>
      <c r="H29" s="26">
        <f>CETES!AA9</f>
        <v>6.25</v>
      </c>
      <c r="I29" s="15">
        <f>CETES!Y9</f>
        <v>46275</v>
      </c>
      <c r="J29" s="14">
        <f>CETES!X9</f>
        <v>28</v>
      </c>
      <c r="K29" s="14">
        <f>CETES!V9</f>
        <v>28</v>
      </c>
      <c r="L29" s="26">
        <f>CETES!AB9</f>
        <v>6.25</v>
      </c>
      <c r="M29" s="15">
        <f>CETES!Z9</f>
        <v>46275</v>
      </c>
      <c r="N29" s="26">
        <f>CETES!AD9</f>
        <v>6.25</v>
      </c>
      <c r="O29" s="26">
        <f>CETES!AE9</f>
        <v>9.9585062240663902</v>
      </c>
      <c r="P29" s="19">
        <f>CETES!AF9</f>
        <v>9.9585062000000004</v>
      </c>
    </row>
    <row r="30" spans="1:16" x14ac:dyDescent="0.3">
      <c r="A30" s="15">
        <f>CETES!A10</f>
        <v>46280</v>
      </c>
      <c r="B30" s="11" t="str">
        <f>CETES!B10</f>
        <v>BI261008</v>
      </c>
      <c r="C30" s="15">
        <f>CETES!C10</f>
        <v>46303</v>
      </c>
      <c r="D30" s="14">
        <f>CETES!E10</f>
        <v>23</v>
      </c>
      <c r="E30" s="11" t="str">
        <f>CETES!AC10</f>
        <v>extremo inferior</v>
      </c>
      <c r="F30" s="14">
        <f>CETES!W10</f>
        <v>28</v>
      </c>
      <c r="G30" s="14">
        <f>CETES!U10</f>
        <v>28</v>
      </c>
      <c r="H30" s="26">
        <f>CETES!AA10</f>
        <v>6.25</v>
      </c>
      <c r="I30" s="15">
        <f>CETES!Y10</f>
        <v>46275</v>
      </c>
      <c r="J30" s="14">
        <f>CETES!X10</f>
        <v>28</v>
      </c>
      <c r="K30" s="14">
        <f>CETES!V10</f>
        <v>28</v>
      </c>
      <c r="L30" s="26">
        <f>CETES!AB10</f>
        <v>6.25</v>
      </c>
      <c r="M30" s="15">
        <f>CETES!Z10</f>
        <v>46275</v>
      </c>
      <c r="N30" s="26">
        <f>CETES!AD10</f>
        <v>6.25</v>
      </c>
      <c r="O30" s="26">
        <f>CETES!AE10</f>
        <v>9.9602282552308488</v>
      </c>
      <c r="P30" s="19">
        <f>CETES!AF10</f>
        <v>9.9602283000000007</v>
      </c>
    </row>
    <row r="31" spans="1:16" x14ac:dyDescent="0.3">
      <c r="A31" s="15">
        <f>CETES!A11</f>
        <v>46281</v>
      </c>
      <c r="B31" s="11" t="str">
        <f>CETES!B11</f>
        <v>BI261008</v>
      </c>
      <c r="C31" s="15">
        <f>CETES!C11</f>
        <v>46303</v>
      </c>
      <c r="D31" s="14">
        <f>CETES!E11</f>
        <v>22</v>
      </c>
      <c r="E31" s="11" t="str">
        <f>CETES!AC11</f>
        <v>extremo inferior</v>
      </c>
      <c r="F31" s="14">
        <f>CETES!W11</f>
        <v>28</v>
      </c>
      <c r="G31" s="14">
        <f>CETES!U11</f>
        <v>28</v>
      </c>
      <c r="H31" s="26">
        <f>CETES!AA11</f>
        <v>6.25</v>
      </c>
      <c r="I31" s="15">
        <f>CETES!Y11</f>
        <v>46275</v>
      </c>
      <c r="J31" s="14">
        <f>CETES!X11</f>
        <v>28</v>
      </c>
      <c r="K31" s="14">
        <f>CETES!V11</f>
        <v>28</v>
      </c>
      <c r="L31" s="26">
        <f>CETES!AB11</f>
        <v>6.25</v>
      </c>
      <c r="M31" s="15">
        <f>CETES!Z11</f>
        <v>46275</v>
      </c>
      <c r="N31" s="26">
        <f>CETES!AD11</f>
        <v>6.25</v>
      </c>
      <c r="O31" s="26">
        <f>CETES!AE11</f>
        <v>9.9619508820477343</v>
      </c>
      <c r="P31" s="19">
        <f>CETES!AF11</f>
        <v>9.9619508999999997</v>
      </c>
    </row>
    <row r="32" spans="1:16" x14ac:dyDescent="0.3">
      <c r="A32" s="15">
        <f>CETES!A12</f>
        <v>46282</v>
      </c>
      <c r="B32" s="11" t="str">
        <f>CETES!B12</f>
        <v>BI261008</v>
      </c>
      <c r="C32" s="15">
        <f>CETES!C12</f>
        <v>46303</v>
      </c>
      <c r="D32" s="14">
        <f>CETES!E12</f>
        <v>21</v>
      </c>
      <c r="E32" s="11" t="str">
        <f>CETES!AC12</f>
        <v>extremo inferior</v>
      </c>
      <c r="F32" s="14">
        <f>CETES!W12</f>
        <v>28</v>
      </c>
      <c r="G32" s="14">
        <f>CETES!U12</f>
        <v>28</v>
      </c>
      <c r="H32" s="26">
        <f>CETES!AA12</f>
        <v>6.25</v>
      </c>
      <c r="I32" s="15">
        <f>CETES!Y12</f>
        <v>46282</v>
      </c>
      <c r="J32" s="14">
        <f>CETES!X12</f>
        <v>28</v>
      </c>
      <c r="K32" s="14">
        <f>CETES!V12</f>
        <v>28</v>
      </c>
      <c r="L32" s="26">
        <f>CETES!AB12</f>
        <v>6.25</v>
      </c>
      <c r="M32" s="15">
        <f>CETES!Z12</f>
        <v>46282</v>
      </c>
      <c r="N32" s="26">
        <f>CETES!AD12</f>
        <v>6.25</v>
      </c>
      <c r="O32" s="26">
        <f>CETES!AE12</f>
        <v>9.9636741048261541</v>
      </c>
      <c r="P32" s="19">
        <f>CETES!AF12</f>
        <v>9.9636741000000004</v>
      </c>
    </row>
    <row r="33" spans="1:16" x14ac:dyDescent="0.3">
      <c r="A33" s="15">
        <f>CETES!A13</f>
        <v>46283</v>
      </c>
      <c r="B33" s="11" t="str">
        <f>CETES!B13</f>
        <v>BI261008</v>
      </c>
      <c r="C33" s="15">
        <f>CETES!C13</f>
        <v>46303</v>
      </c>
      <c r="D33" s="14">
        <f>CETES!E13</f>
        <v>20</v>
      </c>
      <c r="E33" s="11" t="str">
        <f>CETES!AC13</f>
        <v>extremo inferior</v>
      </c>
      <c r="F33" s="14">
        <f>CETES!W13</f>
        <v>28</v>
      </c>
      <c r="G33" s="14">
        <f>CETES!U13</f>
        <v>28</v>
      </c>
      <c r="H33" s="26">
        <f>CETES!AA13</f>
        <v>6.25</v>
      </c>
      <c r="I33" s="15">
        <f>CETES!Y13</f>
        <v>46282</v>
      </c>
      <c r="J33" s="14">
        <f>CETES!X13</f>
        <v>28</v>
      </c>
      <c r="K33" s="14">
        <f>CETES!V13</f>
        <v>28</v>
      </c>
      <c r="L33" s="26">
        <f>CETES!AB13</f>
        <v>6.25</v>
      </c>
      <c r="M33" s="15">
        <f>CETES!Z13</f>
        <v>46282</v>
      </c>
      <c r="N33" s="26">
        <f>CETES!AD13</f>
        <v>6.25</v>
      </c>
      <c r="O33" s="26">
        <f>CETES!AE13</f>
        <v>9.9653979238754307</v>
      </c>
      <c r="P33" s="19">
        <f>CETES!AF13</f>
        <v>9.9653978999999993</v>
      </c>
    </row>
    <row r="34" spans="1:16" x14ac:dyDescent="0.3">
      <c r="A34" s="15">
        <f>CETES!A14</f>
        <v>46284</v>
      </c>
      <c r="B34" s="11" t="str">
        <f>CETES!B14</f>
        <v>BI261008</v>
      </c>
      <c r="C34" s="15">
        <f>CETES!C14</f>
        <v>46303</v>
      </c>
      <c r="D34" s="14">
        <f>CETES!E14</f>
        <v>19</v>
      </c>
      <c r="E34" s="11" t="str">
        <f>CETES!AC14</f>
        <v>extremo inferior</v>
      </c>
      <c r="F34" s="14">
        <f>CETES!W14</f>
        <v>28</v>
      </c>
      <c r="G34" s="14">
        <f>CETES!U14</f>
        <v>28</v>
      </c>
      <c r="H34" s="26">
        <f>CETES!AA14</f>
        <v>6.25</v>
      </c>
      <c r="I34" s="15">
        <f>CETES!Y14</f>
        <v>46282</v>
      </c>
      <c r="J34" s="14">
        <f>CETES!X14</f>
        <v>28</v>
      </c>
      <c r="K34" s="14">
        <f>CETES!V14</f>
        <v>28</v>
      </c>
      <c r="L34" s="26">
        <f>CETES!AB14</f>
        <v>6.25</v>
      </c>
      <c r="M34" s="15">
        <f>CETES!Z14</f>
        <v>46282</v>
      </c>
      <c r="N34" s="26">
        <f>CETES!AD14</f>
        <v>6.25</v>
      </c>
      <c r="O34" s="26">
        <f>CETES!AE14</f>
        <v>9.9671223395051047</v>
      </c>
      <c r="P34" s="19">
        <f>CETES!AF14</f>
        <v>9.9671222999999998</v>
      </c>
    </row>
    <row r="35" spans="1:16" x14ac:dyDescent="0.3">
      <c r="A35" s="15">
        <f>CETES!A15</f>
        <v>46285</v>
      </c>
      <c r="B35" s="11" t="str">
        <f>CETES!B15</f>
        <v>BI261008</v>
      </c>
      <c r="C35" s="15">
        <f>CETES!C15</f>
        <v>46303</v>
      </c>
      <c r="D35" s="14">
        <f>CETES!E15</f>
        <v>18</v>
      </c>
      <c r="E35" s="11" t="str">
        <f>CETES!AC15</f>
        <v>extremo inferior</v>
      </c>
      <c r="F35" s="14">
        <f>CETES!W15</f>
        <v>28</v>
      </c>
      <c r="G35" s="14">
        <f>CETES!U15</f>
        <v>28</v>
      </c>
      <c r="H35" s="26">
        <f>CETES!AA15</f>
        <v>6.25</v>
      </c>
      <c r="I35" s="15">
        <f>CETES!Y15</f>
        <v>46282</v>
      </c>
      <c r="J35" s="14">
        <f>CETES!X15</f>
        <v>28</v>
      </c>
      <c r="K35" s="14">
        <f>CETES!V15</f>
        <v>28</v>
      </c>
      <c r="L35" s="26">
        <f>CETES!AB15</f>
        <v>6.25</v>
      </c>
      <c r="M35" s="15">
        <f>CETES!Z15</f>
        <v>46282</v>
      </c>
      <c r="N35" s="26">
        <f>CETES!AD15</f>
        <v>6.25</v>
      </c>
      <c r="O35" s="26">
        <f>CETES!AE15</f>
        <v>9.9688473520249214</v>
      </c>
      <c r="P35" s="19">
        <f>CETES!AF15</f>
        <v>9.9688473999999996</v>
      </c>
    </row>
    <row r="36" spans="1:16" x14ac:dyDescent="0.3">
      <c r="A36" s="15">
        <f>CETES!A16</f>
        <v>46286</v>
      </c>
      <c r="B36" s="11" t="str">
        <f>CETES!B16</f>
        <v>BI261008</v>
      </c>
      <c r="C36" s="15">
        <f>CETES!C16</f>
        <v>46303</v>
      </c>
      <c r="D36" s="14">
        <f>CETES!E16</f>
        <v>17</v>
      </c>
      <c r="E36" s="11" t="str">
        <f>CETES!AC16</f>
        <v>extremo inferior</v>
      </c>
      <c r="F36" s="14">
        <f>CETES!W16</f>
        <v>28</v>
      </c>
      <c r="G36" s="14">
        <f>CETES!U16</f>
        <v>28</v>
      </c>
      <c r="H36" s="26">
        <f>CETES!AA16</f>
        <v>6.25</v>
      </c>
      <c r="I36" s="15">
        <f>CETES!Y16</f>
        <v>46282</v>
      </c>
      <c r="J36" s="14">
        <f>CETES!X16</f>
        <v>28</v>
      </c>
      <c r="K36" s="14">
        <f>CETES!V16</f>
        <v>28</v>
      </c>
      <c r="L36" s="26">
        <f>CETES!AB16</f>
        <v>6.25</v>
      </c>
      <c r="M36" s="15">
        <f>CETES!Z16</f>
        <v>46282</v>
      </c>
      <c r="N36" s="26">
        <f>CETES!AD16</f>
        <v>6.25</v>
      </c>
      <c r="O36" s="26">
        <f>CETES!AE16</f>
        <v>9.9705729617448515</v>
      </c>
      <c r="P36" s="19">
        <f>CETES!AF16</f>
        <v>9.9705729999999999</v>
      </c>
    </row>
    <row r="37" spans="1:16" x14ac:dyDescent="0.3">
      <c r="A37" s="15">
        <f>CETES!A17</f>
        <v>46287</v>
      </c>
      <c r="B37" s="11" t="str">
        <f>CETES!B17</f>
        <v>BI261008</v>
      </c>
      <c r="C37" s="15">
        <f>CETES!C17</f>
        <v>46303</v>
      </c>
      <c r="D37" s="14">
        <f>CETES!E17</f>
        <v>16</v>
      </c>
      <c r="E37" s="11" t="str">
        <f>CETES!AC17</f>
        <v>extremo inferior</v>
      </c>
      <c r="F37" s="14">
        <f>CETES!W17</f>
        <v>28</v>
      </c>
      <c r="G37" s="14">
        <f>CETES!U17</f>
        <v>28</v>
      </c>
      <c r="H37" s="26">
        <f>CETES!AA17</f>
        <v>6.25</v>
      </c>
      <c r="I37" s="15">
        <f>CETES!Y17</f>
        <v>46282</v>
      </c>
      <c r="J37" s="14">
        <f>CETES!X17</f>
        <v>28</v>
      </c>
      <c r="K37" s="14">
        <f>CETES!V17</f>
        <v>28</v>
      </c>
      <c r="L37" s="26">
        <f>CETES!AB17</f>
        <v>6.25</v>
      </c>
      <c r="M37" s="15">
        <f>CETES!Z17</f>
        <v>46282</v>
      </c>
      <c r="N37" s="26">
        <f>CETES!AD17</f>
        <v>6.25</v>
      </c>
      <c r="O37" s="26">
        <f>CETES!AE17</f>
        <v>9.97229916897507</v>
      </c>
      <c r="P37" s="19">
        <f>CETES!AF17</f>
        <v>9.9722992000000001</v>
      </c>
    </row>
    <row r="38" spans="1:16" x14ac:dyDescent="0.3">
      <c r="A38" s="15">
        <f>CETES!A18</f>
        <v>46288</v>
      </c>
      <c r="B38" s="11" t="str">
        <f>CETES!B18</f>
        <v>BI261008</v>
      </c>
      <c r="C38" s="15">
        <f>CETES!C18</f>
        <v>46303</v>
      </c>
      <c r="D38" s="14">
        <f>CETES!E18</f>
        <v>15</v>
      </c>
      <c r="E38" s="11" t="str">
        <f>CETES!AC18</f>
        <v>extremo inferior</v>
      </c>
      <c r="F38" s="14">
        <f>CETES!W18</f>
        <v>28</v>
      </c>
      <c r="G38" s="14">
        <f>CETES!U18</f>
        <v>28</v>
      </c>
      <c r="H38" s="26">
        <f>CETES!AA18</f>
        <v>6.25</v>
      </c>
      <c r="I38" s="15">
        <f>CETES!Y18</f>
        <v>46282</v>
      </c>
      <c r="J38" s="14">
        <f>CETES!X18</f>
        <v>28</v>
      </c>
      <c r="K38" s="14">
        <f>CETES!V18</f>
        <v>28</v>
      </c>
      <c r="L38" s="26">
        <f>CETES!AB18</f>
        <v>6.25</v>
      </c>
      <c r="M38" s="15">
        <f>CETES!Z18</f>
        <v>46282</v>
      </c>
      <c r="N38" s="26">
        <f>CETES!AD18</f>
        <v>6.25</v>
      </c>
      <c r="O38" s="26">
        <f>CETES!AE18</f>
        <v>9.9740259740259738</v>
      </c>
      <c r="P38" s="19">
        <f>CETES!AF18</f>
        <v>9.9740260000000003</v>
      </c>
    </row>
    <row r="39" spans="1:16" x14ac:dyDescent="0.3">
      <c r="A39" s="15">
        <f>CETES!A19</f>
        <v>46289</v>
      </c>
      <c r="B39" s="11" t="str">
        <f>CETES!B19</f>
        <v>BI261008</v>
      </c>
      <c r="C39" s="15">
        <f>CETES!C19</f>
        <v>46303</v>
      </c>
      <c r="D39" s="14">
        <f>CETES!E19</f>
        <v>14</v>
      </c>
      <c r="E39" s="11" t="str">
        <f>CETES!AC19</f>
        <v>extremo inferior</v>
      </c>
      <c r="F39" s="14">
        <f>CETES!W19</f>
        <v>28</v>
      </c>
      <c r="G39" s="14">
        <f>CETES!U19</f>
        <v>28</v>
      </c>
      <c r="H39" s="26">
        <f>CETES!AA19</f>
        <v>6.15</v>
      </c>
      <c r="I39" s="15">
        <f>CETES!Y19</f>
        <v>46289</v>
      </c>
      <c r="J39" s="14">
        <f>CETES!X19</f>
        <v>28</v>
      </c>
      <c r="K39" s="14">
        <f>CETES!V19</f>
        <v>28</v>
      </c>
      <c r="L39" s="26">
        <f>CETES!AB19</f>
        <v>6.15</v>
      </c>
      <c r="M39" s="15">
        <f>CETES!Z19</f>
        <v>46289</v>
      </c>
      <c r="N39" s="26">
        <f>CETES!AD19</f>
        <v>6.15</v>
      </c>
      <c r="O39" s="26">
        <f>CETES!AE19</f>
        <v>9.9761403975491962</v>
      </c>
      <c r="P39" s="19">
        <f>CETES!AF19</f>
        <v>9.9761404000000002</v>
      </c>
    </row>
    <row r="40" spans="1:16" x14ac:dyDescent="0.3">
      <c r="A40" s="15">
        <f>CETES!A20</f>
        <v>46290</v>
      </c>
      <c r="B40" s="11" t="str">
        <f>CETES!B20</f>
        <v>BI261008</v>
      </c>
      <c r="C40" s="15">
        <f>CETES!C20</f>
        <v>46303</v>
      </c>
      <c r="D40" s="14">
        <f>CETES!E20</f>
        <v>13</v>
      </c>
      <c r="E40" s="11" t="str">
        <f>CETES!AC20</f>
        <v>extremo inferior</v>
      </c>
      <c r="F40" s="14">
        <f>CETES!W20</f>
        <v>28</v>
      </c>
      <c r="G40" s="14">
        <f>CETES!U20</f>
        <v>28</v>
      </c>
      <c r="H40" s="26">
        <f>CETES!AA20</f>
        <v>6.15</v>
      </c>
      <c r="I40" s="15">
        <f>CETES!Y20</f>
        <v>46289</v>
      </c>
      <c r="J40" s="14">
        <f>CETES!X20</f>
        <v>28</v>
      </c>
      <c r="K40" s="14">
        <f>CETES!V20</f>
        <v>28</v>
      </c>
      <c r="L40" s="26">
        <f>CETES!AB20</f>
        <v>6.15</v>
      </c>
      <c r="M40" s="15">
        <f>CETES!Z20</f>
        <v>46289</v>
      </c>
      <c r="N40" s="26">
        <f>CETES!AD20</f>
        <v>6.15</v>
      </c>
      <c r="O40" s="26">
        <f>CETES!AE20</f>
        <v>9.977840878382592</v>
      </c>
      <c r="P40" s="19">
        <f>CETES!AF20</f>
        <v>9.9778409000000003</v>
      </c>
    </row>
    <row r="41" spans="1:16" x14ac:dyDescent="0.3">
      <c r="A41" s="15">
        <f>CETES!A21</f>
        <v>46291</v>
      </c>
      <c r="B41" s="11" t="str">
        <f>CETES!B21</f>
        <v>BI261008</v>
      </c>
      <c r="C41" s="15">
        <f>CETES!C21</f>
        <v>46303</v>
      </c>
      <c r="D41" s="14">
        <f>CETES!E21</f>
        <v>12</v>
      </c>
      <c r="E41" s="11" t="str">
        <f>CETES!AC21</f>
        <v>extremo inferior</v>
      </c>
      <c r="F41" s="14">
        <f>CETES!W21</f>
        <v>28</v>
      </c>
      <c r="G41" s="14">
        <f>CETES!U21</f>
        <v>28</v>
      </c>
      <c r="H41" s="26">
        <f>CETES!AA21</f>
        <v>6.15</v>
      </c>
      <c r="I41" s="15">
        <f>CETES!Y21</f>
        <v>46289</v>
      </c>
      <c r="J41" s="14">
        <f>CETES!X21</f>
        <v>28</v>
      </c>
      <c r="K41" s="14">
        <f>CETES!V21</f>
        <v>28</v>
      </c>
      <c r="L41" s="26">
        <f>CETES!AB21</f>
        <v>6.15</v>
      </c>
      <c r="M41" s="15">
        <f>CETES!Z21</f>
        <v>46289</v>
      </c>
      <c r="N41" s="26">
        <f>CETES!AD21</f>
        <v>6.15</v>
      </c>
      <c r="O41" s="26">
        <f>CETES!AE21</f>
        <v>9.9795419390249975</v>
      </c>
      <c r="P41" s="19">
        <f>CETES!AF21</f>
        <v>9.9795418999999992</v>
      </c>
    </row>
    <row r="42" spans="1:16" x14ac:dyDescent="0.3">
      <c r="A42" s="15">
        <f>CETES!A22</f>
        <v>46292</v>
      </c>
      <c r="B42" s="11" t="str">
        <f>CETES!B22</f>
        <v>BI261008</v>
      </c>
      <c r="C42" s="15">
        <f>CETES!C22</f>
        <v>46303</v>
      </c>
      <c r="D42" s="14">
        <f>CETES!E22</f>
        <v>11</v>
      </c>
      <c r="E42" s="11" t="str">
        <f>CETES!AC22</f>
        <v>extremo inferior</v>
      </c>
      <c r="F42" s="14">
        <f>CETES!W22</f>
        <v>28</v>
      </c>
      <c r="G42" s="14">
        <f>CETES!U22</f>
        <v>28</v>
      </c>
      <c r="H42" s="26">
        <f>CETES!AA22</f>
        <v>6.15</v>
      </c>
      <c r="I42" s="15">
        <f>CETES!Y22</f>
        <v>46289</v>
      </c>
      <c r="J42" s="14">
        <f>CETES!X22</f>
        <v>28</v>
      </c>
      <c r="K42" s="14">
        <f>CETES!V22</f>
        <v>28</v>
      </c>
      <c r="L42" s="26">
        <f>CETES!AB22</f>
        <v>6.15</v>
      </c>
      <c r="M42" s="15">
        <f>CETES!Z22</f>
        <v>46289</v>
      </c>
      <c r="N42" s="26">
        <f>CETES!AD22</f>
        <v>6.15</v>
      </c>
      <c r="O42" s="26">
        <f>CETES!AE22</f>
        <v>9.9812435797730092</v>
      </c>
      <c r="P42" s="19">
        <f>CETES!AF22</f>
        <v>9.9812436000000009</v>
      </c>
    </row>
    <row r="43" spans="1:16" x14ac:dyDescent="0.3">
      <c r="A43" s="15">
        <f>CETES!A23</f>
        <v>46293</v>
      </c>
      <c r="B43" s="11" t="str">
        <f>CETES!B23</f>
        <v>BI261008</v>
      </c>
      <c r="C43" s="15">
        <f>CETES!C23</f>
        <v>46303</v>
      </c>
      <c r="D43" s="14">
        <f>CETES!E23</f>
        <v>10</v>
      </c>
      <c r="E43" s="11" t="str">
        <f>CETES!AC23</f>
        <v>extremo inferior</v>
      </c>
      <c r="F43" s="14">
        <f>CETES!W23</f>
        <v>28</v>
      </c>
      <c r="G43" s="14">
        <f>CETES!U23</f>
        <v>28</v>
      </c>
      <c r="H43" s="26">
        <f>CETES!AA23</f>
        <v>6.15</v>
      </c>
      <c r="I43" s="15">
        <f>CETES!Y23</f>
        <v>46289</v>
      </c>
      <c r="J43" s="14">
        <f>CETES!X23</f>
        <v>28</v>
      </c>
      <c r="K43" s="14">
        <f>CETES!V23</f>
        <v>28</v>
      </c>
      <c r="L43" s="26">
        <f>CETES!AB23</f>
        <v>6.15</v>
      </c>
      <c r="M43" s="15">
        <f>CETES!Z23</f>
        <v>46289</v>
      </c>
      <c r="N43" s="26">
        <f>CETES!AD23</f>
        <v>6.15</v>
      </c>
      <c r="O43" s="26">
        <f>CETES!AE23</f>
        <v>9.9829458009234209</v>
      </c>
      <c r="P43" s="19">
        <f>CETES!AF23</f>
        <v>9.9829457999999995</v>
      </c>
    </row>
    <row r="44" spans="1:16" x14ac:dyDescent="0.3">
      <c r="A44" s="15">
        <f>CETES!A24</f>
        <v>46294</v>
      </c>
      <c r="B44" s="11" t="str">
        <f>CETES!B24</f>
        <v>BI261008</v>
      </c>
      <c r="C44" s="15">
        <f>CETES!C24</f>
        <v>46303</v>
      </c>
      <c r="D44" s="14">
        <f>CETES!E24</f>
        <v>9</v>
      </c>
      <c r="E44" s="11" t="str">
        <f>CETES!AC24</f>
        <v>extremo inferior</v>
      </c>
      <c r="F44" s="14">
        <f>CETES!W24</f>
        <v>28</v>
      </c>
      <c r="G44" s="14">
        <f>CETES!U24</f>
        <v>28</v>
      </c>
      <c r="H44" s="26">
        <f>CETES!AA24</f>
        <v>6.15</v>
      </c>
      <c r="I44" s="15">
        <f>CETES!Y24</f>
        <v>46289</v>
      </c>
      <c r="J44" s="14">
        <f>CETES!X24</f>
        <v>28</v>
      </c>
      <c r="K44" s="14">
        <f>CETES!V24</f>
        <v>28</v>
      </c>
      <c r="L44" s="26">
        <f>CETES!AB24</f>
        <v>6.15</v>
      </c>
      <c r="M44" s="15">
        <f>CETES!Z24</f>
        <v>46289</v>
      </c>
      <c r="N44" s="26">
        <f>CETES!AD24</f>
        <v>6.15</v>
      </c>
      <c r="O44" s="26">
        <f>CETES!AE24</f>
        <v>9.9846486027732357</v>
      </c>
      <c r="P44" s="19">
        <f>CETES!AF24</f>
        <v>9.9846485999999999</v>
      </c>
    </row>
    <row r="45" spans="1:16" x14ac:dyDescent="0.3">
      <c r="A45" s="15">
        <f>CETES!A25</f>
        <v>46295</v>
      </c>
      <c r="B45" s="11" t="str">
        <f>CETES!B25</f>
        <v>BI261008</v>
      </c>
      <c r="C45" s="15">
        <f>CETES!C25</f>
        <v>46303</v>
      </c>
      <c r="D45" s="14">
        <f>CETES!E25</f>
        <v>8</v>
      </c>
      <c r="E45" s="11" t="str">
        <f>CETES!AC25</f>
        <v>extremo inferior</v>
      </c>
      <c r="F45" s="14">
        <f>CETES!W25</f>
        <v>28</v>
      </c>
      <c r="G45" s="14">
        <f>CETES!U25</f>
        <v>28</v>
      </c>
      <c r="H45" s="26">
        <f>CETES!AA25</f>
        <v>6.15</v>
      </c>
      <c r="I45" s="15">
        <f>CETES!Y25</f>
        <v>46289</v>
      </c>
      <c r="J45" s="14">
        <f>CETES!X25</f>
        <v>28</v>
      </c>
      <c r="K45" s="14">
        <f>CETES!V25</f>
        <v>28</v>
      </c>
      <c r="L45" s="26">
        <f>CETES!AB25</f>
        <v>6.15</v>
      </c>
      <c r="M45" s="15">
        <f>CETES!Z25</f>
        <v>46289</v>
      </c>
      <c r="N45" s="26">
        <f>CETES!AD25</f>
        <v>6.15</v>
      </c>
      <c r="O45" s="26">
        <f>CETES!AE25</f>
        <v>9.9863519856196525</v>
      </c>
      <c r="P45" s="19">
        <f>CETES!AF25</f>
        <v>9.9863520000000001</v>
      </c>
    </row>
    <row r="46" spans="1:16" x14ac:dyDescent="0.3">
      <c r="A46" s="15">
        <f>CETES!A26</f>
        <v>46296</v>
      </c>
      <c r="B46" s="11" t="str">
        <f>CETES!B26</f>
        <v>BI261008</v>
      </c>
      <c r="C46" s="15">
        <f>CETES!C26</f>
        <v>46303</v>
      </c>
      <c r="D46" s="14">
        <f>CETES!E26</f>
        <v>7</v>
      </c>
      <c r="E46" s="11" t="str">
        <f>CETES!AC26</f>
        <v>extremo inferior</v>
      </c>
      <c r="F46" s="14">
        <f>CETES!W26</f>
        <v>28</v>
      </c>
      <c r="G46" s="14">
        <f>CETES!U26</f>
        <v>28</v>
      </c>
      <c r="H46" s="26">
        <f>CETES!AA26</f>
        <v>6.01</v>
      </c>
      <c r="I46" s="15">
        <f>CETES!Y26</f>
        <v>46296</v>
      </c>
      <c r="J46" s="14">
        <f>CETES!X26</f>
        <v>28</v>
      </c>
      <c r="K46" s="14">
        <f>CETES!V26</f>
        <v>28</v>
      </c>
      <c r="L46" s="26">
        <f>CETES!AB26</f>
        <v>6.01</v>
      </c>
      <c r="M46" s="15">
        <f>CETES!Z26</f>
        <v>46296</v>
      </c>
      <c r="N46" s="26">
        <f>CETES!AD26</f>
        <v>6.01</v>
      </c>
      <c r="O46" s="26">
        <f>CETES!AE26</f>
        <v>9.9883275294676466</v>
      </c>
      <c r="P46" s="19">
        <f>CETES!AF26</f>
        <v>9.9883275000000005</v>
      </c>
    </row>
    <row r="47" spans="1:16" x14ac:dyDescent="0.3">
      <c r="A47" s="15">
        <f>CETES!A27</f>
        <v>46297</v>
      </c>
      <c r="B47" s="11" t="str">
        <f>CETES!B27</f>
        <v>BI261008</v>
      </c>
      <c r="C47" s="15">
        <f>CETES!C27</f>
        <v>46303</v>
      </c>
      <c r="D47" s="14">
        <f>CETES!E27</f>
        <v>6</v>
      </c>
      <c r="E47" s="11" t="str">
        <f>CETES!AC27</f>
        <v>extremo inferior</v>
      </c>
      <c r="F47" s="14">
        <f>CETES!W27</f>
        <v>28</v>
      </c>
      <c r="G47" s="14">
        <f>CETES!U27</f>
        <v>28</v>
      </c>
      <c r="H47" s="26">
        <f>CETES!AA27</f>
        <v>6.01</v>
      </c>
      <c r="I47" s="15">
        <f>CETES!Y27</f>
        <v>46296</v>
      </c>
      <c r="J47" s="14">
        <f>CETES!X27</f>
        <v>28</v>
      </c>
      <c r="K47" s="14">
        <f>CETES!V27</f>
        <v>28</v>
      </c>
      <c r="L47" s="26">
        <f>CETES!AB27</f>
        <v>6.01</v>
      </c>
      <c r="M47" s="15">
        <f>CETES!Z27</f>
        <v>46296</v>
      </c>
      <c r="N47" s="26">
        <f>CETES!AD27</f>
        <v>6.01</v>
      </c>
      <c r="O47" s="26">
        <f>CETES!AE27</f>
        <v>9.9899933566544181</v>
      </c>
      <c r="P47" s="19">
        <f>CETES!AF27</f>
        <v>9.9899933999999995</v>
      </c>
    </row>
    <row r="48" spans="1:16" x14ac:dyDescent="0.3">
      <c r="A48" s="15">
        <f>CETES!A28</f>
        <v>46298</v>
      </c>
      <c r="B48" s="11" t="str">
        <f>CETES!B28</f>
        <v>BI261008</v>
      </c>
      <c r="C48" s="15">
        <f>CETES!C28</f>
        <v>46303</v>
      </c>
      <c r="D48" s="14">
        <f>CETES!E28</f>
        <v>5</v>
      </c>
      <c r="E48" s="11" t="str">
        <f>CETES!AC28</f>
        <v>extremo inferior</v>
      </c>
      <c r="F48" s="14">
        <f>CETES!W28</f>
        <v>28</v>
      </c>
      <c r="G48" s="14">
        <f>CETES!U28</f>
        <v>28</v>
      </c>
      <c r="H48" s="26">
        <f>CETES!AA28</f>
        <v>6.01</v>
      </c>
      <c r="I48" s="15">
        <f>CETES!Y28</f>
        <v>46296</v>
      </c>
      <c r="J48" s="14">
        <f>CETES!X28</f>
        <v>28</v>
      </c>
      <c r="K48" s="14">
        <f>CETES!V28</f>
        <v>28</v>
      </c>
      <c r="L48" s="26">
        <f>CETES!AB28</f>
        <v>6.01</v>
      </c>
      <c r="M48" s="15">
        <f>CETES!Z28</f>
        <v>46296</v>
      </c>
      <c r="N48" s="26">
        <f>CETES!AD28</f>
        <v>6.01</v>
      </c>
      <c r="O48" s="26">
        <f>CETES!AE28</f>
        <v>9.9916597395784912</v>
      </c>
      <c r="P48" s="19">
        <f>CETES!AF28</f>
        <v>9.9916596999999996</v>
      </c>
    </row>
    <row r="49" spans="1:16" x14ac:dyDescent="0.3">
      <c r="A49" s="15">
        <f>CETES!A29</f>
        <v>46299</v>
      </c>
      <c r="B49" s="11" t="str">
        <f>CETES!B29</f>
        <v>BI261008</v>
      </c>
      <c r="C49" s="15">
        <f>CETES!C29</f>
        <v>46303</v>
      </c>
      <c r="D49" s="14">
        <f>CETES!E29</f>
        <v>4</v>
      </c>
      <c r="E49" s="11" t="str">
        <f>CETES!AC29</f>
        <v>extremo inferior</v>
      </c>
      <c r="F49" s="14">
        <f>CETES!W29</f>
        <v>28</v>
      </c>
      <c r="G49" s="14">
        <f>CETES!U29</f>
        <v>28</v>
      </c>
      <c r="H49" s="26">
        <f>CETES!AA29</f>
        <v>6.01</v>
      </c>
      <c r="I49" s="15">
        <f>CETES!Y29</f>
        <v>46296</v>
      </c>
      <c r="J49" s="14">
        <f>CETES!X29</f>
        <v>28</v>
      </c>
      <c r="K49" s="14">
        <f>CETES!V29</f>
        <v>28</v>
      </c>
      <c r="L49" s="26">
        <f>CETES!AB29</f>
        <v>6.01</v>
      </c>
      <c r="M49" s="15">
        <f>CETES!Z29</f>
        <v>46296</v>
      </c>
      <c r="N49" s="26">
        <f>CETES!AD29</f>
        <v>6.01</v>
      </c>
      <c r="O49" s="26">
        <f>CETES!AE29</f>
        <v>9.993326678518013</v>
      </c>
      <c r="P49" s="19">
        <f>CETES!AF29</f>
        <v>9.9933267000000008</v>
      </c>
    </row>
    <row r="50" spans="1:16" x14ac:dyDescent="0.3">
      <c r="A50" s="15">
        <f>CETES!A30</f>
        <v>46300</v>
      </c>
      <c r="B50" s="11" t="str">
        <f>CETES!B30</f>
        <v>BI261008</v>
      </c>
      <c r="C50" s="15">
        <f>CETES!C30</f>
        <v>46303</v>
      </c>
      <c r="D50" s="14">
        <f>CETES!E30</f>
        <v>3</v>
      </c>
      <c r="E50" s="11" t="str">
        <f>CETES!AC30</f>
        <v>extremo inferior</v>
      </c>
      <c r="F50" s="14">
        <f>CETES!W30</f>
        <v>28</v>
      </c>
      <c r="G50" s="14">
        <f>CETES!U30</f>
        <v>28</v>
      </c>
      <c r="H50" s="26">
        <f>CETES!AA30</f>
        <v>6.01</v>
      </c>
      <c r="I50" s="15">
        <f>CETES!Y30</f>
        <v>46296</v>
      </c>
      <c r="J50" s="14">
        <f>CETES!X30</f>
        <v>28</v>
      </c>
      <c r="K50" s="14">
        <f>CETES!V30</f>
        <v>28</v>
      </c>
      <c r="L50" s="26">
        <f>CETES!AB30</f>
        <v>6.01</v>
      </c>
      <c r="M50" s="15">
        <f>CETES!Z30</f>
        <v>46296</v>
      </c>
      <c r="N50" s="26">
        <f>CETES!AD30</f>
        <v>6.01</v>
      </c>
      <c r="O50" s="26">
        <f>CETES!AE30</f>
        <v>9.9949941737513122</v>
      </c>
      <c r="P50" s="19">
        <f>CETES!AF30</f>
        <v>9.9949942000000007</v>
      </c>
    </row>
    <row r="51" spans="1:16" x14ac:dyDescent="0.3">
      <c r="A51" s="15">
        <f>CETES!A31</f>
        <v>46301</v>
      </c>
      <c r="B51" s="11" t="str">
        <f>CETES!B31</f>
        <v>BI261008</v>
      </c>
      <c r="C51" s="15">
        <f>CETES!C31</f>
        <v>46303</v>
      </c>
      <c r="D51" s="14">
        <f>CETES!E31</f>
        <v>2</v>
      </c>
      <c r="E51" s="11" t="str">
        <f>CETES!AC31</f>
        <v>extremo inferior</v>
      </c>
      <c r="F51" s="14">
        <f>CETES!W31</f>
        <v>28</v>
      </c>
      <c r="G51" s="14">
        <f>CETES!U31</f>
        <v>28</v>
      </c>
      <c r="H51" s="26">
        <f>CETES!AA31</f>
        <v>6.01</v>
      </c>
      <c r="I51" s="15">
        <f>CETES!Y31</f>
        <v>46296</v>
      </c>
      <c r="J51" s="14">
        <f>CETES!X31</f>
        <v>28</v>
      </c>
      <c r="K51" s="14">
        <f>CETES!V31</f>
        <v>28</v>
      </c>
      <c r="L51" s="26">
        <f>CETES!AB31</f>
        <v>6.01</v>
      </c>
      <c r="M51" s="15">
        <f>CETES!Z31</f>
        <v>46296</v>
      </c>
      <c r="N51" s="26">
        <f>CETES!AD31</f>
        <v>6.01</v>
      </c>
      <c r="O51" s="26">
        <f>CETES!AE31</f>
        <v>9.9966622255569124</v>
      </c>
      <c r="P51" s="19">
        <f>CETES!AF31</f>
        <v>9.9966621999999994</v>
      </c>
    </row>
    <row r="52" spans="1:16" x14ac:dyDescent="0.3">
      <c r="A52" s="15">
        <f>CETES!A32</f>
        <v>46302</v>
      </c>
      <c r="B52" s="11" t="str">
        <f>CETES!B32</f>
        <v>BI261008</v>
      </c>
      <c r="C52" s="15">
        <f>CETES!C32</f>
        <v>46303</v>
      </c>
      <c r="D52" s="14">
        <f>CETES!E32</f>
        <v>1</v>
      </c>
      <c r="E52" s="11" t="str">
        <f>CETES!AC32</f>
        <v>extremo inferior</v>
      </c>
      <c r="F52" s="14">
        <f>CETES!W32</f>
        <v>28</v>
      </c>
      <c r="G52" s="14">
        <f>CETES!U32</f>
        <v>28</v>
      </c>
      <c r="H52" s="26">
        <f>CETES!AA32</f>
        <v>6.01</v>
      </c>
      <c r="I52" s="15">
        <f>CETES!Y32</f>
        <v>46296</v>
      </c>
      <c r="J52" s="14">
        <f>CETES!X32</f>
        <v>28</v>
      </c>
      <c r="K52" s="14">
        <f>CETES!V32</f>
        <v>28</v>
      </c>
      <c r="L52" s="26">
        <f>CETES!AB32</f>
        <v>6.01</v>
      </c>
      <c r="M52" s="15">
        <f>CETES!Z32</f>
        <v>46296</v>
      </c>
      <c r="N52" s="26">
        <f>CETES!AD32</f>
        <v>6.01</v>
      </c>
      <c r="O52" s="26">
        <f>CETES!AE32</f>
        <v>9.99833083421351</v>
      </c>
      <c r="P52" s="19">
        <f>CETES!AF32</f>
        <v>9.9983307999999997</v>
      </c>
    </row>
    <row r="53" spans="1:16" x14ac:dyDescent="0.3">
      <c r="A53" s="15">
        <f>CETES!A33</f>
        <v>46303</v>
      </c>
      <c r="B53" s="11" t="str">
        <f>CETES!B33</f>
        <v>BI261105</v>
      </c>
      <c r="C53" s="15">
        <f>CETES!C33</f>
        <v>46331</v>
      </c>
      <c r="D53" s="14">
        <f>CETES!E33</f>
        <v>28</v>
      </c>
      <c r="E53" s="11" t="str">
        <f>CETES!AC33</f>
        <v>nodo</v>
      </c>
      <c r="F53" s="14">
        <f>CETES!W33</f>
        <v>28</v>
      </c>
      <c r="G53" s="14">
        <f>CETES!U33</f>
        <v>28</v>
      </c>
      <c r="H53" s="26">
        <f>CETES!AA33</f>
        <v>6.09</v>
      </c>
      <c r="I53" s="15">
        <f>CETES!Y33</f>
        <v>46303</v>
      </c>
      <c r="J53" s="14">
        <f>CETES!X33</f>
        <v>28</v>
      </c>
      <c r="K53" s="14">
        <f>CETES!V33</f>
        <v>28</v>
      </c>
      <c r="L53" s="26">
        <f>CETES!AB33</f>
        <v>6.09</v>
      </c>
      <c r="M53" s="15">
        <f>CETES!Z33</f>
        <v>46303</v>
      </c>
      <c r="N53" s="26">
        <f>CETES!AD33</f>
        <v>6.09</v>
      </c>
      <c r="O53" s="26">
        <f>CETES!AE33</f>
        <v>9.9528566357354009</v>
      </c>
      <c r="P53" s="19">
        <f>CETES!AF33</f>
        <v>9.9528566000000005</v>
      </c>
    </row>
    <row r="54" spans="1:16" x14ac:dyDescent="0.3">
      <c r="A54" s="15">
        <f>CETES!A34</f>
        <v>46304</v>
      </c>
      <c r="B54" s="11" t="str">
        <f>CETES!B34</f>
        <v>BI261105</v>
      </c>
      <c r="C54" s="15">
        <f>CETES!C34</f>
        <v>46331</v>
      </c>
      <c r="D54" s="14">
        <f>CETES!E34</f>
        <v>27</v>
      </c>
      <c r="E54" s="11" t="str">
        <f>CETES!AC34</f>
        <v>extremo inferior</v>
      </c>
      <c r="F54" s="14">
        <f>CETES!W34</f>
        <v>28</v>
      </c>
      <c r="G54" s="14">
        <f>CETES!U34</f>
        <v>28</v>
      </c>
      <c r="H54" s="26">
        <f>CETES!AA34</f>
        <v>6.09</v>
      </c>
      <c r="I54" s="15">
        <f>CETES!Y34</f>
        <v>46303</v>
      </c>
      <c r="J54" s="14">
        <f>CETES!X34</f>
        <v>28</v>
      </c>
      <c r="K54" s="14">
        <f>CETES!V34</f>
        <v>28</v>
      </c>
      <c r="L54" s="26">
        <f>CETES!AB34</f>
        <v>6.09</v>
      </c>
      <c r="M54" s="15">
        <f>CETES!Z34</f>
        <v>46303</v>
      </c>
      <c r="N54" s="26">
        <f>CETES!AD34</f>
        <v>6.09</v>
      </c>
      <c r="O54" s="26">
        <f>CETES!AE34</f>
        <v>9.9545326720205463</v>
      </c>
      <c r="P54" s="19">
        <f>CETES!AF34</f>
        <v>9.9545326999999997</v>
      </c>
    </row>
    <row r="55" spans="1:16" x14ac:dyDescent="0.3">
      <c r="A55" s="15">
        <f>CETES!A35</f>
        <v>46305</v>
      </c>
      <c r="B55" s="11" t="str">
        <f>CETES!B35</f>
        <v>BI261105</v>
      </c>
      <c r="C55" s="15">
        <f>CETES!C35</f>
        <v>46331</v>
      </c>
      <c r="D55" s="14">
        <f>CETES!E35</f>
        <v>26</v>
      </c>
      <c r="E55" s="11" t="str">
        <f>CETES!AC35</f>
        <v>extremo inferior</v>
      </c>
      <c r="F55" s="14">
        <f>CETES!W35</f>
        <v>28</v>
      </c>
      <c r="G55" s="14">
        <f>CETES!U35</f>
        <v>28</v>
      </c>
      <c r="H55" s="26">
        <f>CETES!AA35</f>
        <v>6.09</v>
      </c>
      <c r="I55" s="15">
        <f>CETES!Y35</f>
        <v>46303</v>
      </c>
      <c r="J55" s="14">
        <f>CETES!X35</f>
        <v>28</v>
      </c>
      <c r="K55" s="14">
        <f>CETES!V35</f>
        <v>28</v>
      </c>
      <c r="L55" s="26">
        <f>CETES!AB35</f>
        <v>6.09</v>
      </c>
      <c r="M55" s="15">
        <f>CETES!Z35</f>
        <v>46303</v>
      </c>
      <c r="N55" s="26">
        <f>CETES!AD35</f>
        <v>6.09</v>
      </c>
      <c r="O55" s="26">
        <f>CETES!AE35</f>
        <v>9.9562092728814431</v>
      </c>
      <c r="P55" s="19">
        <f>CETES!AF35</f>
        <v>9.9562092999999994</v>
      </c>
    </row>
    <row r="56" spans="1:16" x14ac:dyDescent="0.3">
      <c r="A56" s="15">
        <f>CETES!A36</f>
        <v>46306</v>
      </c>
      <c r="B56" s="11" t="str">
        <f>CETES!B36</f>
        <v>BI261105</v>
      </c>
      <c r="C56" s="15">
        <f>CETES!C36</f>
        <v>46331</v>
      </c>
      <c r="D56" s="14">
        <f>CETES!E36</f>
        <v>25</v>
      </c>
      <c r="E56" s="11" t="str">
        <f>CETES!AC36</f>
        <v>extremo inferior</v>
      </c>
      <c r="F56" s="14">
        <f>CETES!W36</f>
        <v>28</v>
      </c>
      <c r="G56" s="14">
        <f>CETES!U36</f>
        <v>28</v>
      </c>
      <c r="H56" s="26">
        <f>CETES!AA36</f>
        <v>6.09</v>
      </c>
      <c r="I56" s="15">
        <f>CETES!Y36</f>
        <v>46303</v>
      </c>
      <c r="J56" s="14">
        <f>CETES!X36</f>
        <v>28</v>
      </c>
      <c r="K56" s="14">
        <f>CETES!V36</f>
        <v>28</v>
      </c>
      <c r="L56" s="26">
        <f>CETES!AB36</f>
        <v>6.09</v>
      </c>
      <c r="M56" s="15">
        <f>CETES!Z36</f>
        <v>46303</v>
      </c>
      <c r="N56" s="26">
        <f>CETES!AD36</f>
        <v>6.09</v>
      </c>
      <c r="O56" s="26">
        <f>CETES!AE36</f>
        <v>9.9578864386034063</v>
      </c>
      <c r="P56" s="19">
        <f>CETES!AF36</f>
        <v>9.9578863999999996</v>
      </c>
    </row>
    <row r="57" spans="1:16" x14ac:dyDescent="0.3">
      <c r="A57" s="15">
        <f>CETES!A37</f>
        <v>46307</v>
      </c>
      <c r="B57" s="11" t="str">
        <f>CETES!B37</f>
        <v>BI261105</v>
      </c>
      <c r="C57" s="15">
        <f>CETES!C37</f>
        <v>46331</v>
      </c>
      <c r="D57" s="14">
        <f>CETES!E37</f>
        <v>24</v>
      </c>
      <c r="E57" s="11" t="str">
        <f>CETES!AC37</f>
        <v>extremo inferior</v>
      </c>
      <c r="F57" s="14">
        <f>CETES!W37</f>
        <v>28</v>
      </c>
      <c r="G57" s="14">
        <f>CETES!U37</f>
        <v>28</v>
      </c>
      <c r="H57" s="26">
        <f>CETES!AA37</f>
        <v>6.09</v>
      </c>
      <c r="I57" s="15">
        <f>CETES!Y37</f>
        <v>46303</v>
      </c>
      <c r="J57" s="14">
        <f>CETES!X37</f>
        <v>28</v>
      </c>
      <c r="K57" s="14">
        <f>CETES!V37</f>
        <v>28</v>
      </c>
      <c r="L57" s="26">
        <f>CETES!AB37</f>
        <v>6.09</v>
      </c>
      <c r="M57" s="15">
        <f>CETES!Z37</f>
        <v>46303</v>
      </c>
      <c r="N57" s="26">
        <f>CETES!AD37</f>
        <v>6.09</v>
      </c>
      <c r="O57" s="26">
        <f>CETES!AE37</f>
        <v>9.9595641694719443</v>
      </c>
      <c r="P57" s="19">
        <f>CETES!AF37</f>
        <v>9.9595642000000009</v>
      </c>
    </row>
    <row r="58" spans="1:16" x14ac:dyDescent="0.3">
      <c r="A58" s="15">
        <f>CETES!A38</f>
        <v>46308</v>
      </c>
      <c r="B58" s="11" t="str">
        <f>CETES!B38</f>
        <v>BI261105</v>
      </c>
      <c r="C58" s="15">
        <f>CETES!C38</f>
        <v>46331</v>
      </c>
      <c r="D58" s="14">
        <f>CETES!E38</f>
        <v>23</v>
      </c>
      <c r="E58" s="11" t="str">
        <f>CETES!AC38</f>
        <v>extremo inferior</v>
      </c>
      <c r="F58" s="14">
        <f>CETES!W38</f>
        <v>28</v>
      </c>
      <c r="G58" s="14">
        <f>CETES!U38</f>
        <v>28</v>
      </c>
      <c r="H58" s="26">
        <f>CETES!AA38</f>
        <v>6.09</v>
      </c>
      <c r="I58" s="15">
        <f>CETES!Y38</f>
        <v>46303</v>
      </c>
      <c r="J58" s="14">
        <f>CETES!X38</f>
        <v>28</v>
      </c>
      <c r="K58" s="14">
        <f>CETES!V38</f>
        <v>28</v>
      </c>
      <c r="L58" s="26">
        <f>CETES!AB38</f>
        <v>6.09</v>
      </c>
      <c r="M58" s="15">
        <f>CETES!Z38</f>
        <v>46303</v>
      </c>
      <c r="N58" s="26">
        <f>CETES!AD38</f>
        <v>6.09</v>
      </c>
      <c r="O58" s="26">
        <f>CETES!AE38</f>
        <v>9.9612424657727558</v>
      </c>
      <c r="P58" s="19">
        <f>CETES!AF38</f>
        <v>9.9612425000000009</v>
      </c>
    </row>
    <row r="59" spans="1:16" x14ac:dyDescent="0.3">
      <c r="A59" s="15">
        <f>CETES!A39</f>
        <v>46309</v>
      </c>
      <c r="B59" s="11" t="str">
        <f>CETES!B39</f>
        <v>BI261105</v>
      </c>
      <c r="C59" s="15">
        <f>CETES!C39</f>
        <v>46331</v>
      </c>
      <c r="D59" s="14">
        <f>CETES!E39</f>
        <v>22</v>
      </c>
      <c r="E59" s="11" t="str">
        <f>CETES!AC39</f>
        <v>extremo inferior</v>
      </c>
      <c r="F59" s="14">
        <f>CETES!W39</f>
        <v>28</v>
      </c>
      <c r="G59" s="14">
        <f>CETES!U39</f>
        <v>28</v>
      </c>
      <c r="H59" s="26">
        <f>CETES!AA39</f>
        <v>6.09</v>
      </c>
      <c r="I59" s="15">
        <f>CETES!Y39</f>
        <v>46303</v>
      </c>
      <c r="J59" s="14">
        <f>CETES!X39</f>
        <v>28</v>
      </c>
      <c r="K59" s="14">
        <f>CETES!V39</f>
        <v>28</v>
      </c>
      <c r="L59" s="26">
        <f>CETES!AB39</f>
        <v>6.09</v>
      </c>
      <c r="M59" s="15">
        <f>CETES!Z39</f>
        <v>46303</v>
      </c>
      <c r="N59" s="26">
        <f>CETES!AD39</f>
        <v>6.09</v>
      </c>
      <c r="O59" s="26">
        <f>CETES!AE39</f>
        <v>9.9629213277917348</v>
      </c>
      <c r="P59" s="19">
        <f>CETES!AF39</f>
        <v>9.9629212999999996</v>
      </c>
    </row>
    <row r="60" spans="1:16" x14ac:dyDescent="0.3">
      <c r="A60" s="15">
        <f>CETES!A40</f>
        <v>46282</v>
      </c>
      <c r="B60" s="11" t="str">
        <f>CETES!B40</f>
        <v>BI261217</v>
      </c>
      <c r="C60" s="15">
        <f>CETES!C40</f>
        <v>46373</v>
      </c>
      <c r="D60" s="14">
        <f>CETES!E40</f>
        <v>91</v>
      </c>
      <c r="E60" s="11" t="str">
        <f>CETES!AC40</f>
        <v>nodo</v>
      </c>
      <c r="F60" s="14">
        <f>CETES!W40</f>
        <v>91</v>
      </c>
      <c r="G60" s="14">
        <f>CETES!U40</f>
        <v>91</v>
      </c>
      <c r="H60" s="26">
        <f>CETES!AA40</f>
        <v>6.66</v>
      </c>
      <c r="I60" s="15">
        <f>CETES!Y40</f>
        <v>46282</v>
      </c>
      <c r="J60" s="14">
        <f>CETES!X40</f>
        <v>91</v>
      </c>
      <c r="K60" s="14">
        <f>CETES!V40</f>
        <v>91</v>
      </c>
      <c r="L60" s="26">
        <f>CETES!AB40</f>
        <v>6.66</v>
      </c>
      <c r="M60" s="15">
        <f>CETES!Z40</f>
        <v>46282</v>
      </c>
      <c r="N60" s="26">
        <f>CETES!AD40</f>
        <v>6.66</v>
      </c>
      <c r="O60" s="26">
        <f>CETES!AE40</f>
        <v>9.834437248914524</v>
      </c>
      <c r="P60" s="19">
        <f>CETES!AF40</f>
        <v>9.8344372</v>
      </c>
    </row>
    <row r="61" spans="1:16" x14ac:dyDescent="0.3">
      <c r="A61" s="15">
        <f>CETES!A41</f>
        <v>46283</v>
      </c>
      <c r="B61" s="11" t="str">
        <f>CETES!B41</f>
        <v>BI261217</v>
      </c>
      <c r="C61" s="15">
        <f>CETES!C41</f>
        <v>46373</v>
      </c>
      <c r="D61" s="14">
        <f>CETES!E41</f>
        <v>90</v>
      </c>
      <c r="E61" s="11" t="str">
        <f>CETES!AC41</f>
        <v>interpolación</v>
      </c>
      <c r="F61" s="14">
        <f>CETES!W41</f>
        <v>28</v>
      </c>
      <c r="G61" s="14">
        <f>CETES!U41</f>
        <v>28</v>
      </c>
      <c r="H61" s="26">
        <f>CETES!AA41</f>
        <v>6.25</v>
      </c>
      <c r="I61" s="15">
        <f>CETES!Y41</f>
        <v>46282</v>
      </c>
      <c r="J61" s="14">
        <f>CETES!X41</f>
        <v>91</v>
      </c>
      <c r="K61" s="14">
        <f>CETES!V41</f>
        <v>91</v>
      </c>
      <c r="L61" s="26">
        <f>CETES!AB41</f>
        <v>6.66</v>
      </c>
      <c r="M61" s="15">
        <f>CETES!Z41</f>
        <v>46282</v>
      </c>
      <c r="N61" s="26">
        <f>CETES!AD41</f>
        <v>6.653492063492064</v>
      </c>
      <c r="O61" s="26">
        <f>CETES!AE41</f>
        <v>9.836384238833654</v>
      </c>
      <c r="P61" s="19">
        <f>CETES!AF41</f>
        <v>9.8363841999999995</v>
      </c>
    </row>
    <row r="62" spans="1:16" x14ac:dyDescent="0.3">
      <c r="A62" s="15">
        <f>CETES!A42</f>
        <v>46284</v>
      </c>
      <c r="B62" s="11" t="str">
        <f>CETES!B42</f>
        <v>BI261217</v>
      </c>
      <c r="C62" s="15">
        <f>CETES!C42</f>
        <v>46373</v>
      </c>
      <c r="D62" s="14">
        <f>CETES!E42</f>
        <v>89</v>
      </c>
      <c r="E62" s="11" t="str">
        <f>CETES!AC42</f>
        <v>interpolación</v>
      </c>
      <c r="F62" s="14">
        <f>CETES!W42</f>
        <v>28</v>
      </c>
      <c r="G62" s="14">
        <f>CETES!U42</f>
        <v>28</v>
      </c>
      <c r="H62" s="26">
        <f>CETES!AA42</f>
        <v>6.25</v>
      </c>
      <c r="I62" s="15">
        <f>CETES!Y42</f>
        <v>46282</v>
      </c>
      <c r="J62" s="14">
        <f>CETES!X42</f>
        <v>91</v>
      </c>
      <c r="K62" s="14">
        <f>CETES!V42</f>
        <v>91</v>
      </c>
      <c r="L62" s="26">
        <f>CETES!AB42</f>
        <v>6.66</v>
      </c>
      <c r="M62" s="15">
        <f>CETES!Z42</f>
        <v>46282</v>
      </c>
      <c r="N62" s="26">
        <f>CETES!AD42</f>
        <v>6.646984126984127</v>
      </c>
      <c r="O62" s="26">
        <f>CETES!AE42</f>
        <v>9.8383285002616887</v>
      </c>
      <c r="P62" s="19">
        <f>CETES!AF42</f>
        <v>9.8383284999999994</v>
      </c>
    </row>
    <row r="63" spans="1:16" x14ac:dyDescent="0.3">
      <c r="A63" s="15">
        <f>CETES!A43</f>
        <v>46285</v>
      </c>
      <c r="B63" s="11" t="str">
        <f>CETES!B43</f>
        <v>BI261217</v>
      </c>
      <c r="C63" s="15">
        <f>CETES!C43</f>
        <v>46373</v>
      </c>
      <c r="D63" s="14">
        <f>CETES!E43</f>
        <v>88</v>
      </c>
      <c r="E63" s="11" t="str">
        <f>CETES!AC43</f>
        <v>interpolación</v>
      </c>
      <c r="F63" s="14">
        <f>CETES!W43</f>
        <v>28</v>
      </c>
      <c r="G63" s="14">
        <f>CETES!U43</f>
        <v>28</v>
      </c>
      <c r="H63" s="26">
        <f>CETES!AA43</f>
        <v>6.25</v>
      </c>
      <c r="I63" s="15">
        <f>CETES!Y43</f>
        <v>46282</v>
      </c>
      <c r="J63" s="14">
        <f>CETES!X43</f>
        <v>91</v>
      </c>
      <c r="K63" s="14">
        <f>CETES!V43</f>
        <v>91</v>
      </c>
      <c r="L63" s="26">
        <f>CETES!AB43</f>
        <v>6.66</v>
      </c>
      <c r="M63" s="15">
        <f>CETES!Z43</f>
        <v>46282</v>
      </c>
      <c r="N63" s="26">
        <f>CETES!AD43</f>
        <v>6.6404761904761909</v>
      </c>
      <c r="O63" s="26">
        <f>CETES!AE43</f>
        <v>9.8402700295051897</v>
      </c>
      <c r="P63" s="19">
        <f>CETES!AF43</f>
        <v>9.8402700000000003</v>
      </c>
    </row>
    <row r="64" spans="1:16" x14ac:dyDescent="0.3">
      <c r="A64" s="15">
        <f>CETES!A44</f>
        <v>46286</v>
      </c>
      <c r="B64" s="11" t="str">
        <f>CETES!B44</f>
        <v>BI261217</v>
      </c>
      <c r="C64" s="15">
        <f>CETES!C44</f>
        <v>46373</v>
      </c>
      <c r="D64" s="14">
        <f>CETES!E44</f>
        <v>87</v>
      </c>
      <c r="E64" s="11" t="str">
        <f>CETES!AC44</f>
        <v>interpolación</v>
      </c>
      <c r="F64" s="14">
        <f>CETES!W44</f>
        <v>28</v>
      </c>
      <c r="G64" s="14">
        <f>CETES!U44</f>
        <v>28</v>
      </c>
      <c r="H64" s="26">
        <f>CETES!AA44</f>
        <v>6.25</v>
      </c>
      <c r="I64" s="15">
        <f>CETES!Y44</f>
        <v>46282</v>
      </c>
      <c r="J64" s="14">
        <f>CETES!X44</f>
        <v>91</v>
      </c>
      <c r="K64" s="14">
        <f>CETES!V44</f>
        <v>91</v>
      </c>
      <c r="L64" s="26">
        <f>CETES!AB44</f>
        <v>6.66</v>
      </c>
      <c r="M64" s="15">
        <f>CETES!Z44</f>
        <v>46282</v>
      </c>
      <c r="N64" s="26">
        <f>CETES!AD44</f>
        <v>6.6339682539682538</v>
      </c>
      <c r="O64" s="26">
        <f>CETES!AE44</f>
        <v>9.842208822873646</v>
      </c>
      <c r="P64" s="19">
        <f>CETES!AF44</f>
        <v>9.8422087999999999</v>
      </c>
    </row>
    <row r="65" spans="1:16" x14ac:dyDescent="0.3">
      <c r="A65" s="15">
        <f>CETES!A45</f>
        <v>46287</v>
      </c>
      <c r="B65" s="11" t="str">
        <f>CETES!B45</f>
        <v>BI261217</v>
      </c>
      <c r="C65" s="15">
        <f>CETES!C45</f>
        <v>46373</v>
      </c>
      <c r="D65" s="14">
        <f>CETES!E45</f>
        <v>86</v>
      </c>
      <c r="E65" s="11" t="str">
        <f>CETES!AC45</f>
        <v>interpolación</v>
      </c>
      <c r="F65" s="14">
        <f>CETES!W45</f>
        <v>28</v>
      </c>
      <c r="G65" s="14">
        <f>CETES!U45</f>
        <v>28</v>
      </c>
      <c r="H65" s="26">
        <f>CETES!AA45</f>
        <v>6.25</v>
      </c>
      <c r="I65" s="15">
        <f>CETES!Y45</f>
        <v>46282</v>
      </c>
      <c r="J65" s="14">
        <f>CETES!X45</f>
        <v>91</v>
      </c>
      <c r="K65" s="14">
        <f>CETES!V45</f>
        <v>91</v>
      </c>
      <c r="L65" s="26">
        <f>CETES!AB45</f>
        <v>6.66</v>
      </c>
      <c r="M65" s="15">
        <f>CETES!Z45</f>
        <v>46282</v>
      </c>
      <c r="N65" s="26">
        <f>CETES!AD45</f>
        <v>6.6274603174603177</v>
      </c>
      <c r="O65" s="26">
        <f>CETES!AE45</f>
        <v>9.8441448766794721</v>
      </c>
      <c r="P65" s="19">
        <f>CETES!AF45</f>
        <v>9.8441448999999999</v>
      </c>
    </row>
    <row r="66" spans="1:16" x14ac:dyDescent="0.3">
      <c r="A66" s="15">
        <f>CETES!A46</f>
        <v>46288</v>
      </c>
      <c r="B66" s="11" t="str">
        <f>CETES!B46</f>
        <v>BI261217</v>
      </c>
      <c r="C66" s="15">
        <f>CETES!C46</f>
        <v>46373</v>
      </c>
      <c r="D66" s="14">
        <f>CETES!E46</f>
        <v>85</v>
      </c>
      <c r="E66" s="11" t="str">
        <f>CETES!AC46</f>
        <v>interpolación</v>
      </c>
      <c r="F66" s="14">
        <f>CETES!W46</f>
        <v>28</v>
      </c>
      <c r="G66" s="14">
        <f>CETES!U46</f>
        <v>28</v>
      </c>
      <c r="H66" s="26">
        <f>CETES!AA46</f>
        <v>6.25</v>
      </c>
      <c r="I66" s="15">
        <f>CETES!Y46</f>
        <v>46282</v>
      </c>
      <c r="J66" s="14">
        <f>CETES!X46</f>
        <v>91</v>
      </c>
      <c r="K66" s="14">
        <f>CETES!V46</f>
        <v>91</v>
      </c>
      <c r="L66" s="26">
        <f>CETES!AB46</f>
        <v>6.66</v>
      </c>
      <c r="M66" s="15">
        <f>CETES!Z46</f>
        <v>46282</v>
      </c>
      <c r="N66" s="26">
        <f>CETES!AD46</f>
        <v>6.6209523809523807</v>
      </c>
      <c r="O66" s="26">
        <f>CETES!AE46</f>
        <v>9.8460781872380245</v>
      </c>
      <c r="P66" s="19">
        <f>CETES!AF46</f>
        <v>9.8460781999999991</v>
      </c>
    </row>
    <row r="67" spans="1:16" x14ac:dyDescent="0.3">
      <c r="A67" s="15">
        <f>CETES!A47</f>
        <v>46289</v>
      </c>
      <c r="B67" s="11" t="str">
        <f>CETES!B47</f>
        <v>BI261217</v>
      </c>
      <c r="C67" s="15">
        <f>CETES!C47</f>
        <v>46373</v>
      </c>
      <c r="D67" s="14">
        <f>CETES!E47</f>
        <v>84</v>
      </c>
      <c r="E67" s="11" t="str">
        <f>CETES!AC47</f>
        <v>interpolación</v>
      </c>
      <c r="F67" s="14">
        <f>CETES!W47</f>
        <v>28</v>
      </c>
      <c r="G67" s="14">
        <f>CETES!U47</f>
        <v>28</v>
      </c>
      <c r="H67" s="26">
        <f>CETES!AA47</f>
        <v>6.15</v>
      </c>
      <c r="I67" s="15">
        <f>CETES!Y47</f>
        <v>46289</v>
      </c>
      <c r="J67" s="14">
        <f>CETES!X47</f>
        <v>91</v>
      </c>
      <c r="K67" s="14">
        <f>CETES!V47</f>
        <v>91</v>
      </c>
      <c r="L67" s="26">
        <f>CETES!AB47</f>
        <v>6.59</v>
      </c>
      <c r="M67" s="15">
        <f>CETES!Z47</f>
        <v>46289</v>
      </c>
      <c r="N67" s="26">
        <f>CETES!AD47</f>
        <v>6.5411111111111113</v>
      </c>
      <c r="O67" s="26">
        <f>CETES!AE47</f>
        <v>9.8496685221739746</v>
      </c>
      <c r="P67" s="19">
        <f>CETES!AF47</f>
        <v>9.8496684999999999</v>
      </c>
    </row>
    <row r="68" spans="1:16" x14ac:dyDescent="0.3">
      <c r="A68" s="15">
        <f>CETES!A48</f>
        <v>46290</v>
      </c>
      <c r="B68" s="11" t="str">
        <f>CETES!B48</f>
        <v>BI261217</v>
      </c>
      <c r="C68" s="15">
        <f>CETES!C48</f>
        <v>46373</v>
      </c>
      <c r="D68" s="14">
        <f>CETES!E48</f>
        <v>83</v>
      </c>
      <c r="E68" s="11" t="str">
        <f>CETES!AC48</f>
        <v>interpolación</v>
      </c>
      <c r="F68" s="14">
        <f>CETES!W48</f>
        <v>28</v>
      </c>
      <c r="G68" s="14">
        <f>CETES!U48</f>
        <v>28</v>
      </c>
      <c r="H68" s="26">
        <f>CETES!AA48</f>
        <v>6.15</v>
      </c>
      <c r="I68" s="15">
        <f>CETES!Y48</f>
        <v>46289</v>
      </c>
      <c r="J68" s="14">
        <f>CETES!X48</f>
        <v>91</v>
      </c>
      <c r="K68" s="14">
        <f>CETES!V48</f>
        <v>91</v>
      </c>
      <c r="L68" s="26">
        <f>CETES!AB48</f>
        <v>6.59</v>
      </c>
      <c r="M68" s="15">
        <f>CETES!Z48</f>
        <v>46289</v>
      </c>
      <c r="N68" s="26">
        <f>CETES!AD48</f>
        <v>6.534126984126984</v>
      </c>
      <c r="O68" s="26">
        <f>CETES!AE48</f>
        <v>9.8515878702889044</v>
      </c>
      <c r="P68" s="19">
        <f>CETES!AF48</f>
        <v>9.8515879000000002</v>
      </c>
    </row>
    <row r="69" spans="1:16" x14ac:dyDescent="0.3">
      <c r="A69" s="15">
        <f>CETES!A49</f>
        <v>46291</v>
      </c>
      <c r="B69" s="11" t="str">
        <f>CETES!B49</f>
        <v>BI261217</v>
      </c>
      <c r="C69" s="15">
        <f>CETES!C49</f>
        <v>46373</v>
      </c>
      <c r="D69" s="14">
        <f>CETES!E49</f>
        <v>82</v>
      </c>
      <c r="E69" s="11" t="str">
        <f>CETES!AC49</f>
        <v>interpolación</v>
      </c>
      <c r="F69" s="14">
        <f>CETES!W49</f>
        <v>28</v>
      </c>
      <c r="G69" s="14">
        <f>CETES!U49</f>
        <v>28</v>
      </c>
      <c r="H69" s="26">
        <f>CETES!AA49</f>
        <v>6.15</v>
      </c>
      <c r="I69" s="15">
        <f>CETES!Y49</f>
        <v>46289</v>
      </c>
      <c r="J69" s="14">
        <f>CETES!X49</f>
        <v>91</v>
      </c>
      <c r="K69" s="14">
        <f>CETES!V49</f>
        <v>91</v>
      </c>
      <c r="L69" s="26">
        <f>CETES!AB49</f>
        <v>6.59</v>
      </c>
      <c r="M69" s="15">
        <f>CETES!Z49</f>
        <v>46289</v>
      </c>
      <c r="N69" s="26">
        <f>CETES!AD49</f>
        <v>6.5271428571428567</v>
      </c>
      <c r="O69" s="26">
        <f>CETES!AE49</f>
        <v>9.8535041993523436</v>
      </c>
      <c r="P69" s="19">
        <f>CETES!AF49</f>
        <v>9.8535041999999997</v>
      </c>
    </row>
    <row r="70" spans="1:16" x14ac:dyDescent="0.3">
      <c r="A70" s="15">
        <f>CETES!A50</f>
        <v>46292</v>
      </c>
      <c r="B70" s="11" t="str">
        <f>CETES!B50</f>
        <v>BI261217</v>
      </c>
      <c r="C70" s="15">
        <f>CETES!C50</f>
        <v>46373</v>
      </c>
      <c r="D70" s="14">
        <f>CETES!E50</f>
        <v>81</v>
      </c>
      <c r="E70" s="11" t="str">
        <f>CETES!AC50</f>
        <v>interpolación</v>
      </c>
      <c r="F70" s="14">
        <f>CETES!W50</f>
        <v>28</v>
      </c>
      <c r="G70" s="14">
        <f>CETES!U50</f>
        <v>28</v>
      </c>
      <c r="H70" s="26">
        <f>CETES!AA50</f>
        <v>6.15</v>
      </c>
      <c r="I70" s="15">
        <f>CETES!Y50</f>
        <v>46289</v>
      </c>
      <c r="J70" s="14">
        <f>CETES!X50</f>
        <v>91</v>
      </c>
      <c r="K70" s="14">
        <f>CETES!V50</f>
        <v>91</v>
      </c>
      <c r="L70" s="26">
        <f>CETES!AB50</f>
        <v>6.59</v>
      </c>
      <c r="M70" s="15">
        <f>CETES!Z50</f>
        <v>46289</v>
      </c>
      <c r="N70" s="26">
        <f>CETES!AD50</f>
        <v>6.5201587301587303</v>
      </c>
      <c r="O70" s="26">
        <f>CETES!AE50</f>
        <v>9.8554175054037589</v>
      </c>
      <c r="P70" s="19">
        <f>CETES!AF50</f>
        <v>9.8554174999999997</v>
      </c>
    </row>
    <row r="71" spans="1:16" x14ac:dyDescent="0.3">
      <c r="A71" s="15">
        <f>CETES!A51</f>
        <v>46293</v>
      </c>
      <c r="B71" s="11" t="str">
        <f>CETES!B51</f>
        <v>BI261217</v>
      </c>
      <c r="C71" s="15">
        <f>CETES!C51</f>
        <v>46373</v>
      </c>
      <c r="D71" s="14">
        <f>CETES!E51</f>
        <v>80</v>
      </c>
      <c r="E71" s="11" t="str">
        <f>CETES!AC51</f>
        <v>interpolación</v>
      </c>
      <c r="F71" s="14">
        <f>CETES!W51</f>
        <v>28</v>
      </c>
      <c r="G71" s="14">
        <f>CETES!U51</f>
        <v>28</v>
      </c>
      <c r="H71" s="26">
        <f>CETES!AA51</f>
        <v>6.15</v>
      </c>
      <c r="I71" s="15">
        <f>CETES!Y51</f>
        <v>46289</v>
      </c>
      <c r="J71" s="14">
        <f>CETES!X51</f>
        <v>91</v>
      </c>
      <c r="K71" s="14">
        <f>CETES!V51</f>
        <v>91</v>
      </c>
      <c r="L71" s="26">
        <f>CETES!AB51</f>
        <v>6.59</v>
      </c>
      <c r="M71" s="15">
        <f>CETES!Z51</f>
        <v>46289</v>
      </c>
      <c r="N71" s="26">
        <f>CETES!AD51</f>
        <v>6.513174603174603</v>
      </c>
      <c r="O71" s="26">
        <f>CETES!AE51</f>
        <v>9.8573277844864773</v>
      </c>
      <c r="P71" s="19">
        <f>CETES!AF51</f>
        <v>9.8573278000000002</v>
      </c>
    </row>
    <row r="72" spans="1:16" x14ac:dyDescent="0.3">
      <c r="A72" s="15">
        <f>CETES!A52</f>
        <v>46294</v>
      </c>
      <c r="B72" s="11" t="str">
        <f>CETES!B52</f>
        <v>BI261217</v>
      </c>
      <c r="C72" s="15">
        <f>CETES!C52</f>
        <v>46373</v>
      </c>
      <c r="D72" s="14">
        <f>CETES!E52</f>
        <v>79</v>
      </c>
      <c r="E72" s="11" t="str">
        <f>CETES!AC52</f>
        <v>interpolación</v>
      </c>
      <c r="F72" s="14">
        <f>CETES!W52</f>
        <v>28</v>
      </c>
      <c r="G72" s="14">
        <f>CETES!U52</f>
        <v>28</v>
      </c>
      <c r="H72" s="26">
        <f>CETES!AA52</f>
        <v>6.15</v>
      </c>
      <c r="I72" s="15">
        <f>CETES!Y52</f>
        <v>46289</v>
      </c>
      <c r="J72" s="14">
        <f>CETES!X52</f>
        <v>91</v>
      </c>
      <c r="K72" s="14">
        <f>CETES!V52</f>
        <v>91</v>
      </c>
      <c r="L72" s="26">
        <f>CETES!AB52</f>
        <v>6.59</v>
      </c>
      <c r="M72" s="15">
        <f>CETES!Z52</f>
        <v>46289</v>
      </c>
      <c r="N72" s="26">
        <f>CETES!AD52</f>
        <v>6.5061904761904765</v>
      </c>
      <c r="O72" s="26">
        <f>CETES!AE52</f>
        <v>9.8592350326476961</v>
      </c>
      <c r="P72" s="19">
        <f>CETES!AF52</f>
        <v>9.859235</v>
      </c>
    </row>
    <row r="73" spans="1:16" x14ac:dyDescent="0.3">
      <c r="A73" s="15">
        <f>CETES!A53</f>
        <v>46295</v>
      </c>
      <c r="B73" s="11" t="str">
        <f>CETES!B53</f>
        <v>BI261217</v>
      </c>
      <c r="C73" s="15">
        <f>CETES!C53</f>
        <v>46373</v>
      </c>
      <c r="D73" s="14">
        <f>CETES!E53</f>
        <v>78</v>
      </c>
      <c r="E73" s="11" t="str">
        <f>CETES!AC53</f>
        <v>interpolación</v>
      </c>
      <c r="F73" s="14">
        <f>CETES!W53</f>
        <v>28</v>
      </c>
      <c r="G73" s="14">
        <f>CETES!U53</f>
        <v>28</v>
      </c>
      <c r="H73" s="26">
        <f>CETES!AA53</f>
        <v>6.15</v>
      </c>
      <c r="I73" s="15">
        <f>CETES!Y53</f>
        <v>46289</v>
      </c>
      <c r="J73" s="14">
        <f>CETES!X53</f>
        <v>91</v>
      </c>
      <c r="K73" s="14">
        <f>CETES!V53</f>
        <v>91</v>
      </c>
      <c r="L73" s="26">
        <f>CETES!AB53</f>
        <v>6.59</v>
      </c>
      <c r="M73" s="15">
        <f>CETES!Z53</f>
        <v>46289</v>
      </c>
      <c r="N73" s="26">
        <f>CETES!AD53</f>
        <v>6.4992063492063492</v>
      </c>
      <c r="O73" s="26">
        <f>CETES!AE53</f>
        <v>9.8611392459385083</v>
      </c>
      <c r="P73" s="19">
        <f>CETES!AF53</f>
        <v>9.8611392000000002</v>
      </c>
    </row>
    <row r="74" spans="1:16" x14ac:dyDescent="0.3">
      <c r="A74" s="15">
        <f>CETES!A54</f>
        <v>46296</v>
      </c>
      <c r="B74" s="11" t="str">
        <f>CETES!B54</f>
        <v>BI261217</v>
      </c>
      <c r="C74" s="15">
        <f>CETES!C54</f>
        <v>46373</v>
      </c>
      <c r="D74" s="14">
        <f>CETES!E54</f>
        <v>77</v>
      </c>
      <c r="E74" s="11" t="str">
        <f>CETES!AC54</f>
        <v>interpolación</v>
      </c>
      <c r="F74" s="14">
        <f>CETES!W54</f>
        <v>28</v>
      </c>
      <c r="G74" s="14">
        <f>CETES!U54</f>
        <v>28</v>
      </c>
      <c r="H74" s="26">
        <f>CETES!AA54</f>
        <v>6.01</v>
      </c>
      <c r="I74" s="15">
        <f>CETES!Y54</f>
        <v>46296</v>
      </c>
      <c r="J74" s="14">
        <f>CETES!X54</f>
        <v>91</v>
      </c>
      <c r="K74" s="14">
        <f>CETES!V54</f>
        <v>91</v>
      </c>
      <c r="L74" s="26">
        <f>CETES!AB54</f>
        <v>6.73</v>
      </c>
      <c r="M74" s="15">
        <f>CETES!Z54</f>
        <v>46296</v>
      </c>
      <c r="N74" s="26">
        <f>CETES!AD54</f>
        <v>6.57</v>
      </c>
      <c r="O74" s="26">
        <f>CETES!AE54</f>
        <v>9.8614223622544195</v>
      </c>
      <c r="P74" s="19">
        <f>CETES!AF54</f>
        <v>9.8614224000000004</v>
      </c>
    </row>
    <row r="75" spans="1:16" x14ac:dyDescent="0.3">
      <c r="A75" s="15">
        <f>CETES!A55</f>
        <v>46297</v>
      </c>
      <c r="B75" s="11" t="str">
        <f>CETES!B55</f>
        <v>BI261217</v>
      </c>
      <c r="C75" s="15">
        <f>CETES!C55</f>
        <v>46373</v>
      </c>
      <c r="D75" s="14">
        <f>CETES!E55</f>
        <v>76</v>
      </c>
      <c r="E75" s="11" t="str">
        <f>CETES!AC55</f>
        <v>interpolación</v>
      </c>
      <c r="F75" s="14">
        <f>CETES!W55</f>
        <v>28</v>
      </c>
      <c r="G75" s="14">
        <f>CETES!U55</f>
        <v>28</v>
      </c>
      <c r="H75" s="26">
        <f>CETES!AA55</f>
        <v>6.01</v>
      </c>
      <c r="I75" s="15">
        <f>CETES!Y55</f>
        <v>46296</v>
      </c>
      <c r="J75" s="14">
        <f>CETES!X55</f>
        <v>91</v>
      </c>
      <c r="K75" s="14">
        <f>CETES!V55</f>
        <v>91</v>
      </c>
      <c r="L75" s="26">
        <f>CETES!AB55</f>
        <v>6.73</v>
      </c>
      <c r="M75" s="15">
        <f>CETES!Z55</f>
        <v>46296</v>
      </c>
      <c r="N75" s="26">
        <f>CETES!AD55</f>
        <v>6.5585714285714287</v>
      </c>
      <c r="O75" s="26">
        <f>CETES!AE55</f>
        <v>9.8634321706643053</v>
      </c>
      <c r="P75" s="19">
        <f>CETES!AF55</f>
        <v>9.8634322000000001</v>
      </c>
    </row>
    <row r="76" spans="1:16" x14ac:dyDescent="0.3">
      <c r="A76" s="15">
        <f>CETES!A56</f>
        <v>46298</v>
      </c>
      <c r="B76" s="11" t="str">
        <f>CETES!B56</f>
        <v>BI261217</v>
      </c>
      <c r="C76" s="15">
        <f>CETES!C56</f>
        <v>46373</v>
      </c>
      <c r="D76" s="14">
        <f>CETES!E56</f>
        <v>75</v>
      </c>
      <c r="E76" s="11" t="str">
        <f>CETES!AC56</f>
        <v>interpolación</v>
      </c>
      <c r="F76" s="14">
        <f>CETES!W56</f>
        <v>28</v>
      </c>
      <c r="G76" s="14">
        <f>CETES!U56</f>
        <v>28</v>
      </c>
      <c r="H76" s="26">
        <f>CETES!AA56</f>
        <v>6.01</v>
      </c>
      <c r="I76" s="15">
        <f>CETES!Y56</f>
        <v>46296</v>
      </c>
      <c r="J76" s="14">
        <f>CETES!X56</f>
        <v>91</v>
      </c>
      <c r="K76" s="14">
        <f>CETES!V56</f>
        <v>91</v>
      </c>
      <c r="L76" s="26">
        <f>CETES!AB56</f>
        <v>6.73</v>
      </c>
      <c r="M76" s="15">
        <f>CETES!Z56</f>
        <v>46296</v>
      </c>
      <c r="N76" s="26">
        <f>CETES!AD56</f>
        <v>6.5471428571428572</v>
      </c>
      <c r="O76" s="26">
        <f>CETES!AE56</f>
        <v>9.865436618973936</v>
      </c>
      <c r="P76" s="19">
        <f>CETES!AF56</f>
        <v>9.8654366000000007</v>
      </c>
    </row>
    <row r="77" spans="1:16" x14ac:dyDescent="0.3">
      <c r="A77" s="15">
        <f>CETES!A57</f>
        <v>46299</v>
      </c>
      <c r="B77" s="11" t="str">
        <f>CETES!B57</f>
        <v>BI261217</v>
      </c>
      <c r="C77" s="15">
        <f>CETES!C57</f>
        <v>46373</v>
      </c>
      <c r="D77" s="14">
        <f>CETES!E57</f>
        <v>74</v>
      </c>
      <c r="E77" s="11" t="str">
        <f>CETES!AC57</f>
        <v>interpolación</v>
      </c>
      <c r="F77" s="14">
        <f>CETES!W57</f>
        <v>28</v>
      </c>
      <c r="G77" s="14">
        <f>CETES!U57</f>
        <v>28</v>
      </c>
      <c r="H77" s="26">
        <f>CETES!AA57</f>
        <v>6.01</v>
      </c>
      <c r="I77" s="15">
        <f>CETES!Y57</f>
        <v>46296</v>
      </c>
      <c r="J77" s="14">
        <f>CETES!X57</f>
        <v>91</v>
      </c>
      <c r="K77" s="14">
        <f>CETES!V57</f>
        <v>91</v>
      </c>
      <c r="L77" s="26">
        <f>CETES!AB57</f>
        <v>6.73</v>
      </c>
      <c r="M77" s="15">
        <f>CETES!Z57</f>
        <v>46296</v>
      </c>
      <c r="N77" s="26">
        <f>CETES!AD57</f>
        <v>6.5357142857142865</v>
      </c>
      <c r="O77" s="26">
        <f>CETES!AE57</f>
        <v>9.8674357001474249</v>
      </c>
      <c r="P77" s="19">
        <f>CETES!AF57</f>
        <v>9.8674356999999997</v>
      </c>
    </row>
    <row r="78" spans="1:16" x14ac:dyDescent="0.3">
      <c r="A78" s="15">
        <f>CETES!A58</f>
        <v>46300</v>
      </c>
      <c r="B78" s="11" t="str">
        <f>CETES!B58</f>
        <v>BI261217</v>
      </c>
      <c r="C78" s="15">
        <f>CETES!C58</f>
        <v>46373</v>
      </c>
      <c r="D78" s="14">
        <f>CETES!E58</f>
        <v>73</v>
      </c>
      <c r="E78" s="11" t="str">
        <f>CETES!AC58</f>
        <v>interpolación</v>
      </c>
      <c r="F78" s="14">
        <f>CETES!W58</f>
        <v>28</v>
      </c>
      <c r="G78" s="14">
        <f>CETES!U58</f>
        <v>28</v>
      </c>
      <c r="H78" s="26">
        <f>CETES!AA58</f>
        <v>6.01</v>
      </c>
      <c r="I78" s="15">
        <f>CETES!Y58</f>
        <v>46296</v>
      </c>
      <c r="J78" s="14">
        <f>CETES!X58</f>
        <v>91</v>
      </c>
      <c r="K78" s="14">
        <f>CETES!V58</f>
        <v>91</v>
      </c>
      <c r="L78" s="26">
        <f>CETES!AB58</f>
        <v>6.73</v>
      </c>
      <c r="M78" s="15">
        <f>CETES!Z58</f>
        <v>46296</v>
      </c>
      <c r="N78" s="26">
        <f>CETES!AD58</f>
        <v>6.524285714285714</v>
      </c>
      <c r="O78" s="26">
        <f>CETES!AE58</f>
        <v>9.8694294071633486</v>
      </c>
      <c r="P78" s="19">
        <f>CETES!AF58</f>
        <v>9.8694293999999996</v>
      </c>
    </row>
    <row r="79" spans="1:16" x14ac:dyDescent="0.3">
      <c r="A79" s="15">
        <f>CETES!A59</f>
        <v>46301</v>
      </c>
      <c r="B79" s="11" t="str">
        <f>CETES!B59</f>
        <v>BI261217</v>
      </c>
      <c r="C79" s="15">
        <f>CETES!C59</f>
        <v>46373</v>
      </c>
      <c r="D79" s="14">
        <f>CETES!E59</f>
        <v>72</v>
      </c>
      <c r="E79" s="11" t="str">
        <f>CETES!AC59</f>
        <v>interpolación</v>
      </c>
      <c r="F79" s="14">
        <f>CETES!W59</f>
        <v>28</v>
      </c>
      <c r="G79" s="14">
        <f>CETES!U59</f>
        <v>28</v>
      </c>
      <c r="H79" s="26">
        <f>CETES!AA59</f>
        <v>6.01</v>
      </c>
      <c r="I79" s="15">
        <f>CETES!Y59</f>
        <v>46296</v>
      </c>
      <c r="J79" s="14">
        <f>CETES!X59</f>
        <v>91</v>
      </c>
      <c r="K79" s="14">
        <f>CETES!V59</f>
        <v>91</v>
      </c>
      <c r="L79" s="26">
        <f>CETES!AB59</f>
        <v>6.73</v>
      </c>
      <c r="M79" s="15">
        <f>CETES!Z59</f>
        <v>46296</v>
      </c>
      <c r="N79" s="26">
        <f>CETES!AD59</f>
        <v>6.5128571428571433</v>
      </c>
      <c r="O79" s="26">
        <f>CETES!AE59</f>
        <v>9.8714177330148161</v>
      </c>
      <c r="P79" s="19">
        <f>CETES!AF59</f>
        <v>9.8714177000000003</v>
      </c>
    </row>
    <row r="80" spans="1:16" x14ac:dyDescent="0.3">
      <c r="A80" s="15">
        <f>CETES!A60</f>
        <v>46302</v>
      </c>
      <c r="B80" s="11" t="str">
        <f>CETES!B60</f>
        <v>BI261217</v>
      </c>
      <c r="C80" s="15">
        <f>CETES!C60</f>
        <v>46373</v>
      </c>
      <c r="D80" s="14">
        <f>CETES!E60</f>
        <v>71</v>
      </c>
      <c r="E80" s="11" t="str">
        <f>CETES!AC60</f>
        <v>interpolación</v>
      </c>
      <c r="F80" s="14">
        <f>CETES!W60</f>
        <v>28</v>
      </c>
      <c r="G80" s="14">
        <f>CETES!U60</f>
        <v>28</v>
      </c>
      <c r="H80" s="26">
        <f>CETES!AA60</f>
        <v>6.01</v>
      </c>
      <c r="I80" s="15">
        <f>CETES!Y60</f>
        <v>46296</v>
      </c>
      <c r="J80" s="14">
        <f>CETES!X60</f>
        <v>91</v>
      </c>
      <c r="K80" s="14">
        <f>CETES!V60</f>
        <v>91</v>
      </c>
      <c r="L80" s="26">
        <f>CETES!AB60</f>
        <v>6.73</v>
      </c>
      <c r="M80" s="15">
        <f>CETES!Z60</f>
        <v>46296</v>
      </c>
      <c r="N80" s="26">
        <f>CETES!AD60</f>
        <v>6.5014285714285718</v>
      </c>
      <c r="O80" s="26">
        <f>CETES!AE60</f>
        <v>9.8734006707095094</v>
      </c>
      <c r="P80" s="19">
        <f>CETES!AF60</f>
        <v>9.8734006999999995</v>
      </c>
    </row>
    <row r="81" spans="1:16" x14ac:dyDescent="0.3">
      <c r="A81" s="15">
        <f>CETES!A61</f>
        <v>46303</v>
      </c>
      <c r="B81" s="11" t="str">
        <f>CETES!B61</f>
        <v>BI261217</v>
      </c>
      <c r="C81" s="15">
        <f>CETES!C61</f>
        <v>46373</v>
      </c>
      <c r="D81" s="14">
        <f>CETES!E61</f>
        <v>70</v>
      </c>
      <c r="E81" s="11" t="str">
        <f>CETES!AC61</f>
        <v>interpolación</v>
      </c>
      <c r="F81" s="14">
        <f>CETES!W61</f>
        <v>28</v>
      </c>
      <c r="G81" s="14">
        <f>CETES!U61</f>
        <v>28</v>
      </c>
      <c r="H81" s="26">
        <f>CETES!AA61</f>
        <v>6.09</v>
      </c>
      <c r="I81" s="15">
        <f>CETES!Y61</f>
        <v>46303</v>
      </c>
      <c r="J81" s="14">
        <f>CETES!X61</f>
        <v>91</v>
      </c>
      <c r="K81" s="14">
        <f>CETES!V61</f>
        <v>91</v>
      </c>
      <c r="L81" s="26">
        <f>CETES!AB61</f>
        <v>6.78</v>
      </c>
      <c r="M81" s="15">
        <f>CETES!Z61</f>
        <v>46303</v>
      </c>
      <c r="N81" s="26">
        <f>CETES!AD61</f>
        <v>6.55</v>
      </c>
      <c r="O81" s="26">
        <f>CETES!AE61</f>
        <v>9.8742405749002291</v>
      </c>
      <c r="P81" s="19">
        <f>CETES!AF61</f>
        <v>9.8742406000000003</v>
      </c>
    </row>
    <row r="82" spans="1:16" x14ac:dyDescent="0.3">
      <c r="A82" s="15">
        <f>CETES!A62</f>
        <v>46304</v>
      </c>
      <c r="B82" s="11" t="str">
        <f>CETES!B62</f>
        <v>BI261217</v>
      </c>
      <c r="C82" s="15">
        <f>CETES!C62</f>
        <v>46373</v>
      </c>
      <c r="D82" s="14">
        <f>CETES!E62</f>
        <v>69</v>
      </c>
      <c r="E82" s="11" t="str">
        <f>CETES!AC62</f>
        <v>interpolación</v>
      </c>
      <c r="F82" s="14">
        <f>CETES!W62</f>
        <v>28</v>
      </c>
      <c r="G82" s="14">
        <f>CETES!U62</f>
        <v>28</v>
      </c>
      <c r="H82" s="26">
        <f>CETES!AA62</f>
        <v>6.09</v>
      </c>
      <c r="I82" s="15">
        <f>CETES!Y62</f>
        <v>46303</v>
      </c>
      <c r="J82" s="14">
        <f>CETES!X62</f>
        <v>91</v>
      </c>
      <c r="K82" s="14">
        <f>CETES!V62</f>
        <v>91</v>
      </c>
      <c r="L82" s="26">
        <f>CETES!AB62</f>
        <v>6.78</v>
      </c>
      <c r="M82" s="15">
        <f>CETES!Z62</f>
        <v>46303</v>
      </c>
      <c r="N82" s="26">
        <f>CETES!AD62</f>
        <v>6.5390476190476194</v>
      </c>
      <c r="O82" s="26">
        <f>CETES!AE62</f>
        <v>9.8762196151441</v>
      </c>
      <c r="P82" s="19">
        <f>CETES!AF62</f>
        <v>9.8762196000000007</v>
      </c>
    </row>
    <row r="83" spans="1:16" x14ac:dyDescent="0.3">
      <c r="A83" s="15">
        <f>CETES!A63</f>
        <v>46305</v>
      </c>
      <c r="B83" s="11" t="str">
        <f>CETES!B63</f>
        <v>BI261217</v>
      </c>
      <c r="C83" s="15">
        <f>CETES!C63</f>
        <v>46373</v>
      </c>
      <c r="D83" s="14">
        <f>CETES!E63</f>
        <v>68</v>
      </c>
      <c r="E83" s="11" t="str">
        <f>CETES!AC63</f>
        <v>interpolación</v>
      </c>
      <c r="F83" s="14">
        <f>CETES!W63</f>
        <v>28</v>
      </c>
      <c r="G83" s="14">
        <f>CETES!U63</f>
        <v>28</v>
      </c>
      <c r="H83" s="26">
        <f>CETES!AA63</f>
        <v>6.09</v>
      </c>
      <c r="I83" s="15">
        <f>CETES!Y63</f>
        <v>46303</v>
      </c>
      <c r="J83" s="14">
        <f>CETES!X63</f>
        <v>91</v>
      </c>
      <c r="K83" s="14">
        <f>CETES!V63</f>
        <v>91</v>
      </c>
      <c r="L83" s="26">
        <f>CETES!AB63</f>
        <v>6.78</v>
      </c>
      <c r="M83" s="15">
        <f>CETES!Z63</f>
        <v>46303</v>
      </c>
      <c r="N83" s="26">
        <f>CETES!AD63</f>
        <v>6.5280952380952382</v>
      </c>
      <c r="O83" s="26">
        <f>CETES!AE63</f>
        <v>9.8781935115112063</v>
      </c>
      <c r="P83" s="19">
        <f>CETES!AF63</f>
        <v>9.8781935000000001</v>
      </c>
    </row>
    <row r="84" spans="1:16" x14ac:dyDescent="0.3">
      <c r="A84" s="15">
        <f>CETES!A64</f>
        <v>46306</v>
      </c>
      <c r="B84" s="11" t="str">
        <f>CETES!B64</f>
        <v>BI261217</v>
      </c>
      <c r="C84" s="15">
        <f>CETES!C64</f>
        <v>46373</v>
      </c>
      <c r="D84" s="14">
        <f>CETES!E64</f>
        <v>67</v>
      </c>
      <c r="E84" s="11" t="str">
        <f>CETES!AC64</f>
        <v>interpolación</v>
      </c>
      <c r="F84" s="14">
        <f>CETES!W64</f>
        <v>28</v>
      </c>
      <c r="G84" s="14">
        <f>CETES!U64</f>
        <v>28</v>
      </c>
      <c r="H84" s="26">
        <f>CETES!AA64</f>
        <v>6.09</v>
      </c>
      <c r="I84" s="15">
        <f>CETES!Y64</f>
        <v>46303</v>
      </c>
      <c r="J84" s="14">
        <f>CETES!X64</f>
        <v>91</v>
      </c>
      <c r="K84" s="14">
        <f>CETES!V64</f>
        <v>91</v>
      </c>
      <c r="L84" s="26">
        <f>CETES!AB64</f>
        <v>6.78</v>
      </c>
      <c r="M84" s="15">
        <f>CETES!Z64</f>
        <v>46303</v>
      </c>
      <c r="N84" s="26">
        <f>CETES!AD64</f>
        <v>6.5171428571428569</v>
      </c>
      <c r="O84" s="26">
        <f>CETES!AE64</f>
        <v>9.8801622573567407</v>
      </c>
      <c r="P84" s="19">
        <f>CETES!AF64</f>
        <v>9.8801623000000003</v>
      </c>
    </row>
    <row r="85" spans="1:16" x14ac:dyDescent="0.3">
      <c r="A85" s="15">
        <f>CETES!A65</f>
        <v>46307</v>
      </c>
      <c r="B85" s="11" t="str">
        <f>CETES!B65</f>
        <v>BI261217</v>
      </c>
      <c r="C85" s="15">
        <f>CETES!C65</f>
        <v>46373</v>
      </c>
      <c r="D85" s="14">
        <f>CETES!E65</f>
        <v>66</v>
      </c>
      <c r="E85" s="11" t="str">
        <f>CETES!AC65</f>
        <v>interpolación</v>
      </c>
      <c r="F85" s="14">
        <f>CETES!W65</f>
        <v>28</v>
      </c>
      <c r="G85" s="14">
        <f>CETES!U65</f>
        <v>28</v>
      </c>
      <c r="H85" s="26">
        <f>CETES!AA65</f>
        <v>6.09</v>
      </c>
      <c r="I85" s="15">
        <f>CETES!Y65</f>
        <v>46303</v>
      </c>
      <c r="J85" s="14">
        <f>CETES!X65</f>
        <v>91</v>
      </c>
      <c r="K85" s="14">
        <f>CETES!V65</f>
        <v>91</v>
      </c>
      <c r="L85" s="26">
        <f>CETES!AB65</f>
        <v>6.78</v>
      </c>
      <c r="M85" s="15">
        <f>CETES!Z65</f>
        <v>46303</v>
      </c>
      <c r="N85" s="26">
        <f>CETES!AD65</f>
        <v>6.5061904761904765</v>
      </c>
      <c r="O85" s="26">
        <f>CETES!AE65</f>
        <v>9.8821258460491848</v>
      </c>
      <c r="P85" s="19">
        <f>CETES!AF65</f>
        <v>9.8821258000000007</v>
      </c>
    </row>
    <row r="86" spans="1:16" x14ac:dyDescent="0.3">
      <c r="A86" s="15">
        <f>CETES!A66</f>
        <v>46308</v>
      </c>
      <c r="B86" s="11" t="str">
        <f>CETES!B66</f>
        <v>BI261217</v>
      </c>
      <c r="C86" s="15">
        <f>CETES!C66</f>
        <v>46373</v>
      </c>
      <c r="D86" s="14">
        <f>CETES!E66</f>
        <v>65</v>
      </c>
      <c r="E86" s="11" t="str">
        <f>CETES!AC66</f>
        <v>interpolación</v>
      </c>
      <c r="F86" s="14">
        <f>CETES!W66</f>
        <v>28</v>
      </c>
      <c r="G86" s="14">
        <f>CETES!U66</f>
        <v>28</v>
      </c>
      <c r="H86" s="26">
        <f>CETES!AA66</f>
        <v>6.09</v>
      </c>
      <c r="I86" s="15">
        <f>CETES!Y66</f>
        <v>46303</v>
      </c>
      <c r="J86" s="14">
        <f>CETES!X66</f>
        <v>91</v>
      </c>
      <c r="K86" s="14">
        <f>CETES!V66</f>
        <v>91</v>
      </c>
      <c r="L86" s="26">
        <f>CETES!AB66</f>
        <v>6.78</v>
      </c>
      <c r="M86" s="15">
        <f>CETES!Z66</f>
        <v>46303</v>
      </c>
      <c r="N86" s="26">
        <f>CETES!AD66</f>
        <v>6.4952380952380953</v>
      </c>
      <c r="O86" s="26">
        <f>CETES!AE66</f>
        <v>9.8840842709703409</v>
      </c>
      <c r="P86" s="19">
        <f>CETES!AF66</f>
        <v>9.8840842999999996</v>
      </c>
    </row>
    <row r="87" spans="1:16" x14ac:dyDescent="0.3">
      <c r="A87" s="15">
        <f>CETES!A67</f>
        <v>46309</v>
      </c>
      <c r="B87" s="11" t="str">
        <f>CETES!B67</f>
        <v>BI261217</v>
      </c>
      <c r="C87" s="15">
        <f>CETES!C67</f>
        <v>46373</v>
      </c>
      <c r="D87" s="14">
        <f>CETES!E67</f>
        <v>64</v>
      </c>
      <c r="E87" s="11" t="str">
        <f>CETES!AC67</f>
        <v>interpolación</v>
      </c>
      <c r="F87" s="14">
        <f>CETES!W67</f>
        <v>28</v>
      </c>
      <c r="G87" s="14">
        <f>CETES!U67</f>
        <v>28</v>
      </c>
      <c r="H87" s="26">
        <f>CETES!AA67</f>
        <v>6.09</v>
      </c>
      <c r="I87" s="15">
        <f>CETES!Y67</f>
        <v>46303</v>
      </c>
      <c r="J87" s="14">
        <f>CETES!X67</f>
        <v>91</v>
      </c>
      <c r="K87" s="14">
        <f>CETES!V67</f>
        <v>91</v>
      </c>
      <c r="L87" s="26">
        <f>CETES!AB67</f>
        <v>6.78</v>
      </c>
      <c r="M87" s="15">
        <f>CETES!Z67</f>
        <v>46303</v>
      </c>
      <c r="N87" s="26">
        <f>CETES!AD67</f>
        <v>6.484285714285714</v>
      </c>
      <c r="O87" s="26">
        <f>CETES!AE67</f>
        <v>9.8860375255153929</v>
      </c>
      <c r="P87" s="19">
        <f>CETES!AF67</f>
        <v>9.8860375000000005</v>
      </c>
    </row>
    <row r="88" spans="1:16" x14ac:dyDescent="0.3">
      <c r="A88" s="15">
        <f>CETES!A68</f>
        <v>46282</v>
      </c>
      <c r="B88" s="11" t="str">
        <f>CETES!B68</f>
        <v>BI270318</v>
      </c>
      <c r="C88" s="15">
        <f>CETES!C68</f>
        <v>46464</v>
      </c>
      <c r="D88" s="14">
        <f>CETES!E68</f>
        <v>182</v>
      </c>
      <c r="E88" s="11" t="str">
        <f>CETES!AC68</f>
        <v>nodo</v>
      </c>
      <c r="F88" s="14">
        <f>CETES!W68</f>
        <v>182</v>
      </c>
      <c r="G88" s="14">
        <f>CETES!U68</f>
        <v>182</v>
      </c>
      <c r="H88" s="26">
        <f>CETES!AA68</f>
        <v>6.9</v>
      </c>
      <c r="I88" s="15">
        <f>CETES!Y68</f>
        <v>46282</v>
      </c>
      <c r="J88" s="14">
        <f>CETES!X68</f>
        <v>182</v>
      </c>
      <c r="K88" s="14">
        <f>CETES!V68</f>
        <v>182</v>
      </c>
      <c r="L88" s="26">
        <f>CETES!AB68</f>
        <v>6.9</v>
      </c>
      <c r="M88" s="15">
        <f>CETES!Z68</f>
        <v>46282</v>
      </c>
      <c r="N88" s="26">
        <f>CETES!AD68</f>
        <v>6.9</v>
      </c>
      <c r="O88" s="26">
        <f>CETES!AE68</f>
        <v>9.6629249673876281</v>
      </c>
      <c r="P88" s="19">
        <f>CETES!AF68</f>
        <v>9.6629249999999995</v>
      </c>
    </row>
    <row r="89" spans="1:16" x14ac:dyDescent="0.3">
      <c r="A89" s="15">
        <f>CETES!A69</f>
        <v>46283</v>
      </c>
      <c r="B89" s="11" t="str">
        <f>CETES!B69</f>
        <v>BI270318</v>
      </c>
      <c r="C89" s="15">
        <f>CETES!C69</f>
        <v>46464</v>
      </c>
      <c r="D89" s="14">
        <f>CETES!E69</f>
        <v>181</v>
      </c>
      <c r="E89" s="11" t="str">
        <f>CETES!AC69</f>
        <v>interpolación</v>
      </c>
      <c r="F89" s="14">
        <f>CETES!W69</f>
        <v>91</v>
      </c>
      <c r="G89" s="14">
        <f>CETES!U69</f>
        <v>91</v>
      </c>
      <c r="H89" s="26">
        <f>CETES!AA69</f>
        <v>6.66</v>
      </c>
      <c r="I89" s="15">
        <f>CETES!Y69</f>
        <v>46282</v>
      </c>
      <c r="J89" s="14">
        <f>CETES!X69</f>
        <v>182</v>
      </c>
      <c r="K89" s="14">
        <f>CETES!V69</f>
        <v>182</v>
      </c>
      <c r="L89" s="26">
        <f>CETES!AB69</f>
        <v>6.9</v>
      </c>
      <c r="M89" s="15">
        <f>CETES!Z69</f>
        <v>46282</v>
      </c>
      <c r="N89" s="26">
        <f>CETES!AD69</f>
        <v>6.8973626373626375</v>
      </c>
      <c r="O89" s="26">
        <f>CETES!AE69</f>
        <v>9.664838790754489</v>
      </c>
      <c r="P89" s="19">
        <f>CETES!AF69</f>
        <v>9.6648388000000001</v>
      </c>
    </row>
    <row r="90" spans="1:16" x14ac:dyDescent="0.3">
      <c r="A90" s="15">
        <f>CETES!A70</f>
        <v>46284</v>
      </c>
      <c r="B90" s="11" t="str">
        <f>CETES!B70</f>
        <v>BI270318</v>
      </c>
      <c r="C90" s="15">
        <f>CETES!C70</f>
        <v>46464</v>
      </c>
      <c r="D90" s="14">
        <f>CETES!E70</f>
        <v>180</v>
      </c>
      <c r="E90" s="11" t="str">
        <f>CETES!AC70</f>
        <v>interpolación</v>
      </c>
      <c r="F90" s="14">
        <f>CETES!W70</f>
        <v>91</v>
      </c>
      <c r="G90" s="14">
        <f>CETES!U70</f>
        <v>91</v>
      </c>
      <c r="H90" s="26">
        <f>CETES!AA70</f>
        <v>6.66</v>
      </c>
      <c r="I90" s="15">
        <f>CETES!Y70</f>
        <v>46282</v>
      </c>
      <c r="J90" s="14">
        <f>CETES!X70</f>
        <v>182</v>
      </c>
      <c r="K90" s="14">
        <f>CETES!V70</f>
        <v>182</v>
      </c>
      <c r="L90" s="26">
        <f>CETES!AB70</f>
        <v>6.9</v>
      </c>
      <c r="M90" s="15">
        <f>CETES!Z70</f>
        <v>46282</v>
      </c>
      <c r="N90" s="26">
        <f>CETES!AD70</f>
        <v>6.8947252747252747</v>
      </c>
      <c r="O90" s="26">
        <f>CETES!AE70</f>
        <v>9.6667520031953398</v>
      </c>
      <c r="P90" s="19">
        <f>CETES!AF70</f>
        <v>9.6667520000000007</v>
      </c>
    </row>
    <row r="91" spans="1:16" x14ac:dyDescent="0.3">
      <c r="A91" s="15">
        <f>CETES!A71</f>
        <v>46285</v>
      </c>
      <c r="B91" s="11" t="str">
        <f>CETES!B71</f>
        <v>BI270318</v>
      </c>
      <c r="C91" s="15">
        <f>CETES!C71</f>
        <v>46464</v>
      </c>
      <c r="D91" s="14">
        <f>CETES!E71</f>
        <v>179</v>
      </c>
      <c r="E91" s="11" t="str">
        <f>CETES!AC71</f>
        <v>interpolación</v>
      </c>
      <c r="F91" s="14">
        <f>CETES!W71</f>
        <v>91</v>
      </c>
      <c r="G91" s="14">
        <f>CETES!U71</f>
        <v>91</v>
      </c>
      <c r="H91" s="26">
        <f>CETES!AA71</f>
        <v>6.66</v>
      </c>
      <c r="I91" s="15">
        <f>CETES!Y71</f>
        <v>46282</v>
      </c>
      <c r="J91" s="14">
        <f>CETES!X71</f>
        <v>182</v>
      </c>
      <c r="K91" s="14">
        <f>CETES!V71</f>
        <v>182</v>
      </c>
      <c r="L91" s="26">
        <f>CETES!AB71</f>
        <v>6.9</v>
      </c>
      <c r="M91" s="15">
        <f>CETES!Z71</f>
        <v>46282</v>
      </c>
      <c r="N91" s="26">
        <f>CETES!AD71</f>
        <v>6.8920879120879128</v>
      </c>
      <c r="O91" s="26">
        <f>CETES!AE71</f>
        <v>9.668664603534193</v>
      </c>
      <c r="P91" s="19">
        <f>CETES!AF71</f>
        <v>9.6686645999999996</v>
      </c>
    </row>
    <row r="92" spans="1:16" x14ac:dyDescent="0.3">
      <c r="A92" s="15">
        <f>CETES!A72</f>
        <v>46286</v>
      </c>
      <c r="B92" s="11" t="str">
        <f>CETES!B72</f>
        <v>BI270318</v>
      </c>
      <c r="C92" s="15">
        <f>CETES!C72</f>
        <v>46464</v>
      </c>
      <c r="D92" s="14">
        <f>CETES!E72</f>
        <v>178</v>
      </c>
      <c r="E92" s="11" t="str">
        <f>CETES!AC72</f>
        <v>interpolación</v>
      </c>
      <c r="F92" s="14">
        <f>CETES!W72</f>
        <v>91</v>
      </c>
      <c r="G92" s="14">
        <f>CETES!U72</f>
        <v>91</v>
      </c>
      <c r="H92" s="26">
        <f>CETES!AA72</f>
        <v>6.66</v>
      </c>
      <c r="I92" s="15">
        <f>CETES!Y72</f>
        <v>46282</v>
      </c>
      <c r="J92" s="14">
        <f>CETES!X72</f>
        <v>182</v>
      </c>
      <c r="K92" s="14">
        <f>CETES!V72</f>
        <v>182</v>
      </c>
      <c r="L92" s="26">
        <f>CETES!AB72</f>
        <v>6.9</v>
      </c>
      <c r="M92" s="15">
        <f>CETES!Z72</f>
        <v>46282</v>
      </c>
      <c r="N92" s="26">
        <f>CETES!AD72</f>
        <v>6.88945054945055</v>
      </c>
      <c r="O92" s="26">
        <f>CETES!AE72</f>
        <v>9.6705765905946528</v>
      </c>
      <c r="P92" s="19">
        <f>CETES!AF72</f>
        <v>9.6705766000000004</v>
      </c>
    </row>
    <row r="93" spans="1:16" x14ac:dyDescent="0.3">
      <c r="A93" s="15">
        <f>CETES!A73</f>
        <v>46287</v>
      </c>
      <c r="B93" s="11" t="str">
        <f>CETES!B73</f>
        <v>BI270318</v>
      </c>
      <c r="C93" s="15">
        <f>CETES!C73</f>
        <v>46464</v>
      </c>
      <c r="D93" s="14">
        <f>CETES!E73</f>
        <v>177</v>
      </c>
      <c r="E93" s="11" t="str">
        <f>CETES!AC73</f>
        <v>interpolación</v>
      </c>
      <c r="F93" s="14">
        <f>CETES!W73</f>
        <v>91</v>
      </c>
      <c r="G93" s="14">
        <f>CETES!U73</f>
        <v>91</v>
      </c>
      <c r="H93" s="26">
        <f>CETES!AA73</f>
        <v>6.66</v>
      </c>
      <c r="I93" s="15">
        <f>CETES!Y73</f>
        <v>46282</v>
      </c>
      <c r="J93" s="14">
        <f>CETES!X73</f>
        <v>182</v>
      </c>
      <c r="K93" s="14">
        <f>CETES!V73</f>
        <v>182</v>
      </c>
      <c r="L93" s="26">
        <f>CETES!AB73</f>
        <v>6.9</v>
      </c>
      <c r="M93" s="15">
        <f>CETES!Z73</f>
        <v>46282</v>
      </c>
      <c r="N93" s="26">
        <f>CETES!AD73</f>
        <v>6.8868131868131872</v>
      </c>
      <c r="O93" s="26">
        <f>CETES!AE73</f>
        <v>9.6724879631999041</v>
      </c>
      <c r="P93" s="19">
        <f>CETES!AF73</f>
        <v>9.6724879999999995</v>
      </c>
    </row>
    <row r="94" spans="1:16" x14ac:dyDescent="0.3">
      <c r="A94" s="15">
        <f>CETES!A74</f>
        <v>46288</v>
      </c>
      <c r="B94" s="11" t="str">
        <f>CETES!B74</f>
        <v>BI270318</v>
      </c>
      <c r="C94" s="15">
        <f>CETES!C74</f>
        <v>46464</v>
      </c>
      <c r="D94" s="14">
        <f>CETES!E74</f>
        <v>176</v>
      </c>
      <c r="E94" s="11" t="str">
        <f>CETES!AC74</f>
        <v>interpolación</v>
      </c>
      <c r="F94" s="14">
        <f>CETES!W74</f>
        <v>91</v>
      </c>
      <c r="G94" s="14">
        <f>CETES!U74</f>
        <v>91</v>
      </c>
      <c r="H94" s="26">
        <f>CETES!AA74</f>
        <v>6.66</v>
      </c>
      <c r="I94" s="15">
        <f>CETES!Y74</f>
        <v>46282</v>
      </c>
      <c r="J94" s="14">
        <f>CETES!X74</f>
        <v>182</v>
      </c>
      <c r="K94" s="14">
        <f>CETES!V74</f>
        <v>182</v>
      </c>
      <c r="L94" s="26">
        <f>CETES!AB74</f>
        <v>6.9</v>
      </c>
      <c r="M94" s="15">
        <f>CETES!Z74</f>
        <v>46282</v>
      </c>
      <c r="N94" s="26">
        <f>CETES!AD74</f>
        <v>6.8841758241758244</v>
      </c>
      <c r="O94" s="26">
        <f>CETES!AE74</f>
        <v>9.6743987201727304</v>
      </c>
      <c r="P94" s="19">
        <f>CETES!AF74</f>
        <v>9.6743986999999994</v>
      </c>
    </row>
    <row r="95" spans="1:16" x14ac:dyDescent="0.3">
      <c r="A95" s="15">
        <f>CETES!A75</f>
        <v>46289</v>
      </c>
      <c r="B95" s="11" t="str">
        <f>CETES!B75</f>
        <v>BI270318</v>
      </c>
      <c r="C95" s="15">
        <f>CETES!C75</f>
        <v>46464</v>
      </c>
      <c r="D95" s="14">
        <f>CETES!E75</f>
        <v>175</v>
      </c>
      <c r="E95" s="11" t="str">
        <f>CETES!AC75</f>
        <v>nodo</v>
      </c>
      <c r="F95" s="14">
        <f>CETES!W75</f>
        <v>182</v>
      </c>
      <c r="G95" s="14">
        <f>CETES!U75</f>
        <v>175</v>
      </c>
      <c r="H95" s="26">
        <f>CETES!AA75</f>
        <v>6.91</v>
      </c>
      <c r="I95" s="15">
        <f>CETES!Y75</f>
        <v>46289</v>
      </c>
      <c r="J95" s="14">
        <f>CETES!X75</f>
        <v>182</v>
      </c>
      <c r="K95" s="14">
        <f>CETES!V75</f>
        <v>175</v>
      </c>
      <c r="L95" s="26">
        <f>CETES!AB75</f>
        <v>6.91</v>
      </c>
      <c r="M95" s="15">
        <f>CETES!Z75</f>
        <v>46289</v>
      </c>
      <c r="N95" s="26">
        <f>CETES!AD75</f>
        <v>6.91</v>
      </c>
      <c r="O95" s="26">
        <f>CETES!AE75</f>
        <v>9.6750136054878837</v>
      </c>
      <c r="P95" s="19">
        <f>CETES!AF75</f>
        <v>9.6750135999999998</v>
      </c>
    </row>
    <row r="96" spans="1:16" x14ac:dyDescent="0.3">
      <c r="A96" s="15">
        <f>CETES!A76</f>
        <v>46290</v>
      </c>
      <c r="B96" s="11" t="str">
        <f>CETES!B76</f>
        <v>BI270318</v>
      </c>
      <c r="C96" s="15">
        <f>CETES!C76</f>
        <v>46464</v>
      </c>
      <c r="D96" s="14">
        <f>CETES!E76</f>
        <v>174</v>
      </c>
      <c r="E96" s="11" t="str">
        <f>CETES!AC76</f>
        <v>interpolación</v>
      </c>
      <c r="F96" s="14">
        <f>CETES!W76</f>
        <v>91</v>
      </c>
      <c r="G96" s="14">
        <f>CETES!U76</f>
        <v>91</v>
      </c>
      <c r="H96" s="26">
        <f>CETES!AA76</f>
        <v>6.59</v>
      </c>
      <c r="I96" s="15">
        <f>CETES!Y76</f>
        <v>46289</v>
      </c>
      <c r="J96" s="14">
        <f>CETES!X76</f>
        <v>182</v>
      </c>
      <c r="K96" s="14">
        <f>CETES!V76</f>
        <v>175</v>
      </c>
      <c r="L96" s="26">
        <f>CETES!AB76</f>
        <v>6.91</v>
      </c>
      <c r="M96" s="15">
        <f>CETES!Z76</f>
        <v>46289</v>
      </c>
      <c r="N96" s="26">
        <f>CETES!AD76</f>
        <v>6.906190476190476</v>
      </c>
      <c r="O96" s="26">
        <f>CETES!AE76</f>
        <v>9.6769830730365687</v>
      </c>
      <c r="P96" s="19">
        <f>CETES!AF76</f>
        <v>9.6769830999999993</v>
      </c>
    </row>
    <row r="97" spans="1:16" x14ac:dyDescent="0.3">
      <c r="A97" s="15">
        <f>CETES!A77</f>
        <v>46291</v>
      </c>
      <c r="B97" s="11" t="str">
        <f>CETES!B77</f>
        <v>BI270318</v>
      </c>
      <c r="C97" s="15">
        <f>CETES!C77</f>
        <v>46464</v>
      </c>
      <c r="D97" s="14">
        <f>CETES!E77</f>
        <v>173</v>
      </c>
      <c r="E97" s="11" t="str">
        <f>CETES!AC77</f>
        <v>interpolación</v>
      </c>
      <c r="F97" s="14">
        <f>CETES!W77</f>
        <v>91</v>
      </c>
      <c r="G97" s="14">
        <f>CETES!U77</f>
        <v>91</v>
      </c>
      <c r="H97" s="26">
        <f>CETES!AA77</f>
        <v>6.59</v>
      </c>
      <c r="I97" s="15">
        <f>CETES!Y77</f>
        <v>46289</v>
      </c>
      <c r="J97" s="14">
        <f>CETES!X77</f>
        <v>182</v>
      </c>
      <c r="K97" s="14">
        <f>CETES!V77</f>
        <v>175</v>
      </c>
      <c r="L97" s="26">
        <f>CETES!AB77</f>
        <v>6.91</v>
      </c>
      <c r="M97" s="15">
        <f>CETES!Z77</f>
        <v>46289</v>
      </c>
      <c r="N97" s="26">
        <f>CETES!AD77</f>
        <v>6.9023809523809527</v>
      </c>
      <c r="O97" s="26">
        <f>CETES!AE77</f>
        <v>9.6789513598766632</v>
      </c>
      <c r="P97" s="19">
        <f>CETES!AF77</f>
        <v>9.6789514000000008</v>
      </c>
    </row>
    <row r="98" spans="1:16" x14ac:dyDescent="0.3">
      <c r="A98" s="15">
        <f>CETES!A78</f>
        <v>46292</v>
      </c>
      <c r="B98" s="11" t="str">
        <f>CETES!B78</f>
        <v>BI270318</v>
      </c>
      <c r="C98" s="15">
        <f>CETES!C78</f>
        <v>46464</v>
      </c>
      <c r="D98" s="14">
        <f>CETES!E78</f>
        <v>172</v>
      </c>
      <c r="E98" s="11" t="str">
        <f>CETES!AC78</f>
        <v>interpolación</v>
      </c>
      <c r="F98" s="14">
        <f>CETES!W78</f>
        <v>91</v>
      </c>
      <c r="G98" s="14">
        <f>CETES!U78</f>
        <v>91</v>
      </c>
      <c r="H98" s="26">
        <f>CETES!AA78</f>
        <v>6.59</v>
      </c>
      <c r="I98" s="15">
        <f>CETES!Y78</f>
        <v>46289</v>
      </c>
      <c r="J98" s="14">
        <f>CETES!X78</f>
        <v>182</v>
      </c>
      <c r="K98" s="14">
        <f>CETES!V78</f>
        <v>175</v>
      </c>
      <c r="L98" s="26">
        <f>CETES!AB78</f>
        <v>6.91</v>
      </c>
      <c r="M98" s="15">
        <f>CETES!Z78</f>
        <v>46289</v>
      </c>
      <c r="N98" s="26">
        <f>CETES!AD78</f>
        <v>6.8985714285714286</v>
      </c>
      <c r="O98" s="26">
        <f>CETES!AE78</f>
        <v>9.6809184640777222</v>
      </c>
      <c r="P98" s="19">
        <f>CETES!AF78</f>
        <v>9.6809185000000006</v>
      </c>
    </row>
    <row r="99" spans="1:16" x14ac:dyDescent="0.3">
      <c r="A99" s="15">
        <f>CETES!A79</f>
        <v>46293</v>
      </c>
      <c r="B99" s="11" t="str">
        <f>CETES!B79</f>
        <v>BI270318</v>
      </c>
      <c r="C99" s="15">
        <f>CETES!C79</f>
        <v>46464</v>
      </c>
      <c r="D99" s="14">
        <f>CETES!E79</f>
        <v>171</v>
      </c>
      <c r="E99" s="11" t="str">
        <f>CETES!AC79</f>
        <v>interpolación</v>
      </c>
      <c r="F99" s="14">
        <f>CETES!W79</f>
        <v>91</v>
      </c>
      <c r="G99" s="14">
        <f>CETES!U79</f>
        <v>91</v>
      </c>
      <c r="H99" s="26">
        <f>CETES!AA79</f>
        <v>6.59</v>
      </c>
      <c r="I99" s="15">
        <f>CETES!Y79</f>
        <v>46289</v>
      </c>
      <c r="J99" s="14">
        <f>CETES!X79</f>
        <v>182</v>
      </c>
      <c r="K99" s="14">
        <f>CETES!V79</f>
        <v>175</v>
      </c>
      <c r="L99" s="26">
        <f>CETES!AB79</f>
        <v>6.91</v>
      </c>
      <c r="M99" s="15">
        <f>CETES!Z79</f>
        <v>46289</v>
      </c>
      <c r="N99" s="26">
        <f>CETES!AD79</f>
        <v>6.8947619047619053</v>
      </c>
      <c r="O99" s="26">
        <f>CETES!AE79</f>
        <v>9.682884383709192</v>
      </c>
      <c r="P99" s="19">
        <f>CETES!AF79</f>
        <v>9.6828844000000007</v>
      </c>
    </row>
    <row r="100" spans="1:16" x14ac:dyDescent="0.3">
      <c r="A100" s="15">
        <f>CETES!A80</f>
        <v>46294</v>
      </c>
      <c r="B100" s="11" t="str">
        <f>CETES!B80</f>
        <v>BI270318</v>
      </c>
      <c r="C100" s="15">
        <f>CETES!C80</f>
        <v>46464</v>
      </c>
      <c r="D100" s="14">
        <f>CETES!E80</f>
        <v>170</v>
      </c>
      <c r="E100" s="11" t="str">
        <f>CETES!AC80</f>
        <v>interpolación</v>
      </c>
      <c r="F100" s="14">
        <f>CETES!W80</f>
        <v>91</v>
      </c>
      <c r="G100" s="14">
        <f>CETES!U80</f>
        <v>91</v>
      </c>
      <c r="H100" s="26">
        <f>CETES!AA80</f>
        <v>6.59</v>
      </c>
      <c r="I100" s="15">
        <f>CETES!Y80</f>
        <v>46289</v>
      </c>
      <c r="J100" s="14">
        <f>CETES!X80</f>
        <v>182</v>
      </c>
      <c r="K100" s="14">
        <f>CETES!V80</f>
        <v>175</v>
      </c>
      <c r="L100" s="26">
        <f>CETES!AB80</f>
        <v>6.91</v>
      </c>
      <c r="M100" s="15">
        <f>CETES!Z80</f>
        <v>46289</v>
      </c>
      <c r="N100" s="26">
        <f>CETES!AD80</f>
        <v>6.8909523809523812</v>
      </c>
      <c r="O100" s="26">
        <f>CETES!AE80</f>
        <v>9.6848491168404021</v>
      </c>
      <c r="P100" s="19">
        <f>CETES!AF80</f>
        <v>9.6848490999999992</v>
      </c>
    </row>
    <row r="101" spans="1:16" x14ac:dyDescent="0.3">
      <c r="A101" s="15">
        <f>CETES!A81</f>
        <v>46295</v>
      </c>
      <c r="B101" s="11" t="str">
        <f>CETES!B81</f>
        <v>BI270318</v>
      </c>
      <c r="C101" s="15">
        <f>CETES!C81</f>
        <v>46464</v>
      </c>
      <c r="D101" s="14">
        <f>CETES!E81</f>
        <v>169</v>
      </c>
      <c r="E101" s="11" t="str">
        <f>CETES!AC81</f>
        <v>interpolación</v>
      </c>
      <c r="F101" s="14">
        <f>CETES!W81</f>
        <v>91</v>
      </c>
      <c r="G101" s="14">
        <f>CETES!U81</f>
        <v>91</v>
      </c>
      <c r="H101" s="26">
        <f>CETES!AA81</f>
        <v>6.59</v>
      </c>
      <c r="I101" s="15">
        <f>CETES!Y81</f>
        <v>46289</v>
      </c>
      <c r="J101" s="14">
        <f>CETES!X81</f>
        <v>182</v>
      </c>
      <c r="K101" s="14">
        <f>CETES!V81</f>
        <v>175</v>
      </c>
      <c r="L101" s="26">
        <f>CETES!AB81</f>
        <v>6.91</v>
      </c>
      <c r="M101" s="15">
        <f>CETES!Z81</f>
        <v>46289</v>
      </c>
      <c r="N101" s="26">
        <f>CETES!AD81</f>
        <v>6.887142857142857</v>
      </c>
      <c r="O101" s="26">
        <f>CETES!AE81</f>
        <v>9.6868126615405732</v>
      </c>
      <c r="P101" s="19">
        <f>CETES!AF81</f>
        <v>9.6868127000000008</v>
      </c>
    </row>
    <row r="102" spans="1:16" x14ac:dyDescent="0.3">
      <c r="A102" s="15">
        <f>CETES!A82</f>
        <v>46296</v>
      </c>
      <c r="B102" s="11" t="str">
        <f>CETES!B82</f>
        <v>BI270318</v>
      </c>
      <c r="C102" s="15">
        <f>CETES!C82</f>
        <v>46464</v>
      </c>
      <c r="D102" s="14">
        <f>CETES!E82</f>
        <v>168</v>
      </c>
      <c r="E102" s="11" t="str">
        <f>CETES!AC82</f>
        <v>interpolación</v>
      </c>
      <c r="F102" s="14">
        <f>CETES!W82</f>
        <v>91</v>
      </c>
      <c r="G102" s="14">
        <f>CETES!U82</f>
        <v>91</v>
      </c>
      <c r="H102" s="26">
        <f>CETES!AA82</f>
        <v>6.73</v>
      </c>
      <c r="I102" s="15">
        <f>CETES!Y82</f>
        <v>46296</v>
      </c>
      <c r="J102" s="14">
        <f>CETES!X82</f>
        <v>182</v>
      </c>
      <c r="K102" s="14">
        <f>CETES!V82</f>
        <v>182</v>
      </c>
      <c r="L102" s="26">
        <f>CETES!AB82</f>
        <v>7.01</v>
      </c>
      <c r="M102" s="15">
        <f>CETES!Z82</f>
        <v>46296</v>
      </c>
      <c r="N102" s="26">
        <f>CETES!AD82</f>
        <v>6.9669230769230772</v>
      </c>
      <c r="O102" s="26">
        <f>CETES!AE82</f>
        <v>9.6851145749054215</v>
      </c>
      <c r="P102" s="19">
        <f>CETES!AF82</f>
        <v>9.6851146000000004</v>
      </c>
    </row>
    <row r="103" spans="1:16" x14ac:dyDescent="0.3">
      <c r="A103" s="15">
        <f>CETES!A83</f>
        <v>46297</v>
      </c>
      <c r="B103" s="11" t="str">
        <f>CETES!B83</f>
        <v>BI270318</v>
      </c>
      <c r="C103" s="15">
        <f>CETES!C83</f>
        <v>46464</v>
      </c>
      <c r="D103" s="14">
        <f>CETES!E83</f>
        <v>167</v>
      </c>
      <c r="E103" s="11" t="str">
        <f>CETES!AC83</f>
        <v>interpolación</v>
      </c>
      <c r="F103" s="14">
        <f>CETES!W83</f>
        <v>91</v>
      </c>
      <c r="G103" s="14">
        <f>CETES!U83</f>
        <v>91</v>
      </c>
      <c r="H103" s="26">
        <f>CETES!AA83</f>
        <v>6.73</v>
      </c>
      <c r="I103" s="15">
        <f>CETES!Y83</f>
        <v>46296</v>
      </c>
      <c r="J103" s="14">
        <f>CETES!X83</f>
        <v>182</v>
      </c>
      <c r="K103" s="14">
        <f>CETES!V83</f>
        <v>182</v>
      </c>
      <c r="L103" s="26">
        <f>CETES!AB83</f>
        <v>7.01</v>
      </c>
      <c r="M103" s="15">
        <f>CETES!Z83</f>
        <v>46296</v>
      </c>
      <c r="N103" s="26">
        <f>CETES!AD83</f>
        <v>6.9638461538461538</v>
      </c>
      <c r="O103" s="26">
        <f>CETES!AE83</f>
        <v>9.6870641532654158</v>
      </c>
      <c r="P103" s="19">
        <f>CETES!AF83</f>
        <v>9.6870642</v>
      </c>
    </row>
    <row r="104" spans="1:16" x14ac:dyDescent="0.3">
      <c r="A104" s="15">
        <f>CETES!A84</f>
        <v>46298</v>
      </c>
      <c r="B104" s="11" t="str">
        <f>CETES!B84</f>
        <v>BI270318</v>
      </c>
      <c r="C104" s="15">
        <f>CETES!C84</f>
        <v>46464</v>
      </c>
      <c r="D104" s="14">
        <f>CETES!E84</f>
        <v>166</v>
      </c>
      <c r="E104" s="11" t="str">
        <f>CETES!AC84</f>
        <v>interpolación</v>
      </c>
      <c r="F104" s="14">
        <f>CETES!W84</f>
        <v>91</v>
      </c>
      <c r="G104" s="14">
        <f>CETES!U84</f>
        <v>91</v>
      </c>
      <c r="H104" s="26">
        <f>CETES!AA84</f>
        <v>6.73</v>
      </c>
      <c r="I104" s="15">
        <f>CETES!Y84</f>
        <v>46296</v>
      </c>
      <c r="J104" s="14">
        <f>CETES!X84</f>
        <v>182</v>
      </c>
      <c r="K104" s="14">
        <f>CETES!V84</f>
        <v>182</v>
      </c>
      <c r="L104" s="26">
        <f>CETES!AB84</f>
        <v>7.01</v>
      </c>
      <c r="M104" s="15">
        <f>CETES!Z84</f>
        <v>46296</v>
      </c>
      <c r="N104" s="26">
        <f>CETES!AD84</f>
        <v>6.9607692307692304</v>
      </c>
      <c r="O104" s="26">
        <f>CETES!AE84</f>
        <v>9.6890129119346984</v>
      </c>
      <c r="P104" s="19">
        <f>CETES!AF84</f>
        <v>9.6890128999999998</v>
      </c>
    </row>
    <row r="105" spans="1:16" x14ac:dyDescent="0.3">
      <c r="A105" s="15">
        <f>CETES!A85</f>
        <v>46299</v>
      </c>
      <c r="B105" s="11" t="str">
        <f>CETES!B85</f>
        <v>BI270318</v>
      </c>
      <c r="C105" s="15">
        <f>CETES!C85</f>
        <v>46464</v>
      </c>
      <c r="D105" s="14">
        <f>CETES!E85</f>
        <v>165</v>
      </c>
      <c r="E105" s="11" t="str">
        <f>CETES!AC85</f>
        <v>interpolación</v>
      </c>
      <c r="F105" s="14">
        <f>CETES!W85</f>
        <v>91</v>
      </c>
      <c r="G105" s="14">
        <f>CETES!U85</f>
        <v>91</v>
      </c>
      <c r="H105" s="26">
        <f>CETES!AA85</f>
        <v>6.73</v>
      </c>
      <c r="I105" s="15">
        <f>CETES!Y85</f>
        <v>46296</v>
      </c>
      <c r="J105" s="14">
        <f>CETES!X85</f>
        <v>182</v>
      </c>
      <c r="K105" s="14">
        <f>CETES!V85</f>
        <v>182</v>
      </c>
      <c r="L105" s="26">
        <f>CETES!AB85</f>
        <v>7.01</v>
      </c>
      <c r="M105" s="15">
        <f>CETES!Z85</f>
        <v>46296</v>
      </c>
      <c r="N105" s="26">
        <f>CETES!AD85</f>
        <v>6.9576923076923078</v>
      </c>
      <c r="O105" s="26">
        <f>CETES!AE85</f>
        <v>9.6909608494499917</v>
      </c>
      <c r="P105" s="19">
        <f>CETES!AF85</f>
        <v>9.6909607999999992</v>
      </c>
    </row>
    <row r="106" spans="1:16" x14ac:dyDescent="0.3">
      <c r="A106" s="15">
        <f>CETES!A86</f>
        <v>46300</v>
      </c>
      <c r="B106" s="11" t="str">
        <f>CETES!B86</f>
        <v>BI270318</v>
      </c>
      <c r="C106" s="15">
        <f>CETES!C86</f>
        <v>46464</v>
      </c>
      <c r="D106" s="14">
        <f>CETES!E86</f>
        <v>164</v>
      </c>
      <c r="E106" s="11" t="str">
        <f>CETES!AC86</f>
        <v>interpolación</v>
      </c>
      <c r="F106" s="14">
        <f>CETES!W86</f>
        <v>91</v>
      </c>
      <c r="G106" s="14">
        <f>CETES!U86</f>
        <v>91</v>
      </c>
      <c r="H106" s="26">
        <f>CETES!AA86</f>
        <v>6.73</v>
      </c>
      <c r="I106" s="15">
        <f>CETES!Y86</f>
        <v>46296</v>
      </c>
      <c r="J106" s="14">
        <f>CETES!X86</f>
        <v>182</v>
      </c>
      <c r="K106" s="14">
        <f>CETES!V86</f>
        <v>182</v>
      </c>
      <c r="L106" s="26">
        <f>CETES!AB86</f>
        <v>7.01</v>
      </c>
      <c r="M106" s="15">
        <f>CETES!Z86</f>
        <v>46296</v>
      </c>
      <c r="N106" s="26">
        <f>CETES!AD86</f>
        <v>6.9546153846153844</v>
      </c>
      <c r="O106" s="26">
        <f>CETES!AE86</f>
        <v>9.692907964347663</v>
      </c>
      <c r="P106" s="19">
        <f>CETES!AF86</f>
        <v>9.6929079999999992</v>
      </c>
    </row>
    <row r="107" spans="1:16" x14ac:dyDescent="0.3">
      <c r="A107" s="15">
        <f>CETES!A87</f>
        <v>46301</v>
      </c>
      <c r="B107" s="11" t="str">
        <f>CETES!B87</f>
        <v>BI270318</v>
      </c>
      <c r="C107" s="15">
        <f>CETES!C87</f>
        <v>46464</v>
      </c>
      <c r="D107" s="14">
        <f>CETES!E87</f>
        <v>163</v>
      </c>
      <c r="E107" s="11" t="str">
        <f>CETES!AC87</f>
        <v>interpolación</v>
      </c>
      <c r="F107" s="14">
        <f>CETES!W87</f>
        <v>91</v>
      </c>
      <c r="G107" s="14">
        <f>CETES!U87</f>
        <v>91</v>
      </c>
      <c r="H107" s="26">
        <f>CETES!AA87</f>
        <v>6.73</v>
      </c>
      <c r="I107" s="15">
        <f>CETES!Y87</f>
        <v>46296</v>
      </c>
      <c r="J107" s="14">
        <f>CETES!X87</f>
        <v>182</v>
      </c>
      <c r="K107" s="14">
        <f>CETES!V87</f>
        <v>182</v>
      </c>
      <c r="L107" s="26">
        <f>CETES!AB87</f>
        <v>7.01</v>
      </c>
      <c r="M107" s="15">
        <f>CETES!Z87</f>
        <v>46296</v>
      </c>
      <c r="N107" s="26">
        <f>CETES!AD87</f>
        <v>6.9515384615384619</v>
      </c>
      <c r="O107" s="26">
        <f>CETES!AE87</f>
        <v>9.6948542551637154</v>
      </c>
      <c r="P107" s="19">
        <f>CETES!AF87</f>
        <v>9.6948542999999994</v>
      </c>
    </row>
    <row r="108" spans="1:16" x14ac:dyDescent="0.3">
      <c r="A108" s="15">
        <f>CETES!A88</f>
        <v>46302</v>
      </c>
      <c r="B108" s="11" t="str">
        <f>CETES!B88</f>
        <v>BI270318</v>
      </c>
      <c r="C108" s="15">
        <f>CETES!C88</f>
        <v>46464</v>
      </c>
      <c r="D108" s="14">
        <f>CETES!E88</f>
        <v>162</v>
      </c>
      <c r="E108" s="11" t="str">
        <f>CETES!AC88</f>
        <v>interpolación</v>
      </c>
      <c r="F108" s="14">
        <f>CETES!W88</f>
        <v>91</v>
      </c>
      <c r="G108" s="14">
        <f>CETES!U88</f>
        <v>91</v>
      </c>
      <c r="H108" s="26">
        <f>CETES!AA88</f>
        <v>6.73</v>
      </c>
      <c r="I108" s="15">
        <f>CETES!Y88</f>
        <v>46296</v>
      </c>
      <c r="J108" s="14">
        <f>CETES!X88</f>
        <v>182</v>
      </c>
      <c r="K108" s="14">
        <f>CETES!V88</f>
        <v>182</v>
      </c>
      <c r="L108" s="26">
        <f>CETES!AB88</f>
        <v>7.01</v>
      </c>
      <c r="M108" s="15">
        <f>CETES!Z88</f>
        <v>46296</v>
      </c>
      <c r="N108" s="26">
        <f>CETES!AD88</f>
        <v>6.9484615384615385</v>
      </c>
      <c r="O108" s="26">
        <f>CETES!AE88</f>
        <v>9.6967997204338054</v>
      </c>
      <c r="P108" s="19">
        <f>CETES!AF88</f>
        <v>9.6967996999999997</v>
      </c>
    </row>
    <row r="109" spans="1:16" x14ac:dyDescent="0.3">
      <c r="A109" s="15">
        <f>CETES!A89</f>
        <v>46303</v>
      </c>
      <c r="B109" s="11" t="str">
        <f>CETES!B89</f>
        <v>BI270318</v>
      </c>
      <c r="C109" s="15">
        <f>CETES!C89</f>
        <v>46464</v>
      </c>
      <c r="D109" s="14">
        <f>CETES!E89</f>
        <v>161</v>
      </c>
      <c r="E109" s="11" t="str">
        <f>CETES!AC89</f>
        <v>interpolación</v>
      </c>
      <c r="F109" s="14">
        <f>CETES!W89</f>
        <v>91</v>
      </c>
      <c r="G109" s="14">
        <f>CETES!U89</f>
        <v>91</v>
      </c>
      <c r="H109" s="26">
        <f>CETES!AA89</f>
        <v>6.78</v>
      </c>
      <c r="I109" s="15">
        <f>CETES!Y89</f>
        <v>46303</v>
      </c>
      <c r="J109" s="14">
        <f>CETES!X89</f>
        <v>182</v>
      </c>
      <c r="K109" s="14">
        <f>CETES!V89</f>
        <v>175</v>
      </c>
      <c r="L109" s="26">
        <f>CETES!AB89</f>
        <v>6.91</v>
      </c>
      <c r="M109" s="15">
        <f>CETES!Z89</f>
        <v>46303</v>
      </c>
      <c r="N109" s="26">
        <f>CETES!AD89</f>
        <v>6.8883333333333336</v>
      </c>
      <c r="O109" s="26">
        <f>CETES!AE89</f>
        <v>9.7011450000949893</v>
      </c>
      <c r="P109" s="19">
        <f>CETES!AF89</f>
        <v>9.7011450000000004</v>
      </c>
    </row>
    <row r="110" spans="1:16" x14ac:dyDescent="0.3">
      <c r="A110" s="15">
        <f>CETES!A90</f>
        <v>46304</v>
      </c>
      <c r="B110" s="11" t="str">
        <f>CETES!B90</f>
        <v>BI270318</v>
      </c>
      <c r="C110" s="15">
        <f>CETES!C90</f>
        <v>46464</v>
      </c>
      <c r="D110" s="14">
        <f>CETES!E90</f>
        <v>160</v>
      </c>
      <c r="E110" s="11" t="str">
        <f>CETES!AC90</f>
        <v>interpolación</v>
      </c>
      <c r="F110" s="14">
        <f>CETES!W90</f>
        <v>91</v>
      </c>
      <c r="G110" s="14">
        <f>CETES!U90</f>
        <v>91</v>
      </c>
      <c r="H110" s="26">
        <f>CETES!AA90</f>
        <v>6.78</v>
      </c>
      <c r="I110" s="15">
        <f>CETES!Y90</f>
        <v>46303</v>
      </c>
      <c r="J110" s="14">
        <f>CETES!X90</f>
        <v>182</v>
      </c>
      <c r="K110" s="14">
        <f>CETES!V90</f>
        <v>175</v>
      </c>
      <c r="L110" s="26">
        <f>CETES!AB90</f>
        <v>6.91</v>
      </c>
      <c r="M110" s="15">
        <f>CETES!Z90</f>
        <v>46303</v>
      </c>
      <c r="N110" s="26">
        <f>CETES!AD90</f>
        <v>6.8867857142857147</v>
      </c>
      <c r="O110" s="26">
        <f>CETES!AE90</f>
        <v>9.7030108596713607</v>
      </c>
      <c r="P110" s="19">
        <f>CETES!AF90</f>
        <v>9.7030109000000007</v>
      </c>
    </row>
    <row r="111" spans="1:16" x14ac:dyDescent="0.3">
      <c r="A111" s="15">
        <f>CETES!A91</f>
        <v>46305</v>
      </c>
      <c r="B111" s="11" t="str">
        <f>CETES!B91</f>
        <v>BI270318</v>
      </c>
      <c r="C111" s="15">
        <f>CETES!C91</f>
        <v>46464</v>
      </c>
      <c r="D111" s="14">
        <f>CETES!E91</f>
        <v>159</v>
      </c>
      <c r="E111" s="11" t="str">
        <f>CETES!AC91</f>
        <v>interpolación</v>
      </c>
      <c r="F111" s="14">
        <f>CETES!W91</f>
        <v>91</v>
      </c>
      <c r="G111" s="14">
        <f>CETES!U91</f>
        <v>91</v>
      </c>
      <c r="H111" s="26">
        <f>CETES!AA91</f>
        <v>6.78</v>
      </c>
      <c r="I111" s="15">
        <f>CETES!Y91</f>
        <v>46303</v>
      </c>
      <c r="J111" s="14">
        <f>CETES!X91</f>
        <v>182</v>
      </c>
      <c r="K111" s="14">
        <f>CETES!V91</f>
        <v>175</v>
      </c>
      <c r="L111" s="26">
        <f>CETES!AB91</f>
        <v>6.91</v>
      </c>
      <c r="M111" s="15">
        <f>CETES!Z91</f>
        <v>46303</v>
      </c>
      <c r="N111" s="26">
        <f>CETES!AD91</f>
        <v>6.8852380952380958</v>
      </c>
      <c r="O111" s="26">
        <f>CETES!AE91</f>
        <v>9.7048766273335474</v>
      </c>
      <c r="P111" s="19">
        <f>CETES!AF91</f>
        <v>9.7048766000000004</v>
      </c>
    </row>
    <row r="112" spans="1:16" x14ac:dyDescent="0.3">
      <c r="A112" s="15">
        <f>CETES!A92</f>
        <v>46306</v>
      </c>
      <c r="B112" s="11" t="str">
        <f>CETES!B92</f>
        <v>BI270318</v>
      </c>
      <c r="C112" s="15">
        <f>CETES!C92</f>
        <v>46464</v>
      </c>
      <c r="D112" s="14">
        <f>CETES!E92</f>
        <v>158</v>
      </c>
      <c r="E112" s="11" t="str">
        <f>CETES!AC92</f>
        <v>interpolación</v>
      </c>
      <c r="F112" s="14">
        <f>CETES!W92</f>
        <v>91</v>
      </c>
      <c r="G112" s="14">
        <f>CETES!U92</f>
        <v>91</v>
      </c>
      <c r="H112" s="26">
        <f>CETES!AA92</f>
        <v>6.78</v>
      </c>
      <c r="I112" s="15">
        <f>CETES!Y92</f>
        <v>46303</v>
      </c>
      <c r="J112" s="14">
        <f>CETES!X92</f>
        <v>182</v>
      </c>
      <c r="K112" s="14">
        <f>CETES!V92</f>
        <v>175</v>
      </c>
      <c r="L112" s="26">
        <f>CETES!AB92</f>
        <v>6.91</v>
      </c>
      <c r="M112" s="15">
        <f>CETES!Z92</f>
        <v>46303</v>
      </c>
      <c r="N112" s="26">
        <f>CETES!AD92</f>
        <v>6.883690476190476</v>
      </c>
      <c r="O112" s="26">
        <f>CETES!AE92</f>
        <v>9.7067423025613788</v>
      </c>
      <c r="P112" s="19">
        <f>CETES!AF92</f>
        <v>9.7067423000000002</v>
      </c>
    </row>
    <row r="113" spans="1:16" x14ac:dyDescent="0.3">
      <c r="A113" s="15">
        <f>CETES!A93</f>
        <v>46307</v>
      </c>
      <c r="B113" s="11" t="str">
        <f>CETES!B93</f>
        <v>BI270318</v>
      </c>
      <c r="C113" s="15">
        <f>CETES!C93</f>
        <v>46464</v>
      </c>
      <c r="D113" s="14">
        <f>CETES!E93</f>
        <v>157</v>
      </c>
      <c r="E113" s="11" t="str">
        <f>CETES!AC93</f>
        <v>interpolación</v>
      </c>
      <c r="F113" s="14">
        <f>CETES!W93</f>
        <v>91</v>
      </c>
      <c r="G113" s="14">
        <f>CETES!U93</f>
        <v>91</v>
      </c>
      <c r="H113" s="26">
        <f>CETES!AA93</f>
        <v>6.78</v>
      </c>
      <c r="I113" s="15">
        <f>CETES!Y93</f>
        <v>46303</v>
      </c>
      <c r="J113" s="14">
        <f>CETES!X93</f>
        <v>182</v>
      </c>
      <c r="K113" s="14">
        <f>CETES!V93</f>
        <v>175</v>
      </c>
      <c r="L113" s="26">
        <f>CETES!AB93</f>
        <v>6.91</v>
      </c>
      <c r="M113" s="15">
        <f>CETES!Z93</f>
        <v>46303</v>
      </c>
      <c r="N113" s="26">
        <f>CETES!AD93</f>
        <v>6.8821428571428571</v>
      </c>
      <c r="O113" s="26">
        <f>CETES!AE93</f>
        <v>9.7086078848343362</v>
      </c>
      <c r="P113" s="19">
        <f>CETES!AF93</f>
        <v>9.7086079000000005</v>
      </c>
    </row>
    <row r="114" spans="1:16" x14ac:dyDescent="0.3">
      <c r="A114" s="15">
        <f>CETES!A94</f>
        <v>46308</v>
      </c>
      <c r="B114" s="11" t="str">
        <f>CETES!B94</f>
        <v>BI270318</v>
      </c>
      <c r="C114" s="15">
        <f>CETES!C94</f>
        <v>46464</v>
      </c>
      <c r="D114" s="14">
        <f>CETES!E94</f>
        <v>156</v>
      </c>
      <c r="E114" s="11" t="str">
        <f>CETES!AC94</f>
        <v>interpolación</v>
      </c>
      <c r="F114" s="14">
        <f>CETES!W94</f>
        <v>91</v>
      </c>
      <c r="G114" s="14">
        <f>CETES!U94</f>
        <v>91</v>
      </c>
      <c r="H114" s="26">
        <f>CETES!AA94</f>
        <v>6.78</v>
      </c>
      <c r="I114" s="15">
        <f>CETES!Y94</f>
        <v>46303</v>
      </c>
      <c r="J114" s="14">
        <f>CETES!X94</f>
        <v>182</v>
      </c>
      <c r="K114" s="14">
        <f>CETES!V94</f>
        <v>175</v>
      </c>
      <c r="L114" s="26">
        <f>CETES!AB94</f>
        <v>6.91</v>
      </c>
      <c r="M114" s="15">
        <f>CETES!Z94</f>
        <v>46303</v>
      </c>
      <c r="N114" s="26">
        <f>CETES!AD94</f>
        <v>6.8805952380952382</v>
      </c>
      <c r="O114" s="26">
        <f>CETES!AE94</f>
        <v>9.7104733736315403</v>
      </c>
      <c r="P114" s="19">
        <f>CETES!AF94</f>
        <v>9.7104733999999997</v>
      </c>
    </row>
    <row r="115" spans="1:16" x14ac:dyDescent="0.3">
      <c r="A115" s="15">
        <f>CETES!A95</f>
        <v>46309</v>
      </c>
      <c r="B115" s="11" t="str">
        <f>CETES!B95</f>
        <v>BI270318</v>
      </c>
      <c r="C115" s="15">
        <f>CETES!C95</f>
        <v>46464</v>
      </c>
      <c r="D115" s="14">
        <f>CETES!E95</f>
        <v>155</v>
      </c>
      <c r="E115" s="11" t="str">
        <f>CETES!AC95</f>
        <v>interpolación</v>
      </c>
      <c r="F115" s="14">
        <f>CETES!W95</f>
        <v>91</v>
      </c>
      <c r="G115" s="14">
        <f>CETES!U95</f>
        <v>91</v>
      </c>
      <c r="H115" s="26">
        <f>CETES!AA95</f>
        <v>6.78</v>
      </c>
      <c r="I115" s="15">
        <f>CETES!Y95</f>
        <v>46303</v>
      </c>
      <c r="J115" s="14">
        <f>CETES!X95</f>
        <v>182</v>
      </c>
      <c r="K115" s="14">
        <f>CETES!V95</f>
        <v>175</v>
      </c>
      <c r="L115" s="26">
        <f>CETES!AB95</f>
        <v>6.91</v>
      </c>
      <c r="M115" s="15">
        <f>CETES!Z95</f>
        <v>46303</v>
      </c>
      <c r="N115" s="26">
        <f>CETES!AD95</f>
        <v>6.8790476190476193</v>
      </c>
      <c r="O115" s="26">
        <f>CETES!AE95</f>
        <v>9.7123387684317635</v>
      </c>
      <c r="P115" s="19">
        <f>CETES!AF95</f>
        <v>9.7123387999999995</v>
      </c>
    </row>
    <row r="117" spans="1:16" x14ac:dyDescent="0.3">
      <c r="A117" s="7" t="s">
        <v>552</v>
      </c>
    </row>
    <row r="118" spans="1:16" ht="26.4" x14ac:dyDescent="0.3">
      <c r="A118" s="8" t="s">
        <v>177</v>
      </c>
      <c r="B118" s="8" t="s">
        <v>204</v>
      </c>
      <c r="C118" s="8" t="s">
        <v>553</v>
      </c>
      <c r="D118" s="8" t="s">
        <v>207</v>
      </c>
      <c r="E118" s="8" t="s">
        <v>554</v>
      </c>
    </row>
    <row r="119" spans="1:16" x14ac:dyDescent="0.3">
      <c r="A119" s="15">
        <f>Precios!I5</f>
        <v>46275</v>
      </c>
      <c r="B119" s="11" t="str">
        <f>Precios!J5</f>
        <v>DEMOACC</v>
      </c>
      <c r="C119" s="15">
        <f>Precios!K5</f>
        <v>46275</v>
      </c>
      <c r="D119" s="18">
        <f>Precios!L5</f>
        <v>100.2</v>
      </c>
      <c r="E119" s="11" t="str">
        <f>Precios!M5</f>
        <v>no</v>
      </c>
    </row>
    <row r="120" spans="1:16" x14ac:dyDescent="0.3">
      <c r="A120" s="15">
        <f>Precios!I6</f>
        <v>46275</v>
      </c>
      <c r="B120" s="11" t="str">
        <f>Precios!J6</f>
        <v>DEMOETF</v>
      </c>
      <c r="C120" s="15">
        <f>Precios!K6</f>
        <v>46275</v>
      </c>
      <c r="D120" s="18">
        <f>Precios!L6</f>
        <v>50.1</v>
      </c>
      <c r="E120" s="11" t="str">
        <f>Precios!M6</f>
        <v>no</v>
      </c>
    </row>
    <row r="121" spans="1:16" x14ac:dyDescent="0.3">
      <c r="A121" s="15">
        <f>Precios!I7</f>
        <v>46275</v>
      </c>
      <c r="B121" s="11" t="str">
        <f>Precios!J7</f>
        <v>DEMOFIB</v>
      </c>
      <c r="C121" s="15">
        <f>Precios!K7</f>
        <v>46275</v>
      </c>
      <c r="D121" s="18">
        <f>Precios!L7</f>
        <v>24.8</v>
      </c>
      <c r="E121" s="11" t="str">
        <f>Precios!M7</f>
        <v>no</v>
      </c>
    </row>
    <row r="122" spans="1:16" x14ac:dyDescent="0.3">
      <c r="A122" s="15">
        <f>Precios!I8</f>
        <v>46276</v>
      </c>
      <c r="B122" s="11" t="str">
        <f>Precios!J8</f>
        <v>DEMOACC</v>
      </c>
      <c r="C122" s="15">
        <f>Precios!K8</f>
        <v>46276</v>
      </c>
      <c r="D122" s="18">
        <f>Precios!L8</f>
        <v>101.85</v>
      </c>
      <c r="E122" s="11" t="str">
        <f>Precios!M8</f>
        <v>no</v>
      </c>
    </row>
    <row r="123" spans="1:16" x14ac:dyDescent="0.3">
      <c r="A123" s="15">
        <f>Precios!I9</f>
        <v>46276</v>
      </c>
      <c r="B123" s="11" t="str">
        <f>Precios!J9</f>
        <v>DEMOETF</v>
      </c>
      <c r="C123" s="15">
        <f>Precios!K9</f>
        <v>46276</v>
      </c>
      <c r="D123" s="18">
        <f>Precios!L9</f>
        <v>50.62</v>
      </c>
      <c r="E123" s="11" t="str">
        <f>Precios!M9</f>
        <v>no</v>
      </c>
    </row>
    <row r="124" spans="1:16" x14ac:dyDescent="0.3">
      <c r="A124" s="15">
        <f>Precios!I10</f>
        <v>46276</v>
      </c>
      <c r="B124" s="11" t="str">
        <f>Precios!J10</f>
        <v>DEMOFIB</v>
      </c>
      <c r="C124" s="15">
        <f>Precios!K10</f>
        <v>46276</v>
      </c>
      <c r="D124" s="18">
        <f>Precios!L10</f>
        <v>25.015000000000001</v>
      </c>
      <c r="E124" s="11" t="str">
        <f>Precios!M10</f>
        <v>no</v>
      </c>
    </row>
    <row r="125" spans="1:16" x14ac:dyDescent="0.3">
      <c r="A125" s="15">
        <f>Precios!I11</f>
        <v>46277</v>
      </c>
      <c r="B125" s="11" t="str">
        <f>Precios!J11</f>
        <v>DEMOACC</v>
      </c>
      <c r="C125" s="15">
        <f>Precios!K11</f>
        <v>46276</v>
      </c>
      <c r="D125" s="18">
        <f>Precios!L11</f>
        <v>101.85</v>
      </c>
      <c r="E125" s="11" t="str">
        <f>Precios!M11</f>
        <v>sí</v>
      </c>
    </row>
    <row r="126" spans="1:16" x14ac:dyDescent="0.3">
      <c r="A126" s="15">
        <f>Precios!I12</f>
        <v>46277</v>
      </c>
      <c r="B126" s="11" t="str">
        <f>Precios!J12</f>
        <v>DEMOETF</v>
      </c>
      <c r="C126" s="15">
        <f>Precios!K12</f>
        <v>46276</v>
      </c>
      <c r="D126" s="18">
        <f>Precios!L12</f>
        <v>50.62</v>
      </c>
      <c r="E126" s="11" t="str">
        <f>Precios!M12</f>
        <v>sí</v>
      </c>
    </row>
    <row r="127" spans="1:16" x14ac:dyDescent="0.3">
      <c r="A127" s="15">
        <f>Precios!I13</f>
        <v>46277</v>
      </c>
      <c r="B127" s="11" t="str">
        <f>Precios!J13</f>
        <v>DEMOFIB</v>
      </c>
      <c r="C127" s="15">
        <f>Precios!K13</f>
        <v>46276</v>
      </c>
      <c r="D127" s="18">
        <f>Precios!L13</f>
        <v>25.015000000000001</v>
      </c>
      <c r="E127" s="11" t="str">
        <f>Precios!M13</f>
        <v>sí</v>
      </c>
    </row>
    <row r="128" spans="1:16" x14ac:dyDescent="0.3">
      <c r="A128" s="15">
        <f>Precios!I14</f>
        <v>46278</v>
      </c>
      <c r="B128" s="11" t="str">
        <f>Precios!J14</f>
        <v>DEMOACC</v>
      </c>
      <c r="C128" s="15">
        <f>Precios!K14</f>
        <v>46276</v>
      </c>
      <c r="D128" s="18">
        <f>Precios!L14</f>
        <v>101.85</v>
      </c>
      <c r="E128" s="11" t="str">
        <f>Precios!M14</f>
        <v>sí</v>
      </c>
    </row>
    <row r="129" spans="1:5" x14ac:dyDescent="0.3">
      <c r="A129" s="15">
        <f>Precios!I15</f>
        <v>46278</v>
      </c>
      <c r="B129" s="11" t="str">
        <f>Precios!J15</f>
        <v>DEMOETF</v>
      </c>
      <c r="C129" s="15">
        <f>Precios!K15</f>
        <v>46276</v>
      </c>
      <c r="D129" s="18">
        <f>Precios!L15</f>
        <v>50.62</v>
      </c>
      <c r="E129" s="11" t="str">
        <f>Precios!M15</f>
        <v>sí</v>
      </c>
    </row>
    <row r="130" spans="1:5" x14ac:dyDescent="0.3">
      <c r="A130" s="15">
        <f>Precios!I16</f>
        <v>46278</v>
      </c>
      <c r="B130" s="11" t="str">
        <f>Precios!J16</f>
        <v>DEMOFIB</v>
      </c>
      <c r="C130" s="15">
        <f>Precios!K16</f>
        <v>46276</v>
      </c>
      <c r="D130" s="18">
        <f>Precios!L16</f>
        <v>25.015000000000001</v>
      </c>
      <c r="E130" s="11" t="str">
        <f>Precios!M16</f>
        <v>sí</v>
      </c>
    </row>
    <row r="131" spans="1:5" x14ac:dyDescent="0.3">
      <c r="A131" s="15">
        <f>Precios!I17</f>
        <v>46279</v>
      </c>
      <c r="B131" s="11" t="str">
        <f>Precios!J17</f>
        <v>DEMOACC</v>
      </c>
      <c r="C131" s="15">
        <f>Precios!K17</f>
        <v>46279</v>
      </c>
      <c r="D131" s="18">
        <f>Precios!L17</f>
        <v>103.4</v>
      </c>
      <c r="E131" s="11" t="str">
        <f>Precios!M17</f>
        <v>no</v>
      </c>
    </row>
    <row r="132" spans="1:5" x14ac:dyDescent="0.3">
      <c r="A132" s="15">
        <f>Precios!I18</f>
        <v>46279</v>
      </c>
      <c r="B132" s="11" t="str">
        <f>Precios!J18</f>
        <v>DEMOETF</v>
      </c>
      <c r="C132" s="15">
        <f>Precios!K18</f>
        <v>46279</v>
      </c>
      <c r="D132" s="18">
        <f>Precios!L18</f>
        <v>51.05</v>
      </c>
      <c r="E132" s="11" t="str">
        <f>Precios!M18</f>
        <v>no</v>
      </c>
    </row>
    <row r="133" spans="1:5" x14ac:dyDescent="0.3">
      <c r="A133" s="15">
        <f>Precios!I19</f>
        <v>46279</v>
      </c>
      <c r="B133" s="11" t="str">
        <f>Precios!J19</f>
        <v>DEMOFIB</v>
      </c>
      <c r="C133" s="15">
        <f>Precios!K19</f>
        <v>46279</v>
      </c>
      <c r="D133" s="18">
        <f>Precios!L19</f>
        <v>25.237500000000001</v>
      </c>
      <c r="E133" s="11" t="str">
        <f>Precios!M19</f>
        <v>no</v>
      </c>
    </row>
    <row r="134" spans="1:5" x14ac:dyDescent="0.3">
      <c r="A134" s="15">
        <f>Precios!I20</f>
        <v>46280</v>
      </c>
      <c r="B134" s="11" t="str">
        <f>Precios!J20</f>
        <v>DEMOACC</v>
      </c>
      <c r="C134" s="15">
        <f>Precios!K20</f>
        <v>46280</v>
      </c>
      <c r="D134" s="18">
        <f>Precios!L20</f>
        <v>104.75</v>
      </c>
      <c r="E134" s="11" t="str">
        <f>Precios!M20</f>
        <v>no</v>
      </c>
    </row>
    <row r="135" spans="1:5" x14ac:dyDescent="0.3">
      <c r="A135" s="15">
        <f>Precios!I21</f>
        <v>46280</v>
      </c>
      <c r="B135" s="11" t="str">
        <f>Precios!J21</f>
        <v>DEMOETF</v>
      </c>
      <c r="C135" s="15">
        <f>Precios!K21</f>
        <v>46280</v>
      </c>
      <c r="D135" s="18">
        <f>Precios!L21</f>
        <v>51.48</v>
      </c>
      <c r="E135" s="11" t="str">
        <f>Precios!M21</f>
        <v>no</v>
      </c>
    </row>
    <row r="136" spans="1:5" x14ac:dyDescent="0.3">
      <c r="A136" s="15">
        <f>Precios!I22</f>
        <v>46280</v>
      </c>
      <c r="B136" s="11" t="str">
        <f>Precios!J22</f>
        <v>DEMOFIB</v>
      </c>
      <c r="C136" s="15">
        <f>Precios!K22</f>
        <v>46280</v>
      </c>
      <c r="D136" s="18">
        <f>Precios!L22</f>
        <v>25.41</v>
      </c>
      <c r="E136" s="11" t="str">
        <f>Precios!M22</f>
        <v>no</v>
      </c>
    </row>
    <row r="137" spans="1:5" x14ac:dyDescent="0.3">
      <c r="A137" s="15">
        <f>Precios!I23</f>
        <v>46281</v>
      </c>
      <c r="B137" s="11" t="str">
        <f>Precios!J23</f>
        <v>DEMOACC</v>
      </c>
      <c r="C137" s="15">
        <f>Precios!K23</f>
        <v>46280</v>
      </c>
      <c r="D137" s="18">
        <f>Precios!L23</f>
        <v>104.75</v>
      </c>
      <c r="E137" s="11" t="str">
        <f>Precios!M23</f>
        <v>sí</v>
      </c>
    </row>
    <row r="138" spans="1:5" x14ac:dyDescent="0.3">
      <c r="A138" s="15">
        <f>Precios!I24</f>
        <v>46281</v>
      </c>
      <c r="B138" s="11" t="str">
        <f>Precios!J24</f>
        <v>DEMOETF</v>
      </c>
      <c r="C138" s="15">
        <f>Precios!K24</f>
        <v>46280</v>
      </c>
      <c r="D138" s="18">
        <f>Precios!L24</f>
        <v>51.48</v>
      </c>
      <c r="E138" s="11" t="str">
        <f>Precios!M24</f>
        <v>sí</v>
      </c>
    </row>
    <row r="139" spans="1:5" x14ac:dyDescent="0.3">
      <c r="A139" s="15">
        <f>Precios!I25</f>
        <v>46281</v>
      </c>
      <c r="B139" s="11" t="str">
        <f>Precios!J25</f>
        <v>DEMOFIB</v>
      </c>
      <c r="C139" s="15">
        <f>Precios!K25</f>
        <v>46280</v>
      </c>
      <c r="D139" s="18">
        <f>Precios!L25</f>
        <v>25.41</v>
      </c>
      <c r="E139" s="11" t="str">
        <f>Precios!M25</f>
        <v>sí</v>
      </c>
    </row>
    <row r="140" spans="1:5" x14ac:dyDescent="0.3">
      <c r="A140" s="15">
        <f>Precios!I26</f>
        <v>46282</v>
      </c>
      <c r="B140" s="11" t="str">
        <f>Precios!J26</f>
        <v>DEMOACC</v>
      </c>
      <c r="C140" s="15">
        <f>Precios!K26</f>
        <v>46282</v>
      </c>
      <c r="D140" s="18">
        <f>Precios!L26</f>
        <v>102.1</v>
      </c>
      <c r="E140" s="11" t="str">
        <f>Precios!M26</f>
        <v>no</v>
      </c>
    </row>
    <row r="141" spans="1:5" x14ac:dyDescent="0.3">
      <c r="A141" s="15">
        <f>Precios!I27</f>
        <v>46282</v>
      </c>
      <c r="B141" s="11" t="str">
        <f>Precios!J27</f>
        <v>DEMOETF</v>
      </c>
      <c r="C141" s="15">
        <f>Precios!K27</f>
        <v>46282</v>
      </c>
      <c r="D141" s="18">
        <f>Precios!L27</f>
        <v>50.71</v>
      </c>
      <c r="E141" s="11" t="str">
        <f>Precios!M27</f>
        <v>no</v>
      </c>
    </row>
    <row r="142" spans="1:5" x14ac:dyDescent="0.3">
      <c r="A142" s="15">
        <f>Precios!I28</f>
        <v>46282</v>
      </c>
      <c r="B142" s="11" t="str">
        <f>Precios!J28</f>
        <v>DEMOFIB</v>
      </c>
      <c r="C142" s="15">
        <f>Precios!K28</f>
        <v>46282</v>
      </c>
      <c r="D142" s="18">
        <f>Precios!L28</f>
        <v>24.965</v>
      </c>
      <c r="E142" s="11" t="str">
        <f>Precios!M28</f>
        <v>no</v>
      </c>
    </row>
    <row r="143" spans="1:5" x14ac:dyDescent="0.3">
      <c r="A143" s="15">
        <f>Precios!I29</f>
        <v>46283</v>
      </c>
      <c r="B143" s="11" t="str">
        <f>Precios!J29</f>
        <v>DEMOACC</v>
      </c>
      <c r="C143" s="15">
        <f>Precios!K29</f>
        <v>46283</v>
      </c>
      <c r="D143" s="18">
        <f>Precios!L29</f>
        <v>98.65</v>
      </c>
      <c r="E143" s="11" t="str">
        <f>Precios!M29</f>
        <v>no</v>
      </c>
    </row>
    <row r="144" spans="1:5" x14ac:dyDescent="0.3">
      <c r="A144" s="15">
        <f>Precios!I30</f>
        <v>46283</v>
      </c>
      <c r="B144" s="11" t="str">
        <f>Precios!J30</f>
        <v>DEMOETF</v>
      </c>
      <c r="C144" s="15">
        <f>Precios!K30</f>
        <v>46283</v>
      </c>
      <c r="D144" s="18">
        <f>Precios!L30</f>
        <v>49.34</v>
      </c>
      <c r="E144" s="11" t="str">
        <f>Precios!M30</f>
        <v>no</v>
      </c>
    </row>
    <row r="145" spans="1:5" x14ac:dyDescent="0.3">
      <c r="A145" s="15">
        <f>Precios!I31</f>
        <v>46283</v>
      </c>
      <c r="B145" s="11" t="str">
        <f>Precios!J31</f>
        <v>DEMOFIB</v>
      </c>
      <c r="C145" s="15">
        <f>Precios!K31</f>
        <v>46283</v>
      </c>
      <c r="D145" s="18">
        <f>Precios!L31</f>
        <v>24.302499999999998</v>
      </c>
      <c r="E145" s="11" t="str">
        <f>Precios!M31</f>
        <v>no</v>
      </c>
    </row>
    <row r="146" spans="1:5" x14ac:dyDescent="0.3">
      <c r="A146" s="15">
        <f>Precios!I32</f>
        <v>46284</v>
      </c>
      <c r="B146" s="11" t="str">
        <f>Precios!J32</f>
        <v>DEMOACC</v>
      </c>
      <c r="C146" s="15">
        <f>Precios!K32</f>
        <v>46283</v>
      </c>
      <c r="D146" s="18">
        <f>Precios!L32</f>
        <v>98.65</v>
      </c>
      <c r="E146" s="11" t="str">
        <f>Precios!M32</f>
        <v>sí</v>
      </c>
    </row>
    <row r="147" spans="1:5" x14ac:dyDescent="0.3">
      <c r="A147" s="15">
        <f>Precios!I33</f>
        <v>46284</v>
      </c>
      <c r="B147" s="11" t="str">
        <f>Precios!J33</f>
        <v>DEMOETF</v>
      </c>
      <c r="C147" s="15">
        <f>Precios!K33</f>
        <v>46283</v>
      </c>
      <c r="D147" s="18">
        <f>Precios!L33</f>
        <v>49.34</v>
      </c>
      <c r="E147" s="11" t="str">
        <f>Precios!M33</f>
        <v>sí</v>
      </c>
    </row>
    <row r="148" spans="1:5" x14ac:dyDescent="0.3">
      <c r="A148" s="15">
        <f>Precios!I34</f>
        <v>46284</v>
      </c>
      <c r="B148" s="11" t="str">
        <f>Precios!J34</f>
        <v>DEMOFIB</v>
      </c>
      <c r="C148" s="15">
        <f>Precios!K34</f>
        <v>46283</v>
      </c>
      <c r="D148" s="18">
        <f>Precios!L34</f>
        <v>24.302499999999998</v>
      </c>
      <c r="E148" s="11" t="str">
        <f>Precios!M34</f>
        <v>sí</v>
      </c>
    </row>
    <row r="149" spans="1:5" x14ac:dyDescent="0.3">
      <c r="A149" s="15">
        <f>Precios!I35</f>
        <v>46285</v>
      </c>
      <c r="B149" s="11" t="str">
        <f>Precios!J35</f>
        <v>DEMOACC</v>
      </c>
      <c r="C149" s="15">
        <f>Precios!K35</f>
        <v>46283</v>
      </c>
      <c r="D149" s="18">
        <f>Precios!L35</f>
        <v>98.65</v>
      </c>
      <c r="E149" s="11" t="str">
        <f>Precios!M35</f>
        <v>sí</v>
      </c>
    </row>
    <row r="150" spans="1:5" x14ac:dyDescent="0.3">
      <c r="A150" s="15">
        <f>Precios!I36</f>
        <v>46285</v>
      </c>
      <c r="B150" s="11" t="str">
        <f>Precios!J36</f>
        <v>DEMOETF</v>
      </c>
      <c r="C150" s="15">
        <f>Precios!K36</f>
        <v>46283</v>
      </c>
      <c r="D150" s="18">
        <f>Precios!L36</f>
        <v>49.34</v>
      </c>
      <c r="E150" s="11" t="str">
        <f>Precios!M36</f>
        <v>sí</v>
      </c>
    </row>
    <row r="151" spans="1:5" x14ac:dyDescent="0.3">
      <c r="A151" s="15">
        <f>Precios!I37</f>
        <v>46285</v>
      </c>
      <c r="B151" s="11" t="str">
        <f>Precios!J37</f>
        <v>DEMOFIB</v>
      </c>
      <c r="C151" s="15">
        <f>Precios!K37</f>
        <v>46283</v>
      </c>
      <c r="D151" s="18">
        <f>Precios!L37</f>
        <v>24.302499999999998</v>
      </c>
      <c r="E151" s="11" t="str">
        <f>Precios!M37</f>
        <v>sí</v>
      </c>
    </row>
    <row r="152" spans="1:5" x14ac:dyDescent="0.3">
      <c r="A152" s="15">
        <f>Precios!I38</f>
        <v>46286</v>
      </c>
      <c r="B152" s="11" t="str">
        <f>Precios!J38</f>
        <v>DEMOACC</v>
      </c>
      <c r="C152" s="15">
        <f>Precios!K38</f>
        <v>46286</v>
      </c>
      <c r="D152" s="18">
        <f>Precios!L38</f>
        <v>95.3</v>
      </c>
      <c r="E152" s="11" t="str">
        <f>Precios!M38</f>
        <v>no</v>
      </c>
    </row>
    <row r="153" spans="1:5" x14ac:dyDescent="0.3">
      <c r="A153" s="15">
        <f>Precios!I39</f>
        <v>46286</v>
      </c>
      <c r="B153" s="11" t="str">
        <f>Precios!J39</f>
        <v>DEMOETF</v>
      </c>
      <c r="C153" s="15">
        <f>Precios!K39</f>
        <v>46286</v>
      </c>
      <c r="D153" s="18">
        <f>Precios!L39</f>
        <v>48.02</v>
      </c>
      <c r="E153" s="11" t="str">
        <f>Precios!M39</f>
        <v>no</v>
      </c>
    </row>
    <row r="154" spans="1:5" x14ac:dyDescent="0.3">
      <c r="A154" s="15">
        <f>Precios!I40</f>
        <v>46286</v>
      </c>
      <c r="B154" s="11" t="str">
        <f>Precios!J40</f>
        <v>DEMOFIB</v>
      </c>
      <c r="C154" s="15">
        <f>Precios!K40</f>
        <v>46286</v>
      </c>
      <c r="D154" s="18">
        <f>Precios!L40</f>
        <v>23.64</v>
      </c>
      <c r="E154" s="11" t="str">
        <f>Precios!M40</f>
        <v>no</v>
      </c>
    </row>
    <row r="155" spans="1:5" x14ac:dyDescent="0.3">
      <c r="A155" s="15">
        <f>Precios!I41</f>
        <v>46287</v>
      </c>
      <c r="B155" s="11" t="str">
        <f>Precios!J41</f>
        <v>DEMOACC</v>
      </c>
      <c r="C155" s="15">
        <f>Precios!K41</f>
        <v>46287</v>
      </c>
      <c r="D155" s="18">
        <f>Precios!L41</f>
        <v>92.15</v>
      </c>
      <c r="E155" s="11" t="str">
        <f>Precios!M41</f>
        <v>no</v>
      </c>
    </row>
    <row r="156" spans="1:5" x14ac:dyDescent="0.3">
      <c r="A156" s="15">
        <f>Precios!I42</f>
        <v>46287</v>
      </c>
      <c r="B156" s="11" t="str">
        <f>Precios!J42</f>
        <v>DEMOETF</v>
      </c>
      <c r="C156" s="15">
        <f>Precios!K42</f>
        <v>46287</v>
      </c>
      <c r="D156" s="18">
        <f>Precios!L42</f>
        <v>46.87</v>
      </c>
      <c r="E156" s="11" t="str">
        <f>Precios!M42</f>
        <v>no</v>
      </c>
    </row>
    <row r="157" spans="1:5" x14ac:dyDescent="0.3">
      <c r="A157" s="15">
        <f>Precios!I43</f>
        <v>46287</v>
      </c>
      <c r="B157" s="11" t="str">
        <f>Precios!J43</f>
        <v>DEMOFIB</v>
      </c>
      <c r="C157" s="15">
        <f>Precios!K43</f>
        <v>46287</v>
      </c>
      <c r="D157" s="18">
        <f>Precios!L43</f>
        <v>23.1175</v>
      </c>
      <c r="E157" s="11" t="str">
        <f>Precios!M43</f>
        <v>no</v>
      </c>
    </row>
    <row r="158" spans="1:5" x14ac:dyDescent="0.3">
      <c r="A158" s="15">
        <f>Precios!I44</f>
        <v>46288</v>
      </c>
      <c r="B158" s="11" t="str">
        <f>Precios!J44</f>
        <v>DEMOACC</v>
      </c>
      <c r="C158" s="15">
        <f>Precios!K44</f>
        <v>46288</v>
      </c>
      <c r="D158" s="18">
        <f>Precios!L44</f>
        <v>90.424999999999997</v>
      </c>
      <c r="E158" s="11" t="str">
        <f>Precios!M44</f>
        <v>no</v>
      </c>
    </row>
    <row r="159" spans="1:5" x14ac:dyDescent="0.3">
      <c r="A159" s="15">
        <f>Precios!I45</f>
        <v>46288</v>
      </c>
      <c r="B159" s="11" t="str">
        <f>Precios!J45</f>
        <v>DEMOETF</v>
      </c>
      <c r="C159" s="15">
        <f>Precios!K45</f>
        <v>46288</v>
      </c>
      <c r="D159" s="18">
        <f>Precios!L45</f>
        <v>46.15</v>
      </c>
      <c r="E159" s="11" t="str">
        <f>Precios!M45</f>
        <v>no</v>
      </c>
    </row>
    <row r="160" spans="1:5" x14ac:dyDescent="0.3">
      <c r="A160" s="15">
        <f>Precios!I46</f>
        <v>46288</v>
      </c>
      <c r="B160" s="11" t="str">
        <f>Precios!J46</f>
        <v>DEMOFIB</v>
      </c>
      <c r="C160" s="15">
        <f>Precios!K46</f>
        <v>46288</v>
      </c>
      <c r="D160" s="18">
        <f>Precios!L46</f>
        <v>22.85</v>
      </c>
      <c r="E160" s="11" t="str">
        <f>Precios!M46</f>
        <v>no</v>
      </c>
    </row>
    <row r="161" spans="1:5" x14ac:dyDescent="0.3">
      <c r="A161" s="15">
        <f>Precios!I47</f>
        <v>46289</v>
      </c>
      <c r="B161" s="11" t="str">
        <f>Precios!J47</f>
        <v>DEMOACC</v>
      </c>
      <c r="C161" s="15">
        <f>Precios!K47</f>
        <v>46289</v>
      </c>
      <c r="D161" s="18">
        <f>Precios!L47</f>
        <v>92.8</v>
      </c>
      <c r="E161" s="11" t="str">
        <f>Precios!M47</f>
        <v>no</v>
      </c>
    </row>
    <row r="162" spans="1:5" x14ac:dyDescent="0.3">
      <c r="A162" s="15">
        <f>Precios!I48</f>
        <v>46289</v>
      </c>
      <c r="B162" s="11" t="str">
        <f>Precios!J48</f>
        <v>DEMOETF</v>
      </c>
      <c r="C162" s="15">
        <f>Precios!K48</f>
        <v>46289</v>
      </c>
      <c r="D162" s="18">
        <f>Precios!L48</f>
        <v>46.93</v>
      </c>
      <c r="E162" s="11" t="str">
        <f>Precios!M48</f>
        <v>no</v>
      </c>
    </row>
    <row r="163" spans="1:5" x14ac:dyDescent="0.3">
      <c r="A163" s="15">
        <f>Precios!I49</f>
        <v>46289</v>
      </c>
      <c r="B163" s="11" t="str">
        <f>Precios!J49</f>
        <v>DEMOFIB</v>
      </c>
      <c r="C163" s="15">
        <f>Precios!K49</f>
        <v>46289</v>
      </c>
      <c r="D163" s="18">
        <f>Precios!L49</f>
        <v>23.125</v>
      </c>
      <c r="E163" s="11" t="str">
        <f>Precios!M49</f>
        <v>no</v>
      </c>
    </row>
    <row r="164" spans="1:5" x14ac:dyDescent="0.3">
      <c r="A164" s="15">
        <f>Precios!I50</f>
        <v>46290</v>
      </c>
      <c r="B164" s="11" t="str">
        <f>Precios!J50</f>
        <v>DEMOACC</v>
      </c>
      <c r="C164" s="15">
        <f>Precios!K50</f>
        <v>46290</v>
      </c>
      <c r="D164" s="18">
        <f>Precios!L50</f>
        <v>96.15</v>
      </c>
      <c r="E164" s="11" t="str">
        <f>Precios!M50</f>
        <v>no</v>
      </c>
    </row>
    <row r="165" spans="1:5" x14ac:dyDescent="0.3">
      <c r="A165" s="15">
        <f>Precios!I51</f>
        <v>46290</v>
      </c>
      <c r="B165" s="11" t="str">
        <f>Precios!J51</f>
        <v>DEMOETF</v>
      </c>
      <c r="C165" s="15">
        <f>Precios!K51</f>
        <v>46290</v>
      </c>
      <c r="D165" s="18">
        <f>Precios!L51</f>
        <v>48.06</v>
      </c>
      <c r="E165" s="11" t="str">
        <f>Precios!M51</f>
        <v>no</v>
      </c>
    </row>
    <row r="166" spans="1:5" x14ac:dyDescent="0.3">
      <c r="A166" s="15">
        <f>Precios!I52</f>
        <v>46290</v>
      </c>
      <c r="B166" s="11" t="str">
        <f>Precios!J52</f>
        <v>DEMOFIB</v>
      </c>
      <c r="C166" s="15">
        <f>Precios!K52</f>
        <v>46290</v>
      </c>
      <c r="D166" s="18">
        <f>Precios!L52</f>
        <v>23.68</v>
      </c>
      <c r="E166" s="11" t="str">
        <f>Precios!M52</f>
        <v>no</v>
      </c>
    </row>
    <row r="167" spans="1:5" x14ac:dyDescent="0.3">
      <c r="A167" s="15">
        <f>Precios!I53</f>
        <v>46291</v>
      </c>
      <c r="B167" s="11" t="str">
        <f>Precios!J53</f>
        <v>DEMOACC</v>
      </c>
      <c r="C167" s="15">
        <f>Precios!K53</f>
        <v>46290</v>
      </c>
      <c r="D167" s="18">
        <f>Precios!L53</f>
        <v>96.15</v>
      </c>
      <c r="E167" s="11" t="str">
        <f>Precios!M53</f>
        <v>sí</v>
      </c>
    </row>
    <row r="168" spans="1:5" x14ac:dyDescent="0.3">
      <c r="A168" s="15">
        <f>Precios!I54</f>
        <v>46291</v>
      </c>
      <c r="B168" s="11" t="str">
        <f>Precios!J54</f>
        <v>DEMOETF</v>
      </c>
      <c r="C168" s="15">
        <f>Precios!K54</f>
        <v>46290</v>
      </c>
      <c r="D168" s="18">
        <f>Precios!L54</f>
        <v>48.06</v>
      </c>
      <c r="E168" s="11" t="str">
        <f>Precios!M54</f>
        <v>sí</v>
      </c>
    </row>
    <row r="169" spans="1:5" x14ac:dyDescent="0.3">
      <c r="A169" s="15">
        <f>Precios!I55</f>
        <v>46291</v>
      </c>
      <c r="B169" s="11" t="str">
        <f>Precios!J55</f>
        <v>DEMOFIB</v>
      </c>
      <c r="C169" s="15">
        <f>Precios!K55</f>
        <v>46290</v>
      </c>
      <c r="D169" s="18">
        <f>Precios!L55</f>
        <v>23.68</v>
      </c>
      <c r="E169" s="11" t="str">
        <f>Precios!M55</f>
        <v>sí</v>
      </c>
    </row>
    <row r="170" spans="1:5" x14ac:dyDescent="0.3">
      <c r="A170" s="15">
        <f>Precios!I56</f>
        <v>46292</v>
      </c>
      <c r="B170" s="11" t="str">
        <f>Precios!J56</f>
        <v>DEMOACC</v>
      </c>
      <c r="C170" s="15">
        <f>Precios!K56</f>
        <v>46290</v>
      </c>
      <c r="D170" s="18">
        <f>Precios!L56</f>
        <v>96.15</v>
      </c>
      <c r="E170" s="11" t="str">
        <f>Precios!M56</f>
        <v>sí</v>
      </c>
    </row>
    <row r="171" spans="1:5" x14ac:dyDescent="0.3">
      <c r="A171" s="15">
        <f>Precios!I57</f>
        <v>46292</v>
      </c>
      <c r="B171" s="11" t="str">
        <f>Precios!J57</f>
        <v>DEMOETF</v>
      </c>
      <c r="C171" s="15">
        <f>Precios!K57</f>
        <v>46290</v>
      </c>
      <c r="D171" s="18">
        <f>Precios!L57</f>
        <v>48.06</v>
      </c>
      <c r="E171" s="11" t="str">
        <f>Precios!M57</f>
        <v>sí</v>
      </c>
    </row>
    <row r="172" spans="1:5" x14ac:dyDescent="0.3">
      <c r="A172" s="15">
        <f>Precios!I58</f>
        <v>46292</v>
      </c>
      <c r="B172" s="11" t="str">
        <f>Precios!J58</f>
        <v>DEMOFIB</v>
      </c>
      <c r="C172" s="15">
        <f>Precios!K58</f>
        <v>46290</v>
      </c>
      <c r="D172" s="18">
        <f>Precios!L58</f>
        <v>23.68</v>
      </c>
      <c r="E172" s="11" t="str">
        <f>Precios!M58</f>
        <v>sí</v>
      </c>
    </row>
    <row r="173" spans="1:5" x14ac:dyDescent="0.3">
      <c r="A173" s="15">
        <f>Precios!I59</f>
        <v>46293</v>
      </c>
      <c r="B173" s="11" t="str">
        <f>Precios!J59</f>
        <v>DEMOACC</v>
      </c>
      <c r="C173" s="15">
        <f>Precios!K59</f>
        <v>46293</v>
      </c>
      <c r="D173" s="18">
        <f>Precios!L59</f>
        <v>99.7</v>
      </c>
      <c r="E173" s="11" t="str">
        <f>Precios!M59</f>
        <v>no</v>
      </c>
    </row>
    <row r="174" spans="1:5" x14ac:dyDescent="0.3">
      <c r="A174" s="15">
        <f>Precios!I60</f>
        <v>46293</v>
      </c>
      <c r="B174" s="11" t="str">
        <f>Precios!J60</f>
        <v>DEMOETF</v>
      </c>
      <c r="C174" s="15">
        <f>Precios!K60</f>
        <v>46293</v>
      </c>
      <c r="D174" s="18">
        <f>Precios!L60</f>
        <v>49.21</v>
      </c>
      <c r="E174" s="11" t="str">
        <f>Precios!M60</f>
        <v>no</v>
      </c>
    </row>
    <row r="175" spans="1:5" x14ac:dyDescent="0.3">
      <c r="A175" s="15">
        <f>Precios!I61</f>
        <v>46293</v>
      </c>
      <c r="B175" s="11" t="str">
        <f>Precios!J61</f>
        <v>DEMOFIB</v>
      </c>
      <c r="C175" s="15">
        <f>Precios!K61</f>
        <v>46293</v>
      </c>
      <c r="D175" s="18">
        <f>Precios!L61</f>
        <v>24.11</v>
      </c>
      <c r="E175" s="11" t="str">
        <f>Precios!M61</f>
        <v>no</v>
      </c>
    </row>
    <row r="176" spans="1:5" x14ac:dyDescent="0.3">
      <c r="A176" s="15">
        <f>Precios!I62</f>
        <v>46294</v>
      </c>
      <c r="B176" s="11" t="str">
        <f>Precios!J62</f>
        <v>DEMOACC</v>
      </c>
      <c r="C176" s="15">
        <f>Precios!K62</f>
        <v>46294</v>
      </c>
      <c r="D176" s="18">
        <f>Precios!L62</f>
        <v>103.25</v>
      </c>
      <c r="E176" s="11" t="str">
        <f>Precios!M62</f>
        <v>no</v>
      </c>
    </row>
    <row r="177" spans="1:5" x14ac:dyDescent="0.3">
      <c r="A177" s="15">
        <f>Precios!I63</f>
        <v>46294</v>
      </c>
      <c r="B177" s="11" t="str">
        <f>Precios!J63</f>
        <v>DEMOETF</v>
      </c>
      <c r="C177" s="15">
        <f>Precios!K63</f>
        <v>46294</v>
      </c>
      <c r="D177" s="18">
        <f>Precios!L63</f>
        <v>50.37</v>
      </c>
      <c r="E177" s="11" t="str">
        <f>Precios!M63</f>
        <v>no</v>
      </c>
    </row>
    <row r="178" spans="1:5" x14ac:dyDescent="0.3">
      <c r="A178" s="15">
        <f>Precios!I64</f>
        <v>46294</v>
      </c>
      <c r="B178" s="11" t="str">
        <f>Precios!J64</f>
        <v>DEMOFIB</v>
      </c>
      <c r="C178" s="15">
        <f>Precios!K64</f>
        <v>46294</v>
      </c>
      <c r="D178" s="18">
        <f>Precios!L64</f>
        <v>24.552499999999998</v>
      </c>
      <c r="E178" s="11" t="str">
        <f>Precios!M64</f>
        <v>no</v>
      </c>
    </row>
    <row r="179" spans="1:5" x14ac:dyDescent="0.3">
      <c r="A179" s="15">
        <f>Precios!I65</f>
        <v>46295</v>
      </c>
      <c r="B179" s="11" t="str">
        <f>Precios!J65</f>
        <v>DEMOACC</v>
      </c>
      <c r="C179" s="15">
        <f>Precios!K65</f>
        <v>46295</v>
      </c>
      <c r="D179" s="18">
        <f>Precios!L65</f>
        <v>107.1</v>
      </c>
      <c r="E179" s="11" t="str">
        <f>Precios!M65</f>
        <v>no</v>
      </c>
    </row>
    <row r="180" spans="1:5" x14ac:dyDescent="0.3">
      <c r="A180" s="15">
        <f>Precios!I66</f>
        <v>46295</v>
      </c>
      <c r="B180" s="11" t="str">
        <f>Precios!J66</f>
        <v>DEMOETF</v>
      </c>
      <c r="C180" s="15">
        <f>Precios!K66</f>
        <v>46295</v>
      </c>
      <c r="D180" s="18">
        <f>Precios!L66</f>
        <v>51.64</v>
      </c>
      <c r="E180" s="11" t="str">
        <f>Precios!M66</f>
        <v>no</v>
      </c>
    </row>
    <row r="181" spans="1:5" x14ac:dyDescent="0.3">
      <c r="A181" s="15">
        <f>Precios!I67</f>
        <v>46295</v>
      </c>
      <c r="B181" s="11" t="str">
        <f>Precios!J67</f>
        <v>DEMOFIB</v>
      </c>
      <c r="C181" s="15">
        <f>Precios!K67</f>
        <v>46295</v>
      </c>
      <c r="D181" s="18">
        <f>Precios!L67</f>
        <v>25.03</v>
      </c>
      <c r="E181" s="11" t="str">
        <f>Precios!M67</f>
        <v>no</v>
      </c>
    </row>
    <row r="182" spans="1:5" x14ac:dyDescent="0.3">
      <c r="A182" s="15">
        <f>Precios!I68</f>
        <v>46296</v>
      </c>
      <c r="B182" s="11" t="str">
        <f>Precios!J68</f>
        <v>DEMOACC</v>
      </c>
      <c r="C182" s="15">
        <f>Precios!K68</f>
        <v>46296</v>
      </c>
      <c r="D182" s="18">
        <f>Precios!L68</f>
        <v>105.35</v>
      </c>
      <c r="E182" s="11" t="str">
        <f>Precios!M68</f>
        <v>no</v>
      </c>
    </row>
    <row r="183" spans="1:5" x14ac:dyDescent="0.3">
      <c r="A183" s="15">
        <f>Precios!I69</f>
        <v>46296</v>
      </c>
      <c r="B183" s="11" t="str">
        <f>Precios!J69</f>
        <v>DEMOETF</v>
      </c>
      <c r="C183" s="15">
        <f>Precios!K69</f>
        <v>46296</v>
      </c>
      <c r="D183" s="18">
        <f>Precios!L69</f>
        <v>51.12</v>
      </c>
      <c r="E183" s="11" t="str">
        <f>Precios!M69</f>
        <v>no</v>
      </c>
    </row>
    <row r="184" spans="1:5" x14ac:dyDescent="0.3">
      <c r="A184" s="15">
        <f>Precios!I70</f>
        <v>46296</v>
      </c>
      <c r="B184" s="11" t="str">
        <f>Precios!J70</f>
        <v>DEMOFIB</v>
      </c>
      <c r="C184" s="15">
        <f>Precios!K70</f>
        <v>46296</v>
      </c>
      <c r="D184" s="18">
        <f>Precios!L70</f>
        <v>24.844999999999999</v>
      </c>
      <c r="E184" s="11" t="str">
        <f>Precios!M70</f>
        <v>no</v>
      </c>
    </row>
    <row r="185" spans="1:5" x14ac:dyDescent="0.3">
      <c r="A185" s="15">
        <f>Precios!I71</f>
        <v>46297</v>
      </c>
      <c r="B185" s="11" t="str">
        <f>Precios!J71</f>
        <v>DEMOACC</v>
      </c>
      <c r="C185" s="15">
        <f>Precios!K71</f>
        <v>46297</v>
      </c>
      <c r="D185" s="18">
        <f>Precios!L71</f>
        <v>103.9</v>
      </c>
      <c r="E185" s="11" t="str">
        <f>Precios!M71</f>
        <v>no</v>
      </c>
    </row>
    <row r="186" spans="1:5" x14ac:dyDescent="0.3">
      <c r="A186" s="15">
        <f>Precios!I72</f>
        <v>46297</v>
      </c>
      <c r="B186" s="11" t="str">
        <f>Precios!J72</f>
        <v>DEMOETF</v>
      </c>
      <c r="C186" s="15">
        <f>Precios!K72</f>
        <v>46297</v>
      </c>
      <c r="D186" s="18">
        <f>Precios!L72</f>
        <v>50.58</v>
      </c>
      <c r="E186" s="11" t="str">
        <f>Precios!M72</f>
        <v>no</v>
      </c>
    </row>
    <row r="187" spans="1:5" x14ac:dyDescent="0.3">
      <c r="A187" s="15">
        <f>Precios!I73</f>
        <v>46297</v>
      </c>
      <c r="B187" s="11" t="str">
        <f>Precios!J73</f>
        <v>DEMOFIB</v>
      </c>
      <c r="C187" s="15">
        <f>Precios!K73</f>
        <v>46297</v>
      </c>
      <c r="D187" s="18">
        <f>Precios!L73</f>
        <v>24.612500000000001</v>
      </c>
      <c r="E187" s="11" t="str">
        <f>Precios!M73</f>
        <v>no</v>
      </c>
    </row>
    <row r="188" spans="1:5" x14ac:dyDescent="0.3">
      <c r="A188" s="15">
        <f>Precios!I74</f>
        <v>46298</v>
      </c>
      <c r="B188" s="11" t="str">
        <f>Precios!J74</f>
        <v>DEMOACC</v>
      </c>
      <c r="C188" s="15">
        <f>Precios!K74</f>
        <v>46297</v>
      </c>
      <c r="D188" s="18">
        <f>Precios!L74</f>
        <v>103.9</v>
      </c>
      <c r="E188" s="11" t="str">
        <f>Precios!M74</f>
        <v>sí</v>
      </c>
    </row>
    <row r="189" spans="1:5" x14ac:dyDescent="0.3">
      <c r="A189" s="15">
        <f>Precios!I75</f>
        <v>46298</v>
      </c>
      <c r="B189" s="11" t="str">
        <f>Precios!J75</f>
        <v>DEMOETF</v>
      </c>
      <c r="C189" s="15">
        <f>Precios!K75</f>
        <v>46297</v>
      </c>
      <c r="D189" s="18">
        <f>Precios!L75</f>
        <v>50.58</v>
      </c>
      <c r="E189" s="11" t="str">
        <f>Precios!M75</f>
        <v>sí</v>
      </c>
    </row>
    <row r="190" spans="1:5" x14ac:dyDescent="0.3">
      <c r="A190" s="15">
        <f>Precios!I76</f>
        <v>46298</v>
      </c>
      <c r="B190" s="11" t="str">
        <f>Precios!J76</f>
        <v>DEMOFIB</v>
      </c>
      <c r="C190" s="15">
        <f>Precios!K76</f>
        <v>46297</v>
      </c>
      <c r="D190" s="18">
        <f>Precios!L76</f>
        <v>24.612500000000001</v>
      </c>
      <c r="E190" s="11" t="str">
        <f>Precios!M76</f>
        <v>sí</v>
      </c>
    </row>
    <row r="191" spans="1:5" x14ac:dyDescent="0.3">
      <c r="A191" s="15">
        <f>Precios!I77</f>
        <v>46299</v>
      </c>
      <c r="B191" s="11" t="str">
        <f>Precios!J77</f>
        <v>DEMOACC</v>
      </c>
      <c r="C191" s="15">
        <f>Precios!K77</f>
        <v>46297</v>
      </c>
      <c r="D191" s="18">
        <f>Precios!L77</f>
        <v>103.9</v>
      </c>
      <c r="E191" s="11" t="str">
        <f>Precios!M77</f>
        <v>sí</v>
      </c>
    </row>
    <row r="192" spans="1:5" x14ac:dyDescent="0.3">
      <c r="A192" s="15">
        <f>Precios!I78</f>
        <v>46299</v>
      </c>
      <c r="B192" s="11" t="str">
        <f>Precios!J78</f>
        <v>DEMOETF</v>
      </c>
      <c r="C192" s="15">
        <f>Precios!K78</f>
        <v>46297</v>
      </c>
      <c r="D192" s="18">
        <f>Precios!L78</f>
        <v>50.58</v>
      </c>
      <c r="E192" s="11" t="str">
        <f>Precios!M78</f>
        <v>sí</v>
      </c>
    </row>
    <row r="193" spans="1:5" x14ac:dyDescent="0.3">
      <c r="A193" s="15">
        <f>Precios!I79</f>
        <v>46299</v>
      </c>
      <c r="B193" s="11" t="str">
        <f>Precios!J79</f>
        <v>DEMOFIB</v>
      </c>
      <c r="C193" s="15">
        <f>Precios!K79</f>
        <v>46297</v>
      </c>
      <c r="D193" s="18">
        <f>Precios!L79</f>
        <v>24.612500000000001</v>
      </c>
      <c r="E193" s="11" t="str">
        <f>Precios!M79</f>
        <v>sí</v>
      </c>
    </row>
    <row r="194" spans="1:5" x14ac:dyDescent="0.3">
      <c r="A194" s="15">
        <f>Precios!I80</f>
        <v>46300</v>
      </c>
      <c r="B194" s="11" t="str">
        <f>Precios!J80</f>
        <v>DEMOACC</v>
      </c>
      <c r="C194" s="15">
        <f>Precios!K80</f>
        <v>46300</v>
      </c>
      <c r="D194" s="18">
        <f>Precios!L80</f>
        <v>101.65</v>
      </c>
      <c r="E194" s="11" t="str">
        <f>Precios!M80</f>
        <v>no</v>
      </c>
    </row>
    <row r="195" spans="1:5" x14ac:dyDescent="0.3">
      <c r="A195" s="15">
        <f>Precios!I81</f>
        <v>46300</v>
      </c>
      <c r="B195" s="11" t="str">
        <f>Precios!J81</f>
        <v>DEMOETF</v>
      </c>
      <c r="C195" s="15">
        <f>Precios!K81</f>
        <v>46300</v>
      </c>
      <c r="D195" s="18">
        <f>Precios!L81</f>
        <v>49.83</v>
      </c>
      <c r="E195" s="11" t="str">
        <f>Precios!M81</f>
        <v>no</v>
      </c>
    </row>
    <row r="196" spans="1:5" x14ac:dyDescent="0.3">
      <c r="A196" s="15">
        <f>Precios!I82</f>
        <v>46300</v>
      </c>
      <c r="B196" s="11" t="str">
        <f>Precios!J82</f>
        <v>DEMOFIB</v>
      </c>
      <c r="C196" s="15">
        <f>Precios!K82</f>
        <v>46300</v>
      </c>
      <c r="D196" s="18">
        <f>Precios!L82</f>
        <v>24.37</v>
      </c>
      <c r="E196" s="11" t="str">
        <f>Precios!M82</f>
        <v>no</v>
      </c>
    </row>
    <row r="197" spans="1:5" x14ac:dyDescent="0.3">
      <c r="A197" s="15">
        <f>Precios!I83</f>
        <v>46301</v>
      </c>
      <c r="B197" s="11" t="str">
        <f>Precios!J83</f>
        <v>DEMOACC</v>
      </c>
      <c r="C197" s="15">
        <f>Precios!K83</f>
        <v>46301</v>
      </c>
      <c r="D197" s="18">
        <f>Precios!L83</f>
        <v>102.8</v>
      </c>
      <c r="E197" s="11" t="str">
        <f>Precios!M83</f>
        <v>no</v>
      </c>
    </row>
    <row r="198" spans="1:5" x14ac:dyDescent="0.3">
      <c r="A198" s="15">
        <f>Precios!I84</f>
        <v>46301</v>
      </c>
      <c r="B198" s="11" t="str">
        <f>Precios!J84</f>
        <v>DEMOETF</v>
      </c>
      <c r="C198" s="15">
        <f>Precios!K84</f>
        <v>46301</v>
      </c>
      <c r="D198" s="18">
        <f>Precios!L84</f>
        <v>50.24</v>
      </c>
      <c r="E198" s="11" t="str">
        <f>Precios!M84</f>
        <v>no</v>
      </c>
    </row>
    <row r="199" spans="1:5" x14ac:dyDescent="0.3">
      <c r="A199" s="15">
        <f>Precios!I85</f>
        <v>46301</v>
      </c>
      <c r="B199" s="11" t="str">
        <f>Precios!J85</f>
        <v>DEMOFIB</v>
      </c>
      <c r="C199" s="15">
        <f>Precios!K85</f>
        <v>46301</v>
      </c>
      <c r="D199" s="18">
        <f>Precios!L85</f>
        <v>24.515000000000001</v>
      </c>
      <c r="E199" s="11" t="str">
        <f>Precios!M85</f>
        <v>no</v>
      </c>
    </row>
    <row r="200" spans="1:5" x14ac:dyDescent="0.3">
      <c r="A200" s="15">
        <f>Precios!I86</f>
        <v>46302</v>
      </c>
      <c r="B200" s="11" t="str">
        <f>Precios!J86</f>
        <v>DEMOACC</v>
      </c>
      <c r="C200" s="15">
        <f>Precios!K86</f>
        <v>46302</v>
      </c>
      <c r="D200" s="18">
        <f>Precios!L86</f>
        <v>104.95</v>
      </c>
      <c r="E200" s="11" t="str">
        <f>Precios!M86</f>
        <v>no</v>
      </c>
    </row>
    <row r="201" spans="1:5" x14ac:dyDescent="0.3">
      <c r="A201" s="15">
        <f>Precios!I87</f>
        <v>46302</v>
      </c>
      <c r="B201" s="11" t="str">
        <f>Precios!J87</f>
        <v>DEMOETF</v>
      </c>
      <c r="C201" s="15">
        <f>Precios!K87</f>
        <v>46302</v>
      </c>
      <c r="D201" s="18">
        <f>Precios!L87</f>
        <v>50.96</v>
      </c>
      <c r="E201" s="11" t="str">
        <f>Precios!M87</f>
        <v>no</v>
      </c>
    </row>
    <row r="202" spans="1:5" x14ac:dyDescent="0.3">
      <c r="A202" s="15">
        <f>Precios!I88</f>
        <v>46302</v>
      </c>
      <c r="B202" s="11" t="str">
        <f>Precios!J88</f>
        <v>DEMOFIB</v>
      </c>
      <c r="C202" s="15">
        <f>Precios!K88</f>
        <v>46302</v>
      </c>
      <c r="D202" s="18">
        <f>Precios!L88</f>
        <v>24.887499999999999</v>
      </c>
      <c r="E202" s="11" t="str">
        <f>Precios!M88</f>
        <v>no</v>
      </c>
    </row>
    <row r="203" spans="1:5" x14ac:dyDescent="0.3">
      <c r="A203" s="15">
        <f>Precios!I89</f>
        <v>46303</v>
      </c>
      <c r="B203" s="11" t="str">
        <f>Precios!J89</f>
        <v>DEMOACC</v>
      </c>
      <c r="C203" s="15">
        <f>Precios!K89</f>
        <v>46303</v>
      </c>
      <c r="D203" s="18">
        <f>Precios!L89</f>
        <v>107.4</v>
      </c>
      <c r="E203" s="11" t="str">
        <f>Precios!M89</f>
        <v>no</v>
      </c>
    </row>
    <row r="204" spans="1:5" x14ac:dyDescent="0.3">
      <c r="A204" s="15">
        <f>Precios!I90</f>
        <v>46303</v>
      </c>
      <c r="B204" s="11" t="str">
        <f>Precios!J90</f>
        <v>DEMOETF</v>
      </c>
      <c r="C204" s="15">
        <f>Precios!K90</f>
        <v>46303</v>
      </c>
      <c r="D204" s="18">
        <f>Precios!L90</f>
        <v>51.77</v>
      </c>
      <c r="E204" s="11" t="str">
        <f>Precios!M90</f>
        <v>no</v>
      </c>
    </row>
    <row r="205" spans="1:5" x14ac:dyDescent="0.3">
      <c r="A205" s="15">
        <f>Precios!I91</f>
        <v>46303</v>
      </c>
      <c r="B205" s="11" t="str">
        <f>Precios!J91</f>
        <v>DEMOFIB</v>
      </c>
      <c r="C205" s="15">
        <f>Precios!K91</f>
        <v>46302</v>
      </c>
      <c r="D205" s="18">
        <f>Precios!L91</f>
        <v>24.887499999999999</v>
      </c>
      <c r="E205" s="11" t="str">
        <f>Precios!M91</f>
        <v>sí</v>
      </c>
    </row>
    <row r="206" spans="1:5" x14ac:dyDescent="0.3">
      <c r="A206" s="15">
        <f>Precios!I92</f>
        <v>46304</v>
      </c>
      <c r="B206" s="11" t="str">
        <f>Precios!J92</f>
        <v>DEMOACC</v>
      </c>
      <c r="C206" s="15">
        <f>Precios!K92</f>
        <v>46304</v>
      </c>
      <c r="D206" s="18">
        <f>Precios!L92</f>
        <v>109.15</v>
      </c>
      <c r="E206" s="11" t="str">
        <f>Precios!M92</f>
        <v>no</v>
      </c>
    </row>
    <row r="207" spans="1:5" x14ac:dyDescent="0.3">
      <c r="A207" s="15">
        <f>Precios!I93</f>
        <v>46304</v>
      </c>
      <c r="B207" s="11" t="str">
        <f>Precios!J93</f>
        <v>DEMOETF</v>
      </c>
      <c r="C207" s="15">
        <f>Precios!K93</f>
        <v>46304</v>
      </c>
      <c r="D207" s="18">
        <f>Precios!L93</f>
        <v>52.31</v>
      </c>
      <c r="E207" s="11" t="str">
        <f>Precios!M93</f>
        <v>no</v>
      </c>
    </row>
    <row r="208" spans="1:5" x14ac:dyDescent="0.3">
      <c r="A208" s="15">
        <f>Precios!I94</f>
        <v>46304</v>
      </c>
      <c r="B208" s="11" t="str">
        <f>Precios!J94</f>
        <v>DEMOFIB</v>
      </c>
      <c r="C208" s="15">
        <f>Precios!K94</f>
        <v>46304</v>
      </c>
      <c r="D208" s="18">
        <f>Precios!L94</f>
        <v>25.24</v>
      </c>
      <c r="E208" s="11" t="str">
        <f>Precios!M94</f>
        <v>no</v>
      </c>
    </row>
    <row r="209" spans="1:5" x14ac:dyDescent="0.3">
      <c r="A209" s="15">
        <f>Precios!I95</f>
        <v>46305</v>
      </c>
      <c r="B209" s="11" t="str">
        <f>Precios!J95</f>
        <v>DEMOACC</v>
      </c>
      <c r="C209" s="15">
        <f>Precios!K95</f>
        <v>46304</v>
      </c>
      <c r="D209" s="18">
        <f>Precios!L95</f>
        <v>109.15</v>
      </c>
      <c r="E209" s="11" t="str">
        <f>Precios!M95</f>
        <v>sí</v>
      </c>
    </row>
    <row r="210" spans="1:5" x14ac:dyDescent="0.3">
      <c r="A210" s="15">
        <f>Precios!I96</f>
        <v>46305</v>
      </c>
      <c r="B210" s="11" t="str">
        <f>Precios!J96</f>
        <v>DEMOETF</v>
      </c>
      <c r="C210" s="15">
        <f>Precios!K96</f>
        <v>46304</v>
      </c>
      <c r="D210" s="18">
        <f>Precios!L96</f>
        <v>52.31</v>
      </c>
      <c r="E210" s="11" t="str">
        <f>Precios!M96</f>
        <v>sí</v>
      </c>
    </row>
    <row r="211" spans="1:5" x14ac:dyDescent="0.3">
      <c r="A211" s="15">
        <f>Precios!I97</f>
        <v>46305</v>
      </c>
      <c r="B211" s="11" t="str">
        <f>Precios!J97</f>
        <v>DEMOFIB</v>
      </c>
      <c r="C211" s="15">
        <f>Precios!K97</f>
        <v>46304</v>
      </c>
      <c r="D211" s="18">
        <f>Precios!L97</f>
        <v>25.24</v>
      </c>
      <c r="E211" s="11" t="str">
        <f>Precios!M97</f>
        <v>sí</v>
      </c>
    </row>
    <row r="212" spans="1:5" x14ac:dyDescent="0.3">
      <c r="A212" s="15">
        <f>Precios!I98</f>
        <v>46306</v>
      </c>
      <c r="B212" s="11" t="str">
        <f>Precios!J98</f>
        <v>DEMOACC</v>
      </c>
      <c r="C212" s="15">
        <f>Precios!K98</f>
        <v>46304</v>
      </c>
      <c r="D212" s="18">
        <f>Precios!L98</f>
        <v>109.15</v>
      </c>
      <c r="E212" s="11" t="str">
        <f>Precios!M98</f>
        <v>sí</v>
      </c>
    </row>
    <row r="213" spans="1:5" x14ac:dyDescent="0.3">
      <c r="A213" s="15">
        <f>Precios!I99</f>
        <v>46306</v>
      </c>
      <c r="B213" s="11" t="str">
        <f>Precios!J99</f>
        <v>DEMOETF</v>
      </c>
      <c r="C213" s="15">
        <f>Precios!K99</f>
        <v>46304</v>
      </c>
      <c r="D213" s="18">
        <f>Precios!L99</f>
        <v>52.31</v>
      </c>
      <c r="E213" s="11" t="str">
        <f>Precios!M99</f>
        <v>sí</v>
      </c>
    </row>
    <row r="214" spans="1:5" x14ac:dyDescent="0.3">
      <c r="A214" s="15">
        <f>Precios!I100</f>
        <v>46306</v>
      </c>
      <c r="B214" s="11" t="str">
        <f>Precios!J100</f>
        <v>DEMOFIB</v>
      </c>
      <c r="C214" s="15">
        <f>Precios!K100</f>
        <v>46304</v>
      </c>
      <c r="D214" s="18">
        <f>Precios!L100</f>
        <v>25.24</v>
      </c>
      <c r="E214" s="11" t="str">
        <f>Precios!M100</f>
        <v>sí</v>
      </c>
    </row>
    <row r="215" spans="1:5" x14ac:dyDescent="0.3">
      <c r="A215" s="15">
        <f>Precios!I101</f>
        <v>46307</v>
      </c>
      <c r="B215" s="11" t="str">
        <f>Precios!J101</f>
        <v>DEMOACC</v>
      </c>
      <c r="C215" s="15">
        <f>Precios!K101</f>
        <v>46307</v>
      </c>
      <c r="D215" s="18">
        <f>Precios!L101</f>
        <v>110.3</v>
      </c>
      <c r="E215" s="11" t="str">
        <f>Precios!M101</f>
        <v>no</v>
      </c>
    </row>
    <row r="216" spans="1:5" x14ac:dyDescent="0.3">
      <c r="A216" s="15">
        <f>Precios!I102</f>
        <v>46307</v>
      </c>
      <c r="B216" s="11" t="str">
        <f>Precios!J102</f>
        <v>DEMOETF</v>
      </c>
      <c r="C216" s="15">
        <f>Precios!K102</f>
        <v>46307</v>
      </c>
      <c r="D216" s="18">
        <f>Precios!L102</f>
        <v>52.68</v>
      </c>
      <c r="E216" s="11" t="str">
        <f>Precios!M102</f>
        <v>no</v>
      </c>
    </row>
    <row r="217" spans="1:5" x14ac:dyDescent="0.3">
      <c r="A217" s="15">
        <f>Precios!I103</f>
        <v>46307</v>
      </c>
      <c r="B217" s="11" t="str">
        <f>Precios!J103</f>
        <v>DEMOFIB</v>
      </c>
      <c r="C217" s="15">
        <f>Precios!K103</f>
        <v>46307</v>
      </c>
      <c r="D217" s="18">
        <f>Precios!L103</f>
        <v>25.465</v>
      </c>
      <c r="E217" s="11" t="str">
        <f>Precios!M103</f>
        <v>no</v>
      </c>
    </row>
    <row r="218" spans="1:5" x14ac:dyDescent="0.3">
      <c r="A218" s="15">
        <f>Precios!I104</f>
        <v>46308</v>
      </c>
      <c r="B218" s="11" t="str">
        <f>Precios!J104</f>
        <v>DEMOACC</v>
      </c>
      <c r="C218" s="15">
        <f>Precios!K104</f>
        <v>46308</v>
      </c>
      <c r="D218" s="18">
        <f>Precios!L104</f>
        <v>109.2</v>
      </c>
      <c r="E218" s="11" t="str">
        <f>Precios!M104</f>
        <v>no</v>
      </c>
    </row>
    <row r="219" spans="1:5" x14ac:dyDescent="0.3">
      <c r="A219" s="15">
        <f>Precios!I105</f>
        <v>46308</v>
      </c>
      <c r="B219" s="11" t="str">
        <f>Precios!J105</f>
        <v>DEMOETF</v>
      </c>
      <c r="C219" s="15">
        <f>Precios!K105</f>
        <v>46308</v>
      </c>
      <c r="D219" s="18">
        <f>Precios!L105</f>
        <v>52.29</v>
      </c>
      <c r="E219" s="11" t="str">
        <f>Precios!M105</f>
        <v>no</v>
      </c>
    </row>
    <row r="220" spans="1:5" x14ac:dyDescent="0.3">
      <c r="A220" s="15">
        <f>Precios!I106</f>
        <v>46308</v>
      </c>
      <c r="B220" s="11" t="str">
        <f>Precios!J106</f>
        <v>DEMOFIB</v>
      </c>
      <c r="C220" s="15">
        <f>Precios!K106</f>
        <v>46308</v>
      </c>
      <c r="D220" s="18">
        <f>Precios!L106</f>
        <v>25.31</v>
      </c>
      <c r="E220" s="11" t="str">
        <f>Precios!M106</f>
        <v>no</v>
      </c>
    </row>
    <row r="221" spans="1:5" x14ac:dyDescent="0.3">
      <c r="A221" s="15">
        <f>Precios!I107</f>
        <v>46309</v>
      </c>
      <c r="B221" s="11" t="str">
        <f>Precios!J107</f>
        <v>DEMOACC</v>
      </c>
      <c r="C221" s="15">
        <f>Precios!K107</f>
        <v>46309</v>
      </c>
      <c r="D221" s="18">
        <f>Precios!L107</f>
        <v>111.05</v>
      </c>
      <c r="E221" s="11" t="str">
        <f>Precios!M107</f>
        <v>no</v>
      </c>
    </row>
    <row r="222" spans="1:5" x14ac:dyDescent="0.3">
      <c r="A222" s="15">
        <f>Precios!I108</f>
        <v>46309</v>
      </c>
      <c r="B222" s="11" t="str">
        <f>Precios!J108</f>
        <v>DEMOETF</v>
      </c>
      <c r="C222" s="15">
        <f>Precios!K108</f>
        <v>46309</v>
      </c>
      <c r="D222" s="18">
        <f>Precios!L108</f>
        <v>52.95</v>
      </c>
      <c r="E222" s="11" t="str">
        <f>Precios!M108</f>
        <v>no</v>
      </c>
    </row>
    <row r="223" spans="1:5" x14ac:dyDescent="0.3">
      <c r="A223" s="15">
        <f>Precios!I109</f>
        <v>46309</v>
      </c>
      <c r="B223" s="11" t="str">
        <f>Precios!J109</f>
        <v>DEMOFIB</v>
      </c>
      <c r="C223" s="15">
        <f>Precios!K109</f>
        <v>46309</v>
      </c>
      <c r="D223" s="18">
        <f>Precios!L109</f>
        <v>25.622499999999999</v>
      </c>
      <c r="E223" s="11" t="str">
        <f>Precios!M109</f>
        <v>no</v>
      </c>
    </row>
    <row r="225" spans="1:17" x14ac:dyDescent="0.3">
      <c r="A225" s="7" t="s">
        <v>555</v>
      </c>
    </row>
    <row r="226" spans="1:17" ht="26.4" x14ac:dyDescent="0.3">
      <c r="A226" s="8" t="s">
        <v>556</v>
      </c>
      <c r="B226" s="8" t="s">
        <v>80</v>
      </c>
      <c r="C226" s="8" t="s">
        <v>319</v>
      </c>
      <c r="D226" s="8" t="s">
        <v>204</v>
      </c>
      <c r="E226" s="8" t="s">
        <v>321</v>
      </c>
      <c r="F226" s="8" t="s">
        <v>557</v>
      </c>
      <c r="G226" s="8" t="s">
        <v>558</v>
      </c>
      <c r="H226" s="8" t="s">
        <v>559</v>
      </c>
      <c r="I226" s="8" t="s">
        <v>560</v>
      </c>
      <c r="J226" s="8" t="s">
        <v>207</v>
      </c>
      <c r="K226" s="8" t="s">
        <v>561</v>
      </c>
      <c r="L226" s="8" t="s">
        <v>340</v>
      </c>
      <c r="M226" s="8" t="s">
        <v>549</v>
      </c>
      <c r="N226" s="8" t="s">
        <v>562</v>
      </c>
      <c r="O226" s="8" t="s">
        <v>563</v>
      </c>
      <c r="P226" s="8" t="s">
        <v>66</v>
      </c>
      <c r="Q226" s="8" t="s">
        <v>564</v>
      </c>
    </row>
    <row r="227" spans="1:17" x14ac:dyDescent="0.3">
      <c r="A227" s="21" t="s">
        <v>321</v>
      </c>
      <c r="B227" s="15">
        <f>Posiciones!A5</f>
        <v>46278</v>
      </c>
      <c r="C227" s="11" t="str">
        <f>Posiciones!B5</f>
        <v>Principal</v>
      </c>
      <c r="D227" s="11" t="str">
        <f>Posiciones!C5</f>
        <v>DEMOACC</v>
      </c>
      <c r="E227" s="11" t="str">
        <f>Posiciones!D5</f>
        <v>Casa A</v>
      </c>
      <c r="F227" s="11" t="str">
        <f>Posiciones!F5</f>
        <v>sí</v>
      </c>
      <c r="G227" s="14">
        <f>Posiciones!G5</f>
        <v>200</v>
      </c>
      <c r="H227" s="18">
        <f>Posiciones!H5</f>
        <v>100.23985</v>
      </c>
      <c r="I227" s="17">
        <f>Posiciones!I5</f>
        <v>20047.97</v>
      </c>
      <c r="J227" s="18">
        <f>Posiciones!J5</f>
        <v>101.85</v>
      </c>
      <c r="K227" s="15">
        <f>Posiciones!K5</f>
        <v>46276</v>
      </c>
      <c r="L227" s="14" t="str">
        <f>Posiciones!M5</f>
        <v/>
      </c>
      <c r="M227" s="26" t="str">
        <f>Posiciones!N5</f>
        <v/>
      </c>
      <c r="N227" s="15" t="str">
        <f>Posiciones!O5</f>
        <v/>
      </c>
      <c r="O227" s="15" t="str">
        <f>Posiciones!P5</f>
        <v/>
      </c>
      <c r="P227" s="17">
        <f>Posiciones!Q5</f>
        <v>20370</v>
      </c>
      <c r="Q227" s="17">
        <f>Posiciones!R5</f>
        <v>322.02999999999884</v>
      </c>
    </row>
    <row r="228" spans="1:17" x14ac:dyDescent="0.3">
      <c r="A228" s="21" t="s">
        <v>321</v>
      </c>
      <c r="B228" s="15">
        <f>Posiciones!A6</f>
        <v>46278</v>
      </c>
      <c r="C228" s="11" t="str">
        <f>Posiciones!B6</f>
        <v>Principal</v>
      </c>
      <c r="D228" s="11" t="str">
        <f>Posiciones!C6</f>
        <v>DEMOACC</v>
      </c>
      <c r="E228" s="11" t="str">
        <f>Posiciones!D6</f>
        <v>Casa B</v>
      </c>
      <c r="F228" s="11" t="str">
        <f>Posiciones!F6</f>
        <v>no</v>
      </c>
      <c r="G228" s="14">
        <f>Posiciones!G6</f>
        <v>0</v>
      </c>
      <c r="H228" s="18">
        <f>Posiciones!H6</f>
        <v>0</v>
      </c>
      <c r="I228" s="17">
        <f>Posiciones!I6</f>
        <v>0</v>
      </c>
      <c r="J228" s="18">
        <f>Posiciones!J6</f>
        <v>101.85</v>
      </c>
      <c r="K228" s="15">
        <f>Posiciones!K6</f>
        <v>46276</v>
      </c>
      <c r="L228" s="14" t="str">
        <f>Posiciones!M6</f>
        <v/>
      </c>
      <c r="M228" s="26" t="str">
        <f>Posiciones!N6</f>
        <v/>
      </c>
      <c r="N228" s="15" t="str">
        <f>Posiciones!O6</f>
        <v/>
      </c>
      <c r="O228" s="15" t="str">
        <f>Posiciones!P6</f>
        <v/>
      </c>
      <c r="P228" s="17">
        <f>Posiciones!Q6</f>
        <v>0</v>
      </c>
      <c r="Q228" s="17">
        <f>Posiciones!R6</f>
        <v>0</v>
      </c>
    </row>
    <row r="229" spans="1:17" x14ac:dyDescent="0.3">
      <c r="A229" s="21" t="s">
        <v>321</v>
      </c>
      <c r="B229" s="15">
        <f>Posiciones!A7</f>
        <v>46278</v>
      </c>
      <c r="C229" s="11" t="str">
        <f>Posiciones!B7</f>
        <v>Principal</v>
      </c>
      <c r="D229" s="11" t="str">
        <f>Posiciones!C7</f>
        <v>DEMOETF</v>
      </c>
      <c r="E229" s="11" t="str">
        <f>Posiciones!D7</f>
        <v>Casa B</v>
      </c>
      <c r="F229" s="11" t="str">
        <f>Posiciones!F7</f>
        <v>sí</v>
      </c>
      <c r="G229" s="14">
        <f>Posiciones!G7</f>
        <v>100</v>
      </c>
      <c r="H229" s="18">
        <f>Posiciones!H7</f>
        <v>50.195100000000004</v>
      </c>
      <c r="I229" s="17">
        <f>Posiciones!I7</f>
        <v>5019.51</v>
      </c>
      <c r="J229" s="18">
        <f>Posiciones!J7</f>
        <v>50.62</v>
      </c>
      <c r="K229" s="15">
        <f>Posiciones!K7</f>
        <v>46276</v>
      </c>
      <c r="L229" s="14" t="str">
        <f>Posiciones!M7</f>
        <v/>
      </c>
      <c r="M229" s="26" t="str">
        <f>Posiciones!N7</f>
        <v/>
      </c>
      <c r="N229" s="15" t="str">
        <f>Posiciones!O7</f>
        <v/>
      </c>
      <c r="O229" s="15" t="str">
        <f>Posiciones!P7</f>
        <v/>
      </c>
      <c r="P229" s="17">
        <f>Posiciones!Q7</f>
        <v>5062</v>
      </c>
      <c r="Q229" s="17">
        <f>Posiciones!R7</f>
        <v>42.489999999999782</v>
      </c>
    </row>
    <row r="230" spans="1:17" x14ac:dyDescent="0.3">
      <c r="A230" s="21" t="s">
        <v>321</v>
      </c>
      <c r="B230" s="15">
        <f>Posiciones!A8</f>
        <v>46278</v>
      </c>
      <c r="C230" s="11" t="str">
        <f>Posiciones!B8</f>
        <v>Principal</v>
      </c>
      <c r="D230" s="11" t="str">
        <f>Posiciones!C8</f>
        <v>DEMOFIB</v>
      </c>
      <c r="E230" s="11" t="str">
        <f>Posiciones!D8</f>
        <v>Casa A</v>
      </c>
      <c r="F230" s="11" t="str">
        <f>Posiciones!F8</f>
        <v>sí</v>
      </c>
      <c r="G230" s="14">
        <f>Posiciones!G8</f>
        <v>400</v>
      </c>
      <c r="H230" s="18">
        <f>Posiciones!H8</f>
        <v>25.054949999999998</v>
      </c>
      <c r="I230" s="17">
        <f>Posiciones!I8</f>
        <v>10021.98</v>
      </c>
      <c r="J230" s="18">
        <f>Posiciones!J8</f>
        <v>25.015000000000001</v>
      </c>
      <c r="K230" s="15">
        <f>Posiciones!K8</f>
        <v>46276</v>
      </c>
      <c r="L230" s="14" t="str">
        <f>Posiciones!M8</f>
        <v/>
      </c>
      <c r="M230" s="26" t="str">
        <f>Posiciones!N8</f>
        <v/>
      </c>
      <c r="N230" s="15" t="str">
        <f>Posiciones!O8</f>
        <v/>
      </c>
      <c r="O230" s="15" t="str">
        <f>Posiciones!P8</f>
        <v/>
      </c>
      <c r="P230" s="17">
        <f>Posiciones!Q8</f>
        <v>10006</v>
      </c>
      <c r="Q230" s="17">
        <f>Posiciones!R8</f>
        <v>-15.979999999999563</v>
      </c>
    </row>
    <row r="231" spans="1:17" x14ac:dyDescent="0.3">
      <c r="A231" s="21" t="s">
        <v>321</v>
      </c>
      <c r="B231" s="15">
        <f>Posiciones!A9</f>
        <v>46278</v>
      </c>
      <c r="C231" s="11" t="str">
        <f>Posiciones!B9</f>
        <v>Principal</v>
      </c>
      <c r="D231" s="11" t="str">
        <f>Posiciones!C9</f>
        <v>BI261008</v>
      </c>
      <c r="E231" s="11" t="str">
        <f>Posiciones!D9</f>
        <v>Casa A</v>
      </c>
      <c r="F231" s="11" t="str">
        <f>Posiciones!F9</f>
        <v>sí</v>
      </c>
      <c r="G231" s="14">
        <f>Posiciones!G9</f>
        <v>1500</v>
      </c>
      <c r="H231" s="18">
        <f>Posiciones!H9</f>
        <v>9.9516240000000007</v>
      </c>
      <c r="I231" s="17">
        <f>Posiciones!I9</f>
        <v>14927.436000000002</v>
      </c>
      <c r="J231" s="18">
        <f>Posiciones!J9</f>
        <v>9.9567847999999994</v>
      </c>
      <c r="K231" s="15">
        <f>Posiciones!K9</f>
        <v>46278</v>
      </c>
      <c r="L231" s="14">
        <f>Posiciones!M9</f>
        <v>25</v>
      </c>
      <c r="M231" s="26">
        <f>Posiciones!N9</f>
        <v>6.25</v>
      </c>
      <c r="N231" s="15">
        <f>Posiciones!O9</f>
        <v>46275</v>
      </c>
      <c r="O231" s="15">
        <f>Posiciones!P9</f>
        <v>46275</v>
      </c>
      <c r="P231" s="17">
        <f>Posiciones!Q9</f>
        <v>14935.177199999998</v>
      </c>
      <c r="Q231" s="17">
        <f>Posiciones!R9</f>
        <v>7.741199999996752</v>
      </c>
    </row>
    <row r="232" spans="1:17" x14ac:dyDescent="0.3">
      <c r="A232" s="21" t="s">
        <v>321</v>
      </c>
      <c r="B232" s="15">
        <f>Posiciones!A10</f>
        <v>46278</v>
      </c>
      <c r="C232" s="11" t="str">
        <f>Posiciones!B10</f>
        <v>Principal</v>
      </c>
      <c r="D232" s="11" t="str">
        <f>Posiciones!C10</f>
        <v>BI261008</v>
      </c>
      <c r="E232" s="11" t="str">
        <f>Posiciones!D10</f>
        <v>Casa B</v>
      </c>
      <c r="F232" s="11" t="str">
        <f>Posiciones!F10</f>
        <v>sí</v>
      </c>
      <c r="G232" s="14">
        <f>Posiciones!G10</f>
        <v>1000</v>
      </c>
      <c r="H232" s="18">
        <f>Posiciones!H10</f>
        <v>9.9516239999999989</v>
      </c>
      <c r="I232" s="17">
        <f>Posiciones!I10</f>
        <v>9951.6239999999998</v>
      </c>
      <c r="J232" s="18">
        <f>Posiciones!J10</f>
        <v>9.9567847999999994</v>
      </c>
      <c r="K232" s="15">
        <f>Posiciones!K10</f>
        <v>46278</v>
      </c>
      <c r="L232" s="14">
        <f>Posiciones!M10</f>
        <v>25</v>
      </c>
      <c r="M232" s="26">
        <f>Posiciones!N10</f>
        <v>6.25</v>
      </c>
      <c r="N232" s="15">
        <f>Posiciones!O10</f>
        <v>46275</v>
      </c>
      <c r="O232" s="15">
        <f>Posiciones!P10</f>
        <v>46275</v>
      </c>
      <c r="P232" s="17">
        <f>Posiciones!Q10</f>
        <v>9956.7847999999994</v>
      </c>
      <c r="Q232" s="17">
        <f>Posiciones!R10</f>
        <v>5.1607999999996537</v>
      </c>
    </row>
    <row r="233" spans="1:17" x14ac:dyDescent="0.3">
      <c r="A233" s="21" t="s">
        <v>321</v>
      </c>
      <c r="B233" s="15">
        <f>Posiciones!A11</f>
        <v>46278</v>
      </c>
      <c r="C233" s="11" t="str">
        <f>Posiciones!B11</f>
        <v>Principal</v>
      </c>
      <c r="D233" s="11" t="str">
        <f>Posiciones!C11</f>
        <v>BI261105</v>
      </c>
      <c r="E233" s="11" t="str">
        <f>Posiciones!D11</f>
        <v>Casa B</v>
      </c>
      <c r="F233" s="11" t="str">
        <f>Posiciones!F11</f>
        <v>no</v>
      </c>
      <c r="G233" s="14">
        <f>Posiciones!G11</f>
        <v>0</v>
      </c>
      <c r="H233" s="18">
        <f>Posiciones!H11</f>
        <v>0</v>
      </c>
      <c r="I233" s="17">
        <f>Posiciones!I11</f>
        <v>0</v>
      </c>
      <c r="J233" s="18" t="str">
        <f>Posiciones!J11</f>
        <v/>
      </c>
      <c r="K233" s="15" t="str">
        <f>Posiciones!K11</f>
        <v/>
      </c>
      <c r="L233" s="14" t="str">
        <f>Posiciones!M11</f>
        <v/>
      </c>
      <c r="M233" s="26" t="str">
        <f>Posiciones!N11</f>
        <v/>
      </c>
      <c r="N233" s="15" t="str">
        <f>Posiciones!O11</f>
        <v/>
      </c>
      <c r="O233" s="15" t="str">
        <f>Posiciones!P11</f>
        <v/>
      </c>
      <c r="P233" s="17">
        <f>Posiciones!Q11</f>
        <v>0</v>
      </c>
      <c r="Q233" s="17">
        <f>Posiciones!R11</f>
        <v>0</v>
      </c>
    </row>
    <row r="234" spans="1:17" x14ac:dyDescent="0.3">
      <c r="A234" s="21" t="s">
        <v>321</v>
      </c>
      <c r="B234" s="15">
        <f>Posiciones!A12</f>
        <v>46278</v>
      </c>
      <c r="C234" s="11" t="str">
        <f>Posiciones!B12</f>
        <v>Principal</v>
      </c>
      <c r="D234" s="11" t="str">
        <f>Posiciones!C12</f>
        <v>BI261217</v>
      </c>
      <c r="E234" s="11" t="str">
        <f>Posiciones!D12</f>
        <v>Casa A</v>
      </c>
      <c r="F234" s="11" t="str">
        <f>Posiciones!F12</f>
        <v>no</v>
      </c>
      <c r="G234" s="14">
        <f>Posiciones!G12</f>
        <v>0</v>
      </c>
      <c r="H234" s="18">
        <f>Posiciones!H12</f>
        <v>0</v>
      </c>
      <c r="I234" s="17">
        <f>Posiciones!I12</f>
        <v>0</v>
      </c>
      <c r="J234" s="18" t="str">
        <f>Posiciones!J12</f>
        <v/>
      </c>
      <c r="K234" s="15" t="str">
        <f>Posiciones!K12</f>
        <v/>
      </c>
      <c r="L234" s="14" t="str">
        <f>Posiciones!M12</f>
        <v/>
      </c>
      <c r="M234" s="26" t="str">
        <f>Posiciones!N12</f>
        <v/>
      </c>
      <c r="N234" s="15" t="str">
        <f>Posiciones!O12</f>
        <v/>
      </c>
      <c r="O234" s="15" t="str">
        <f>Posiciones!P12</f>
        <v/>
      </c>
      <c r="P234" s="17">
        <f>Posiciones!Q12</f>
        <v>0</v>
      </c>
      <c r="Q234" s="17">
        <f>Posiciones!R12</f>
        <v>0</v>
      </c>
    </row>
    <row r="235" spans="1:17" x14ac:dyDescent="0.3">
      <c r="A235" s="21" t="s">
        <v>321</v>
      </c>
      <c r="B235" s="15">
        <f>Posiciones!A13</f>
        <v>46278</v>
      </c>
      <c r="C235" s="11" t="str">
        <f>Posiciones!B13</f>
        <v>Principal</v>
      </c>
      <c r="D235" s="11" t="str">
        <f>Posiciones!C13</f>
        <v>BI270318</v>
      </c>
      <c r="E235" s="11" t="str">
        <f>Posiciones!D13</f>
        <v>Casa B</v>
      </c>
      <c r="F235" s="11" t="str">
        <f>Posiciones!F13</f>
        <v>no</v>
      </c>
      <c r="G235" s="14">
        <f>Posiciones!G13</f>
        <v>0</v>
      </c>
      <c r="H235" s="18">
        <f>Posiciones!H13</f>
        <v>0</v>
      </c>
      <c r="I235" s="17">
        <f>Posiciones!I13</f>
        <v>0</v>
      </c>
      <c r="J235" s="18" t="str">
        <f>Posiciones!J13</f>
        <v/>
      </c>
      <c r="K235" s="15" t="str">
        <f>Posiciones!K13</f>
        <v/>
      </c>
      <c r="L235" s="14" t="str">
        <f>Posiciones!M13</f>
        <v/>
      </c>
      <c r="M235" s="26" t="str">
        <f>Posiciones!N13</f>
        <v/>
      </c>
      <c r="N235" s="15" t="str">
        <f>Posiciones!O13</f>
        <v/>
      </c>
      <c r="O235" s="15" t="str">
        <f>Posiciones!P13</f>
        <v/>
      </c>
      <c r="P235" s="17">
        <f>Posiciones!Q13</f>
        <v>0</v>
      </c>
      <c r="Q235" s="17">
        <f>Posiciones!R13</f>
        <v>0</v>
      </c>
    </row>
    <row r="236" spans="1:17" x14ac:dyDescent="0.3">
      <c r="A236" s="21" t="s">
        <v>321</v>
      </c>
      <c r="B236" s="15">
        <f>Posiciones!A14</f>
        <v>46278</v>
      </c>
      <c r="C236" s="11" t="str">
        <f>Posiciones!B14</f>
        <v>Secundario</v>
      </c>
      <c r="D236" s="11" t="str">
        <f>Posiciones!C14</f>
        <v>DEMOACC</v>
      </c>
      <c r="E236" s="11" t="str">
        <f>Posiciones!D14</f>
        <v>Casa A</v>
      </c>
      <c r="F236" s="11" t="str">
        <f>Posiciones!F14</f>
        <v>no</v>
      </c>
      <c r="G236" s="14">
        <f>Posiciones!G14</f>
        <v>0</v>
      </c>
      <c r="H236" s="18">
        <f>Posiciones!H14</f>
        <v>0</v>
      </c>
      <c r="I236" s="17">
        <f>Posiciones!I14</f>
        <v>0</v>
      </c>
      <c r="J236" s="18">
        <f>Posiciones!J14</f>
        <v>101.85</v>
      </c>
      <c r="K236" s="15">
        <f>Posiciones!K14</f>
        <v>46276</v>
      </c>
      <c r="L236" s="14" t="str">
        <f>Posiciones!M14</f>
        <v/>
      </c>
      <c r="M236" s="26" t="str">
        <f>Posiciones!N14</f>
        <v/>
      </c>
      <c r="N236" s="15" t="str">
        <f>Posiciones!O14</f>
        <v/>
      </c>
      <c r="O236" s="15" t="str">
        <f>Posiciones!P14</f>
        <v/>
      </c>
      <c r="P236" s="17">
        <f>Posiciones!Q14</f>
        <v>0</v>
      </c>
      <c r="Q236" s="17">
        <f>Posiciones!R14</f>
        <v>0</v>
      </c>
    </row>
    <row r="237" spans="1:17" x14ac:dyDescent="0.3">
      <c r="A237" s="21" t="s">
        <v>321</v>
      </c>
      <c r="B237" s="15">
        <f>Posiciones!A15</f>
        <v>46281</v>
      </c>
      <c r="C237" s="11" t="str">
        <f>Posiciones!B15</f>
        <v>Principal</v>
      </c>
      <c r="D237" s="11" t="str">
        <f>Posiciones!C15</f>
        <v>DEMOACC</v>
      </c>
      <c r="E237" s="11" t="str">
        <f>Posiciones!D15</f>
        <v>Casa A</v>
      </c>
      <c r="F237" s="11" t="str">
        <f>Posiciones!F15</f>
        <v>sí</v>
      </c>
      <c r="G237" s="14">
        <f>Posiciones!G15</f>
        <v>200</v>
      </c>
      <c r="H237" s="18">
        <f>Posiciones!H15</f>
        <v>100.23985</v>
      </c>
      <c r="I237" s="17">
        <f>Posiciones!I15</f>
        <v>20047.97</v>
      </c>
      <c r="J237" s="18">
        <f>Posiciones!J15</f>
        <v>104.75</v>
      </c>
      <c r="K237" s="15">
        <f>Posiciones!K15</f>
        <v>46280</v>
      </c>
      <c r="L237" s="14" t="str">
        <f>Posiciones!M15</f>
        <v/>
      </c>
      <c r="M237" s="26" t="str">
        <f>Posiciones!N15</f>
        <v/>
      </c>
      <c r="N237" s="15" t="str">
        <f>Posiciones!O15</f>
        <v/>
      </c>
      <c r="O237" s="15" t="str">
        <f>Posiciones!P15</f>
        <v/>
      </c>
      <c r="P237" s="17">
        <f>Posiciones!Q15</f>
        <v>20950</v>
      </c>
      <c r="Q237" s="17">
        <f>Posiciones!R15</f>
        <v>902.02999999999884</v>
      </c>
    </row>
    <row r="238" spans="1:17" x14ac:dyDescent="0.3">
      <c r="A238" s="21" t="s">
        <v>321</v>
      </c>
      <c r="B238" s="15">
        <f>Posiciones!A16</f>
        <v>46281</v>
      </c>
      <c r="C238" s="11" t="str">
        <f>Posiciones!B16</f>
        <v>Principal</v>
      </c>
      <c r="D238" s="11" t="str">
        <f>Posiciones!C16</f>
        <v>DEMOACC</v>
      </c>
      <c r="E238" s="11" t="str">
        <f>Posiciones!D16</f>
        <v>Casa B</v>
      </c>
      <c r="F238" s="11" t="str">
        <f>Posiciones!F16</f>
        <v>sí</v>
      </c>
      <c r="G238" s="14">
        <f>Posiciones!G16</f>
        <v>100</v>
      </c>
      <c r="H238" s="18">
        <f>Posiciones!H16</f>
        <v>103.399</v>
      </c>
      <c r="I238" s="17">
        <f>Posiciones!I16</f>
        <v>10339.9</v>
      </c>
      <c r="J238" s="18">
        <f>Posiciones!J16</f>
        <v>104.75</v>
      </c>
      <c r="K238" s="15">
        <f>Posiciones!K16</f>
        <v>46280</v>
      </c>
      <c r="L238" s="14" t="str">
        <f>Posiciones!M16</f>
        <v/>
      </c>
      <c r="M238" s="26" t="str">
        <f>Posiciones!N16</f>
        <v/>
      </c>
      <c r="N238" s="15" t="str">
        <f>Posiciones!O16</f>
        <v/>
      </c>
      <c r="O238" s="15" t="str">
        <f>Posiciones!P16</f>
        <v/>
      </c>
      <c r="P238" s="17">
        <f>Posiciones!Q16</f>
        <v>10475</v>
      </c>
      <c r="Q238" s="17">
        <f>Posiciones!R16</f>
        <v>135.10000000000036</v>
      </c>
    </row>
    <row r="239" spans="1:17" x14ac:dyDescent="0.3">
      <c r="A239" s="21" t="s">
        <v>321</v>
      </c>
      <c r="B239" s="15">
        <f>Posiciones!A17</f>
        <v>46281</v>
      </c>
      <c r="C239" s="11" t="str">
        <f>Posiciones!B17</f>
        <v>Principal</v>
      </c>
      <c r="D239" s="11" t="str">
        <f>Posiciones!C17</f>
        <v>DEMOETF</v>
      </c>
      <c r="E239" s="11" t="str">
        <f>Posiciones!D17</f>
        <v>Casa B</v>
      </c>
      <c r="F239" s="11" t="str">
        <f>Posiciones!F17</f>
        <v>sí</v>
      </c>
      <c r="G239" s="14">
        <f>Posiciones!G17</f>
        <v>100</v>
      </c>
      <c r="H239" s="18">
        <f>Posiciones!H17</f>
        <v>50.195100000000004</v>
      </c>
      <c r="I239" s="17">
        <f>Posiciones!I17</f>
        <v>5019.51</v>
      </c>
      <c r="J239" s="18">
        <f>Posiciones!J17</f>
        <v>51.48</v>
      </c>
      <c r="K239" s="15">
        <f>Posiciones!K17</f>
        <v>46280</v>
      </c>
      <c r="L239" s="14" t="str">
        <f>Posiciones!M17</f>
        <v/>
      </c>
      <c r="M239" s="26" t="str">
        <f>Posiciones!N17</f>
        <v/>
      </c>
      <c r="N239" s="15" t="str">
        <f>Posiciones!O17</f>
        <v/>
      </c>
      <c r="O239" s="15" t="str">
        <f>Posiciones!P17</f>
        <v/>
      </c>
      <c r="P239" s="17">
        <f>Posiciones!Q17</f>
        <v>5148</v>
      </c>
      <c r="Q239" s="17">
        <f>Posiciones!R17</f>
        <v>128.48999999999978</v>
      </c>
    </row>
    <row r="240" spans="1:17" x14ac:dyDescent="0.3">
      <c r="A240" s="21" t="s">
        <v>321</v>
      </c>
      <c r="B240" s="15">
        <f>Posiciones!A18</f>
        <v>46281</v>
      </c>
      <c r="C240" s="11" t="str">
        <f>Posiciones!B18</f>
        <v>Principal</v>
      </c>
      <c r="D240" s="11" t="str">
        <f>Posiciones!C18</f>
        <v>DEMOFIB</v>
      </c>
      <c r="E240" s="11" t="str">
        <f>Posiciones!D18</f>
        <v>Casa A</v>
      </c>
      <c r="F240" s="11" t="str">
        <f>Posiciones!F18</f>
        <v>sí</v>
      </c>
      <c r="G240" s="14">
        <f>Posiciones!G18</f>
        <v>400</v>
      </c>
      <c r="H240" s="18">
        <f>Posiciones!H18</f>
        <v>25.054949999999998</v>
      </c>
      <c r="I240" s="17">
        <f>Posiciones!I18</f>
        <v>10021.98</v>
      </c>
      <c r="J240" s="18">
        <f>Posiciones!J18</f>
        <v>25.41</v>
      </c>
      <c r="K240" s="15">
        <f>Posiciones!K18</f>
        <v>46280</v>
      </c>
      <c r="L240" s="14" t="str">
        <f>Posiciones!M18</f>
        <v/>
      </c>
      <c r="M240" s="26" t="str">
        <f>Posiciones!N18</f>
        <v/>
      </c>
      <c r="N240" s="15" t="str">
        <f>Posiciones!O18</f>
        <v/>
      </c>
      <c r="O240" s="15" t="str">
        <f>Posiciones!P18</f>
        <v/>
      </c>
      <c r="P240" s="17">
        <f>Posiciones!Q18</f>
        <v>10164</v>
      </c>
      <c r="Q240" s="17">
        <f>Posiciones!R18</f>
        <v>142.02000000000044</v>
      </c>
    </row>
    <row r="241" spans="1:17" x14ac:dyDescent="0.3">
      <c r="A241" s="21" t="s">
        <v>321</v>
      </c>
      <c r="B241" s="15">
        <f>Posiciones!A19</f>
        <v>46281</v>
      </c>
      <c r="C241" s="11" t="str">
        <f>Posiciones!B19</f>
        <v>Principal</v>
      </c>
      <c r="D241" s="11" t="str">
        <f>Posiciones!C19</f>
        <v>BI261008</v>
      </c>
      <c r="E241" s="11" t="str">
        <f>Posiciones!D19</f>
        <v>Casa A</v>
      </c>
      <c r="F241" s="11" t="str">
        <f>Posiciones!F19</f>
        <v>sí</v>
      </c>
      <c r="G241" s="14">
        <f>Posiciones!G19</f>
        <v>1500</v>
      </c>
      <c r="H241" s="18">
        <f>Posiciones!H19</f>
        <v>9.9516240000000007</v>
      </c>
      <c r="I241" s="17">
        <f>Posiciones!I19</f>
        <v>14927.436000000002</v>
      </c>
      <c r="J241" s="18">
        <f>Posiciones!J19</f>
        <v>9.9619508999999997</v>
      </c>
      <c r="K241" s="15">
        <f>Posiciones!K19</f>
        <v>46281</v>
      </c>
      <c r="L241" s="14">
        <f>Posiciones!M19</f>
        <v>22</v>
      </c>
      <c r="M241" s="26">
        <f>Posiciones!N19</f>
        <v>6.25</v>
      </c>
      <c r="N241" s="15">
        <f>Posiciones!O19</f>
        <v>46275</v>
      </c>
      <c r="O241" s="15">
        <f>Posiciones!P19</f>
        <v>46275</v>
      </c>
      <c r="P241" s="17">
        <f>Posiciones!Q19</f>
        <v>14942.92635</v>
      </c>
      <c r="Q241" s="17">
        <f>Posiciones!R19</f>
        <v>15.490349999998216</v>
      </c>
    </row>
    <row r="242" spans="1:17" x14ac:dyDescent="0.3">
      <c r="A242" s="21" t="s">
        <v>321</v>
      </c>
      <c r="B242" s="15">
        <f>Posiciones!A20</f>
        <v>46281</v>
      </c>
      <c r="C242" s="11" t="str">
        <f>Posiciones!B20</f>
        <v>Principal</v>
      </c>
      <c r="D242" s="11" t="str">
        <f>Posiciones!C20</f>
        <v>BI261008</v>
      </c>
      <c r="E242" s="11" t="str">
        <f>Posiciones!D20</f>
        <v>Casa B</v>
      </c>
      <c r="F242" s="11" t="str">
        <f>Posiciones!F20</f>
        <v>sí</v>
      </c>
      <c r="G242" s="14">
        <f>Posiciones!G20</f>
        <v>1000</v>
      </c>
      <c r="H242" s="18">
        <f>Posiciones!H20</f>
        <v>9.9516239999999989</v>
      </c>
      <c r="I242" s="17">
        <f>Posiciones!I20</f>
        <v>9951.6239999999998</v>
      </c>
      <c r="J242" s="18">
        <f>Posiciones!J20</f>
        <v>9.9619508999999997</v>
      </c>
      <c r="K242" s="15">
        <f>Posiciones!K20</f>
        <v>46281</v>
      </c>
      <c r="L242" s="14">
        <f>Posiciones!M20</f>
        <v>22</v>
      </c>
      <c r="M242" s="26">
        <f>Posiciones!N20</f>
        <v>6.25</v>
      </c>
      <c r="N242" s="15">
        <f>Posiciones!O20</f>
        <v>46275</v>
      </c>
      <c r="O242" s="15">
        <f>Posiciones!P20</f>
        <v>46275</v>
      </c>
      <c r="P242" s="17">
        <f>Posiciones!Q20</f>
        <v>9961.9508999999998</v>
      </c>
      <c r="Q242" s="17">
        <f>Posiciones!R20</f>
        <v>10.326900000000023</v>
      </c>
    </row>
    <row r="243" spans="1:17" x14ac:dyDescent="0.3">
      <c r="A243" s="21" t="s">
        <v>321</v>
      </c>
      <c r="B243" s="15">
        <f>Posiciones!A21</f>
        <v>46281</v>
      </c>
      <c r="C243" s="11" t="str">
        <f>Posiciones!B21</f>
        <v>Principal</v>
      </c>
      <c r="D243" s="11" t="str">
        <f>Posiciones!C21</f>
        <v>BI261105</v>
      </c>
      <c r="E243" s="11" t="str">
        <f>Posiciones!D21</f>
        <v>Casa B</v>
      </c>
      <c r="F243" s="11" t="str">
        <f>Posiciones!F21</f>
        <v>no</v>
      </c>
      <c r="G243" s="14">
        <f>Posiciones!G21</f>
        <v>0</v>
      </c>
      <c r="H243" s="18">
        <f>Posiciones!H21</f>
        <v>0</v>
      </c>
      <c r="I243" s="17">
        <f>Posiciones!I21</f>
        <v>0</v>
      </c>
      <c r="J243" s="18" t="str">
        <f>Posiciones!J21</f>
        <v/>
      </c>
      <c r="K243" s="15" t="str">
        <f>Posiciones!K21</f>
        <v/>
      </c>
      <c r="L243" s="14" t="str">
        <f>Posiciones!M21</f>
        <v/>
      </c>
      <c r="M243" s="26" t="str">
        <f>Posiciones!N21</f>
        <v/>
      </c>
      <c r="N243" s="15" t="str">
        <f>Posiciones!O21</f>
        <v/>
      </c>
      <c r="O243" s="15" t="str">
        <f>Posiciones!P21</f>
        <v/>
      </c>
      <c r="P243" s="17">
        <f>Posiciones!Q21</f>
        <v>0</v>
      </c>
      <c r="Q243" s="17">
        <f>Posiciones!R21</f>
        <v>0</v>
      </c>
    </row>
    <row r="244" spans="1:17" x14ac:dyDescent="0.3">
      <c r="A244" s="21" t="s">
        <v>321</v>
      </c>
      <c r="B244" s="15">
        <f>Posiciones!A22</f>
        <v>46281</v>
      </c>
      <c r="C244" s="11" t="str">
        <f>Posiciones!B22</f>
        <v>Principal</v>
      </c>
      <c r="D244" s="11" t="str">
        <f>Posiciones!C22</f>
        <v>BI261217</v>
      </c>
      <c r="E244" s="11" t="str">
        <f>Posiciones!D22</f>
        <v>Casa A</v>
      </c>
      <c r="F244" s="11" t="str">
        <f>Posiciones!F22</f>
        <v>no</v>
      </c>
      <c r="G244" s="14">
        <f>Posiciones!G22</f>
        <v>0</v>
      </c>
      <c r="H244" s="18">
        <f>Posiciones!H22</f>
        <v>0</v>
      </c>
      <c r="I244" s="17">
        <f>Posiciones!I22</f>
        <v>0</v>
      </c>
      <c r="J244" s="18" t="str">
        <f>Posiciones!J22</f>
        <v/>
      </c>
      <c r="K244" s="15" t="str">
        <f>Posiciones!K22</f>
        <v/>
      </c>
      <c r="L244" s="14" t="str">
        <f>Posiciones!M22</f>
        <v/>
      </c>
      <c r="M244" s="26" t="str">
        <f>Posiciones!N22</f>
        <v/>
      </c>
      <c r="N244" s="15" t="str">
        <f>Posiciones!O22</f>
        <v/>
      </c>
      <c r="O244" s="15" t="str">
        <f>Posiciones!P22</f>
        <v/>
      </c>
      <c r="P244" s="17">
        <f>Posiciones!Q22</f>
        <v>0</v>
      </c>
      <c r="Q244" s="17">
        <f>Posiciones!R22</f>
        <v>0</v>
      </c>
    </row>
    <row r="245" spans="1:17" x14ac:dyDescent="0.3">
      <c r="A245" s="21" t="s">
        <v>321</v>
      </c>
      <c r="B245" s="15">
        <f>Posiciones!A23</f>
        <v>46281</v>
      </c>
      <c r="C245" s="11" t="str">
        <f>Posiciones!B23</f>
        <v>Principal</v>
      </c>
      <c r="D245" s="11" t="str">
        <f>Posiciones!C23</f>
        <v>BI270318</v>
      </c>
      <c r="E245" s="11" t="str">
        <f>Posiciones!D23</f>
        <v>Casa B</v>
      </c>
      <c r="F245" s="11" t="str">
        <f>Posiciones!F23</f>
        <v>no</v>
      </c>
      <c r="G245" s="14">
        <f>Posiciones!G23</f>
        <v>0</v>
      </c>
      <c r="H245" s="18">
        <f>Posiciones!H23</f>
        <v>0</v>
      </c>
      <c r="I245" s="17">
        <f>Posiciones!I23</f>
        <v>0</v>
      </c>
      <c r="J245" s="18" t="str">
        <f>Posiciones!J23</f>
        <v/>
      </c>
      <c r="K245" s="15" t="str">
        <f>Posiciones!K23</f>
        <v/>
      </c>
      <c r="L245" s="14" t="str">
        <f>Posiciones!M23</f>
        <v/>
      </c>
      <c r="M245" s="26" t="str">
        <f>Posiciones!N23</f>
        <v/>
      </c>
      <c r="N245" s="15" t="str">
        <f>Posiciones!O23</f>
        <v/>
      </c>
      <c r="O245" s="15" t="str">
        <f>Posiciones!P23</f>
        <v/>
      </c>
      <c r="P245" s="17">
        <f>Posiciones!Q23</f>
        <v>0</v>
      </c>
      <c r="Q245" s="17">
        <f>Posiciones!R23</f>
        <v>0</v>
      </c>
    </row>
    <row r="246" spans="1:17" x14ac:dyDescent="0.3">
      <c r="A246" s="21" t="s">
        <v>321</v>
      </c>
      <c r="B246" s="15">
        <f>Posiciones!A24</f>
        <v>46281</v>
      </c>
      <c r="C246" s="11" t="str">
        <f>Posiciones!B24</f>
        <v>Secundario</v>
      </c>
      <c r="D246" s="11" t="str">
        <f>Posiciones!C24</f>
        <v>DEMOACC</v>
      </c>
      <c r="E246" s="11" t="str">
        <f>Posiciones!D24</f>
        <v>Casa A</v>
      </c>
      <c r="F246" s="11" t="str">
        <f>Posiciones!F24</f>
        <v>sí</v>
      </c>
      <c r="G246" s="14">
        <f>Posiciones!G24</f>
        <v>150</v>
      </c>
      <c r="H246" s="18">
        <f>Posiciones!H24</f>
        <v>103.90046666666666</v>
      </c>
      <c r="I246" s="17">
        <f>Posiciones!I24</f>
        <v>15585.07</v>
      </c>
      <c r="J246" s="18">
        <f>Posiciones!J24</f>
        <v>104.75</v>
      </c>
      <c r="K246" s="15">
        <f>Posiciones!K24</f>
        <v>46280</v>
      </c>
      <c r="L246" s="14" t="str">
        <f>Posiciones!M24</f>
        <v/>
      </c>
      <c r="M246" s="26" t="str">
        <f>Posiciones!N24</f>
        <v/>
      </c>
      <c r="N246" s="15" t="str">
        <f>Posiciones!O24</f>
        <v/>
      </c>
      <c r="O246" s="15" t="str">
        <f>Posiciones!P24</f>
        <v/>
      </c>
      <c r="P246" s="17">
        <f>Posiciones!Q24</f>
        <v>15712.5</v>
      </c>
      <c r="Q246" s="17">
        <f>Posiciones!R24</f>
        <v>127.43000000000029</v>
      </c>
    </row>
    <row r="247" spans="1:17" x14ac:dyDescent="0.3">
      <c r="A247" s="21" t="s">
        <v>321</v>
      </c>
      <c r="B247" s="15">
        <f>Posiciones!A25</f>
        <v>46303</v>
      </c>
      <c r="C247" s="11" t="str">
        <f>Posiciones!B25</f>
        <v>Principal</v>
      </c>
      <c r="D247" s="11" t="str">
        <f>Posiciones!C25</f>
        <v>DEMOACC</v>
      </c>
      <c r="E247" s="11" t="str">
        <f>Posiciones!D25</f>
        <v>Casa A</v>
      </c>
      <c r="F247" s="11" t="str">
        <f>Posiciones!F25</f>
        <v>sí</v>
      </c>
      <c r="G247" s="14">
        <f>Posiciones!G25</f>
        <v>120</v>
      </c>
      <c r="H247" s="18">
        <f>Posiciones!H25</f>
        <v>100.23985</v>
      </c>
      <c r="I247" s="17">
        <f>Posiciones!I25</f>
        <v>12028.782000000001</v>
      </c>
      <c r="J247" s="18">
        <f>Posiciones!J25</f>
        <v>107.4</v>
      </c>
      <c r="K247" s="15">
        <f>Posiciones!K25</f>
        <v>46303</v>
      </c>
      <c r="L247" s="14" t="str">
        <f>Posiciones!M25</f>
        <v/>
      </c>
      <c r="M247" s="26" t="str">
        <f>Posiciones!N25</f>
        <v/>
      </c>
      <c r="N247" s="15" t="str">
        <f>Posiciones!O25</f>
        <v/>
      </c>
      <c r="O247" s="15" t="str">
        <f>Posiciones!P25</f>
        <v/>
      </c>
      <c r="P247" s="17">
        <f>Posiciones!Q25</f>
        <v>12888</v>
      </c>
      <c r="Q247" s="17">
        <f>Posiciones!R25</f>
        <v>859.21799999999894</v>
      </c>
    </row>
    <row r="248" spans="1:17" x14ac:dyDescent="0.3">
      <c r="A248" s="21" t="s">
        <v>321</v>
      </c>
      <c r="B248" s="15">
        <f>Posiciones!A26</f>
        <v>46303</v>
      </c>
      <c r="C248" s="11" t="str">
        <f>Posiciones!B26</f>
        <v>Principal</v>
      </c>
      <c r="D248" s="11" t="str">
        <f>Posiciones!C26</f>
        <v>DEMOACC</v>
      </c>
      <c r="E248" s="11" t="str">
        <f>Posiciones!D26</f>
        <v>Casa B</v>
      </c>
      <c r="F248" s="11" t="str">
        <f>Posiciones!F26</f>
        <v>sí</v>
      </c>
      <c r="G248" s="14">
        <f>Posiciones!G26</f>
        <v>100</v>
      </c>
      <c r="H248" s="18">
        <f>Posiciones!H26</f>
        <v>103.399</v>
      </c>
      <c r="I248" s="17">
        <f>Posiciones!I26</f>
        <v>10339.9</v>
      </c>
      <c r="J248" s="18">
        <f>Posiciones!J26</f>
        <v>107.4</v>
      </c>
      <c r="K248" s="15">
        <f>Posiciones!K26</f>
        <v>46303</v>
      </c>
      <c r="L248" s="14" t="str">
        <f>Posiciones!M26</f>
        <v/>
      </c>
      <c r="M248" s="26" t="str">
        <f>Posiciones!N26</f>
        <v/>
      </c>
      <c r="N248" s="15" t="str">
        <f>Posiciones!O26</f>
        <v/>
      </c>
      <c r="O248" s="15" t="str">
        <f>Posiciones!P26</f>
        <v/>
      </c>
      <c r="P248" s="17">
        <f>Posiciones!Q26</f>
        <v>10740</v>
      </c>
      <c r="Q248" s="17">
        <f>Posiciones!R26</f>
        <v>400.10000000000036</v>
      </c>
    </row>
    <row r="249" spans="1:17" x14ac:dyDescent="0.3">
      <c r="A249" s="21" t="s">
        <v>321</v>
      </c>
      <c r="B249" s="15">
        <f>Posiciones!A27</f>
        <v>46303</v>
      </c>
      <c r="C249" s="11" t="str">
        <f>Posiciones!B27</f>
        <v>Principal</v>
      </c>
      <c r="D249" s="11" t="str">
        <f>Posiciones!C27</f>
        <v>DEMOETF</v>
      </c>
      <c r="E249" s="11" t="str">
        <f>Posiciones!D27</f>
        <v>Casa B</v>
      </c>
      <c r="F249" s="11" t="str">
        <f>Posiciones!F27</f>
        <v>sí</v>
      </c>
      <c r="G249" s="14">
        <f>Posiciones!G27</f>
        <v>40</v>
      </c>
      <c r="H249" s="18">
        <f>Posiciones!H27</f>
        <v>49.386499999999998</v>
      </c>
      <c r="I249" s="17">
        <f>Posiciones!I27</f>
        <v>1975.46</v>
      </c>
      <c r="J249" s="18">
        <f>Posiciones!J27</f>
        <v>51.77</v>
      </c>
      <c r="K249" s="15">
        <f>Posiciones!K27</f>
        <v>46303</v>
      </c>
      <c r="L249" s="14" t="str">
        <f>Posiciones!M27</f>
        <v/>
      </c>
      <c r="M249" s="26" t="str">
        <f>Posiciones!N27</f>
        <v/>
      </c>
      <c r="N249" s="15" t="str">
        <f>Posiciones!O27</f>
        <v/>
      </c>
      <c r="O249" s="15" t="str">
        <f>Posiciones!P27</f>
        <v/>
      </c>
      <c r="P249" s="17">
        <f>Posiciones!Q27</f>
        <v>2070.8000000000002</v>
      </c>
      <c r="Q249" s="17">
        <f>Posiciones!R27</f>
        <v>95.340000000000146</v>
      </c>
    </row>
    <row r="250" spans="1:17" x14ac:dyDescent="0.3">
      <c r="A250" s="21" t="s">
        <v>321</v>
      </c>
      <c r="B250" s="15">
        <f>Posiciones!A28</f>
        <v>46303</v>
      </c>
      <c r="C250" s="11" t="str">
        <f>Posiciones!B28</f>
        <v>Principal</v>
      </c>
      <c r="D250" s="11" t="str">
        <f>Posiciones!C28</f>
        <v>DEMOFIB</v>
      </c>
      <c r="E250" s="11" t="str">
        <f>Posiciones!D28</f>
        <v>Casa A</v>
      </c>
      <c r="F250" s="11" t="str">
        <f>Posiciones!F28</f>
        <v>sí</v>
      </c>
      <c r="G250" s="14">
        <f>Posiciones!G28</f>
        <v>300</v>
      </c>
      <c r="H250" s="18">
        <f>Posiciones!H28</f>
        <v>24.4833</v>
      </c>
      <c r="I250" s="17">
        <f>Posiciones!I28</f>
        <v>7344.99</v>
      </c>
      <c r="J250" s="18">
        <f>Posiciones!J28</f>
        <v>24.887499999999999</v>
      </c>
      <c r="K250" s="15">
        <f>Posiciones!K28</f>
        <v>46302</v>
      </c>
      <c r="L250" s="14" t="str">
        <f>Posiciones!M28</f>
        <v/>
      </c>
      <c r="M250" s="26" t="str">
        <f>Posiciones!N28</f>
        <v/>
      </c>
      <c r="N250" s="15" t="str">
        <f>Posiciones!O28</f>
        <v/>
      </c>
      <c r="O250" s="15" t="str">
        <f>Posiciones!P28</f>
        <v/>
      </c>
      <c r="P250" s="17">
        <f>Posiciones!Q28</f>
        <v>7466.25</v>
      </c>
      <c r="Q250" s="17">
        <f>Posiciones!R28</f>
        <v>121.26000000000022</v>
      </c>
    </row>
    <row r="251" spans="1:17" x14ac:dyDescent="0.3">
      <c r="A251" s="21" t="s">
        <v>321</v>
      </c>
      <c r="B251" s="15">
        <f>Posiciones!A29</f>
        <v>46303</v>
      </c>
      <c r="C251" s="11" t="str">
        <f>Posiciones!B29</f>
        <v>Principal</v>
      </c>
      <c r="D251" s="11" t="str">
        <f>Posiciones!C29</f>
        <v>BI261008</v>
      </c>
      <c r="E251" s="11" t="str">
        <f>Posiciones!D29</f>
        <v>Casa A</v>
      </c>
      <c r="F251" s="11" t="str">
        <f>Posiciones!F29</f>
        <v>sí</v>
      </c>
      <c r="G251" s="14">
        <f>Posiciones!G29</f>
        <v>0</v>
      </c>
      <c r="H251" s="18">
        <f>Posiciones!H29</f>
        <v>0</v>
      </c>
      <c r="I251" s="17">
        <f>Posiciones!I29</f>
        <v>0</v>
      </c>
      <c r="J251" s="18" t="str">
        <f>Posiciones!J29</f>
        <v/>
      </c>
      <c r="K251" s="15" t="str">
        <f>Posiciones!K29</f>
        <v/>
      </c>
      <c r="L251" s="14" t="str">
        <f>Posiciones!M29</f>
        <v/>
      </c>
      <c r="M251" s="26" t="str">
        <f>Posiciones!N29</f>
        <v/>
      </c>
      <c r="N251" s="15" t="str">
        <f>Posiciones!O29</f>
        <v/>
      </c>
      <c r="O251" s="15" t="str">
        <f>Posiciones!P29</f>
        <v/>
      </c>
      <c r="P251" s="17">
        <f>Posiciones!Q29</f>
        <v>0</v>
      </c>
      <c r="Q251" s="17">
        <f>Posiciones!R29</f>
        <v>0</v>
      </c>
    </row>
    <row r="252" spans="1:17" x14ac:dyDescent="0.3">
      <c r="A252" s="21" t="s">
        <v>321</v>
      </c>
      <c r="B252" s="15">
        <f>Posiciones!A30</f>
        <v>46303</v>
      </c>
      <c r="C252" s="11" t="str">
        <f>Posiciones!B30</f>
        <v>Principal</v>
      </c>
      <c r="D252" s="11" t="str">
        <f>Posiciones!C30</f>
        <v>BI261008</v>
      </c>
      <c r="E252" s="11" t="str">
        <f>Posiciones!D30</f>
        <v>Casa B</v>
      </c>
      <c r="F252" s="11" t="str">
        <f>Posiciones!F30</f>
        <v>sí</v>
      </c>
      <c r="G252" s="14">
        <f>Posiciones!G30</f>
        <v>0</v>
      </c>
      <c r="H252" s="18">
        <f>Posiciones!H30</f>
        <v>0</v>
      </c>
      <c r="I252" s="17">
        <f>Posiciones!I30</f>
        <v>0</v>
      </c>
      <c r="J252" s="18" t="str">
        <f>Posiciones!J30</f>
        <v/>
      </c>
      <c r="K252" s="15" t="str">
        <f>Posiciones!K30</f>
        <v/>
      </c>
      <c r="L252" s="14" t="str">
        <f>Posiciones!M30</f>
        <v/>
      </c>
      <c r="M252" s="26" t="str">
        <f>Posiciones!N30</f>
        <v/>
      </c>
      <c r="N252" s="15" t="str">
        <f>Posiciones!O30</f>
        <v/>
      </c>
      <c r="O252" s="15" t="str">
        <f>Posiciones!P30</f>
        <v/>
      </c>
      <c r="P252" s="17">
        <f>Posiciones!Q30</f>
        <v>0</v>
      </c>
      <c r="Q252" s="17">
        <f>Posiciones!R30</f>
        <v>0</v>
      </c>
    </row>
    <row r="253" spans="1:17" x14ac:dyDescent="0.3">
      <c r="A253" s="21" t="s">
        <v>321</v>
      </c>
      <c r="B253" s="15">
        <f>Posiciones!A31</f>
        <v>46303</v>
      </c>
      <c r="C253" s="11" t="str">
        <f>Posiciones!B31</f>
        <v>Principal</v>
      </c>
      <c r="D253" s="11" t="str">
        <f>Posiciones!C31</f>
        <v>BI261105</v>
      </c>
      <c r="E253" s="11" t="str">
        <f>Posiciones!D31</f>
        <v>Casa B</v>
      </c>
      <c r="F253" s="11" t="str">
        <f>Posiciones!F31</f>
        <v>sí</v>
      </c>
      <c r="G253" s="14">
        <f>Posiciones!G31</f>
        <v>1000</v>
      </c>
      <c r="H253" s="18">
        <f>Posiciones!H31</f>
        <v>9.9528566000000005</v>
      </c>
      <c r="I253" s="17">
        <f>Posiciones!I31</f>
        <v>9952.856600000001</v>
      </c>
      <c r="J253" s="18">
        <f>Posiciones!J31</f>
        <v>9.9528566000000005</v>
      </c>
      <c r="K253" s="15">
        <f>Posiciones!K31</f>
        <v>46303</v>
      </c>
      <c r="L253" s="14">
        <f>Posiciones!M31</f>
        <v>28</v>
      </c>
      <c r="M253" s="26">
        <f>Posiciones!N31</f>
        <v>6.09</v>
      </c>
      <c r="N253" s="15">
        <f>Posiciones!O31</f>
        <v>46303</v>
      </c>
      <c r="O253" s="15">
        <f>Posiciones!P31</f>
        <v>46303</v>
      </c>
      <c r="P253" s="17">
        <f>Posiciones!Q31</f>
        <v>9952.856600000001</v>
      </c>
      <c r="Q253" s="17">
        <f>Posiciones!R31</f>
        <v>0</v>
      </c>
    </row>
    <row r="254" spans="1:17" x14ac:dyDescent="0.3">
      <c r="A254" s="21" t="s">
        <v>321</v>
      </c>
      <c r="B254" s="15">
        <f>Posiciones!A32</f>
        <v>46303</v>
      </c>
      <c r="C254" s="11" t="str">
        <f>Posiciones!B32</f>
        <v>Principal</v>
      </c>
      <c r="D254" s="11" t="str">
        <f>Posiciones!C32</f>
        <v>BI261217</v>
      </c>
      <c r="E254" s="11" t="str">
        <f>Posiciones!D32</f>
        <v>Casa A</v>
      </c>
      <c r="F254" s="11" t="str">
        <f>Posiciones!F32</f>
        <v>sí</v>
      </c>
      <c r="G254" s="14">
        <f>Posiciones!G32</f>
        <v>1000</v>
      </c>
      <c r="H254" s="18">
        <f>Posiciones!H32</f>
        <v>9.8344372</v>
      </c>
      <c r="I254" s="17">
        <f>Posiciones!I32</f>
        <v>9834.4372000000003</v>
      </c>
      <c r="J254" s="18">
        <f>Posiciones!J32</f>
        <v>9.8742406000000003</v>
      </c>
      <c r="K254" s="15">
        <f>Posiciones!K32</f>
        <v>46303</v>
      </c>
      <c r="L254" s="14">
        <f>Posiciones!M32</f>
        <v>70</v>
      </c>
      <c r="M254" s="26">
        <f>Posiciones!N32</f>
        <v>6.55</v>
      </c>
      <c r="N254" s="15">
        <f>Posiciones!O32</f>
        <v>46303</v>
      </c>
      <c r="O254" s="15">
        <f>Posiciones!P32</f>
        <v>46303</v>
      </c>
      <c r="P254" s="17">
        <f>Posiciones!Q32</f>
        <v>9874.240600000001</v>
      </c>
      <c r="Q254" s="17">
        <f>Posiciones!R32</f>
        <v>39.803400000000693</v>
      </c>
    </row>
    <row r="255" spans="1:17" x14ac:dyDescent="0.3">
      <c r="A255" s="21" t="s">
        <v>321</v>
      </c>
      <c r="B255" s="15">
        <f>Posiciones!A33</f>
        <v>46303</v>
      </c>
      <c r="C255" s="11" t="str">
        <f>Posiciones!B33</f>
        <v>Principal</v>
      </c>
      <c r="D255" s="11" t="str">
        <f>Posiciones!C33</f>
        <v>BI270318</v>
      </c>
      <c r="E255" s="11" t="str">
        <f>Posiciones!D33</f>
        <v>Casa B</v>
      </c>
      <c r="F255" s="11" t="str">
        <f>Posiciones!F33</f>
        <v>sí</v>
      </c>
      <c r="G255" s="14">
        <f>Posiciones!G33</f>
        <v>500</v>
      </c>
      <c r="H255" s="18">
        <f>Posiciones!H33</f>
        <v>9.6629249999999995</v>
      </c>
      <c r="I255" s="17">
        <f>Posiciones!I33</f>
        <v>4831.4624999999996</v>
      </c>
      <c r="J255" s="18">
        <f>Posiciones!J33</f>
        <v>9.7011450000000004</v>
      </c>
      <c r="K255" s="15">
        <f>Posiciones!K33</f>
        <v>46303</v>
      </c>
      <c r="L255" s="14">
        <f>Posiciones!M33</f>
        <v>161</v>
      </c>
      <c r="M255" s="26">
        <f>Posiciones!N33</f>
        <v>6.8883333333333336</v>
      </c>
      <c r="N255" s="15">
        <f>Posiciones!O33</f>
        <v>46303</v>
      </c>
      <c r="O255" s="15">
        <f>Posiciones!P33</f>
        <v>46303</v>
      </c>
      <c r="P255" s="17">
        <f>Posiciones!Q33</f>
        <v>4850.5725000000002</v>
      </c>
      <c r="Q255" s="17">
        <f>Posiciones!R33</f>
        <v>19.110000000000582</v>
      </c>
    </row>
    <row r="256" spans="1:17" x14ac:dyDescent="0.3">
      <c r="A256" s="21" t="s">
        <v>321</v>
      </c>
      <c r="B256" s="15">
        <f>Posiciones!A34</f>
        <v>46303</v>
      </c>
      <c r="C256" s="11" t="str">
        <f>Posiciones!B34</f>
        <v>Secundario</v>
      </c>
      <c r="D256" s="11" t="str">
        <f>Posiciones!C34</f>
        <v>DEMOACC</v>
      </c>
      <c r="E256" s="11" t="str">
        <f>Posiciones!D34</f>
        <v>Casa A</v>
      </c>
      <c r="F256" s="11" t="str">
        <f>Posiciones!F34</f>
        <v>sí</v>
      </c>
      <c r="G256" s="14">
        <f>Posiciones!G34</f>
        <v>150</v>
      </c>
      <c r="H256" s="18">
        <f>Posiciones!H34</f>
        <v>103.90046666666666</v>
      </c>
      <c r="I256" s="17">
        <f>Posiciones!I34</f>
        <v>15585.07</v>
      </c>
      <c r="J256" s="18">
        <f>Posiciones!J34</f>
        <v>107.4</v>
      </c>
      <c r="K256" s="15">
        <f>Posiciones!K34</f>
        <v>46303</v>
      </c>
      <c r="L256" s="14" t="str">
        <f>Posiciones!M34</f>
        <v/>
      </c>
      <c r="M256" s="26" t="str">
        <f>Posiciones!N34</f>
        <v/>
      </c>
      <c r="N256" s="15" t="str">
        <f>Posiciones!O34</f>
        <v/>
      </c>
      <c r="O256" s="15" t="str">
        <f>Posiciones!P34</f>
        <v/>
      </c>
      <c r="P256" s="17">
        <f>Posiciones!Q34</f>
        <v>16110</v>
      </c>
      <c r="Q256" s="17">
        <f>Posiciones!R34</f>
        <v>524.93000000000029</v>
      </c>
    </row>
    <row r="257" spans="1:17" x14ac:dyDescent="0.3">
      <c r="A257" s="21" t="s">
        <v>321</v>
      </c>
      <c r="B257" s="15">
        <f>Posiciones!A35</f>
        <v>46309</v>
      </c>
      <c r="C257" s="11" t="str">
        <f>Posiciones!B35</f>
        <v>Principal</v>
      </c>
      <c r="D257" s="11" t="str">
        <f>Posiciones!C35</f>
        <v>DEMOACC</v>
      </c>
      <c r="E257" s="11" t="str">
        <f>Posiciones!D35</f>
        <v>Casa A</v>
      </c>
      <c r="F257" s="11" t="str">
        <f>Posiciones!F35</f>
        <v>sí</v>
      </c>
      <c r="G257" s="14">
        <f>Posiciones!G35</f>
        <v>120</v>
      </c>
      <c r="H257" s="18">
        <f>Posiciones!H35</f>
        <v>100.23985</v>
      </c>
      <c r="I257" s="17">
        <f>Posiciones!I35</f>
        <v>12028.782000000001</v>
      </c>
      <c r="J257" s="18">
        <f>Posiciones!J35</f>
        <v>111.05</v>
      </c>
      <c r="K257" s="15">
        <f>Posiciones!K35</f>
        <v>46309</v>
      </c>
      <c r="L257" s="14" t="str">
        <f>Posiciones!M35</f>
        <v/>
      </c>
      <c r="M257" s="26" t="str">
        <f>Posiciones!N35</f>
        <v/>
      </c>
      <c r="N257" s="15" t="str">
        <f>Posiciones!O35</f>
        <v/>
      </c>
      <c r="O257" s="15" t="str">
        <f>Posiciones!P35</f>
        <v/>
      </c>
      <c r="P257" s="17">
        <f>Posiciones!Q35</f>
        <v>13326</v>
      </c>
      <c r="Q257" s="17">
        <f>Posiciones!R35</f>
        <v>1297.2179999999989</v>
      </c>
    </row>
    <row r="258" spans="1:17" x14ac:dyDescent="0.3">
      <c r="A258" s="21" t="s">
        <v>321</v>
      </c>
      <c r="B258" s="15">
        <f>Posiciones!A36</f>
        <v>46309</v>
      </c>
      <c r="C258" s="11" t="str">
        <f>Posiciones!B36</f>
        <v>Principal</v>
      </c>
      <c r="D258" s="11" t="str">
        <f>Posiciones!C36</f>
        <v>DEMOACC</v>
      </c>
      <c r="E258" s="11" t="str">
        <f>Posiciones!D36</f>
        <v>Casa B</v>
      </c>
      <c r="F258" s="11" t="str">
        <f>Posiciones!F36</f>
        <v>sí</v>
      </c>
      <c r="G258" s="14">
        <f>Posiciones!G36</f>
        <v>100</v>
      </c>
      <c r="H258" s="18">
        <f>Posiciones!H36</f>
        <v>103.399</v>
      </c>
      <c r="I258" s="17">
        <f>Posiciones!I36</f>
        <v>10339.9</v>
      </c>
      <c r="J258" s="18">
        <f>Posiciones!J36</f>
        <v>111.05</v>
      </c>
      <c r="K258" s="15">
        <f>Posiciones!K36</f>
        <v>46309</v>
      </c>
      <c r="L258" s="14" t="str">
        <f>Posiciones!M36</f>
        <v/>
      </c>
      <c r="M258" s="26" t="str">
        <f>Posiciones!N36</f>
        <v/>
      </c>
      <c r="N258" s="15" t="str">
        <f>Posiciones!O36</f>
        <v/>
      </c>
      <c r="O258" s="15" t="str">
        <f>Posiciones!P36</f>
        <v/>
      </c>
      <c r="P258" s="17">
        <f>Posiciones!Q36</f>
        <v>11105</v>
      </c>
      <c r="Q258" s="17">
        <f>Posiciones!R36</f>
        <v>765.10000000000036</v>
      </c>
    </row>
    <row r="259" spans="1:17" x14ac:dyDescent="0.3">
      <c r="A259" s="21" t="s">
        <v>321</v>
      </c>
      <c r="B259" s="15">
        <f>Posiciones!A37</f>
        <v>46309</v>
      </c>
      <c r="C259" s="11" t="str">
        <f>Posiciones!B37</f>
        <v>Principal</v>
      </c>
      <c r="D259" s="11" t="str">
        <f>Posiciones!C37</f>
        <v>DEMOETF</v>
      </c>
      <c r="E259" s="11" t="str">
        <f>Posiciones!D37</f>
        <v>Casa B</v>
      </c>
      <c r="F259" s="11" t="str">
        <f>Posiciones!F37</f>
        <v>sí</v>
      </c>
      <c r="G259" s="14">
        <f>Posiciones!G37</f>
        <v>40</v>
      </c>
      <c r="H259" s="18">
        <f>Posiciones!H37</f>
        <v>49.386499999999998</v>
      </c>
      <c r="I259" s="17">
        <f>Posiciones!I37</f>
        <v>1975.46</v>
      </c>
      <c r="J259" s="18">
        <f>Posiciones!J37</f>
        <v>52.95</v>
      </c>
      <c r="K259" s="15">
        <f>Posiciones!K37</f>
        <v>46309</v>
      </c>
      <c r="L259" s="14" t="str">
        <f>Posiciones!M37</f>
        <v/>
      </c>
      <c r="M259" s="26" t="str">
        <f>Posiciones!N37</f>
        <v/>
      </c>
      <c r="N259" s="15" t="str">
        <f>Posiciones!O37</f>
        <v/>
      </c>
      <c r="O259" s="15" t="str">
        <f>Posiciones!P37</f>
        <v/>
      </c>
      <c r="P259" s="17">
        <f>Posiciones!Q37</f>
        <v>2118</v>
      </c>
      <c r="Q259" s="17">
        <f>Posiciones!R37</f>
        <v>142.53999999999996</v>
      </c>
    </row>
    <row r="260" spans="1:17" x14ac:dyDescent="0.3">
      <c r="A260" s="21" t="s">
        <v>321</v>
      </c>
      <c r="B260" s="15">
        <f>Posiciones!A38</f>
        <v>46309</v>
      </c>
      <c r="C260" s="11" t="str">
        <f>Posiciones!B38</f>
        <v>Principal</v>
      </c>
      <c r="D260" s="11" t="str">
        <f>Posiciones!C38</f>
        <v>DEMOFIB</v>
      </c>
      <c r="E260" s="11" t="str">
        <f>Posiciones!D38</f>
        <v>Casa A</v>
      </c>
      <c r="F260" s="11" t="str">
        <f>Posiciones!F38</f>
        <v>sí</v>
      </c>
      <c r="G260" s="14">
        <f>Posiciones!G38</f>
        <v>300</v>
      </c>
      <c r="H260" s="18">
        <f>Posiciones!H38</f>
        <v>24.4833</v>
      </c>
      <c r="I260" s="17">
        <f>Posiciones!I38</f>
        <v>7344.99</v>
      </c>
      <c r="J260" s="18">
        <f>Posiciones!J38</f>
        <v>25.622499999999999</v>
      </c>
      <c r="K260" s="15">
        <f>Posiciones!K38</f>
        <v>46309</v>
      </c>
      <c r="L260" s="14" t="str">
        <f>Posiciones!M38</f>
        <v/>
      </c>
      <c r="M260" s="26" t="str">
        <f>Posiciones!N38</f>
        <v/>
      </c>
      <c r="N260" s="15" t="str">
        <f>Posiciones!O38</f>
        <v/>
      </c>
      <c r="O260" s="15" t="str">
        <f>Posiciones!P38</f>
        <v/>
      </c>
      <c r="P260" s="17">
        <f>Posiciones!Q38</f>
        <v>7686.75</v>
      </c>
      <c r="Q260" s="17">
        <f>Posiciones!R38</f>
        <v>341.76000000000022</v>
      </c>
    </row>
    <row r="261" spans="1:17" x14ac:dyDescent="0.3">
      <c r="A261" s="21" t="s">
        <v>321</v>
      </c>
      <c r="B261" s="15">
        <f>Posiciones!A39</f>
        <v>46309</v>
      </c>
      <c r="C261" s="11" t="str">
        <f>Posiciones!B39</f>
        <v>Principal</v>
      </c>
      <c r="D261" s="11" t="str">
        <f>Posiciones!C39</f>
        <v>BI261008</v>
      </c>
      <c r="E261" s="11" t="str">
        <f>Posiciones!D39</f>
        <v>Casa A</v>
      </c>
      <c r="F261" s="11" t="str">
        <f>Posiciones!F39</f>
        <v>sí</v>
      </c>
      <c r="G261" s="14">
        <f>Posiciones!G39</f>
        <v>0</v>
      </c>
      <c r="H261" s="18">
        <f>Posiciones!H39</f>
        <v>0</v>
      </c>
      <c r="I261" s="17">
        <f>Posiciones!I39</f>
        <v>0</v>
      </c>
      <c r="J261" s="18" t="str">
        <f>Posiciones!J39</f>
        <v/>
      </c>
      <c r="K261" s="15" t="str">
        <f>Posiciones!K39</f>
        <v/>
      </c>
      <c r="L261" s="14" t="str">
        <f>Posiciones!M39</f>
        <v/>
      </c>
      <c r="M261" s="26" t="str">
        <f>Posiciones!N39</f>
        <v/>
      </c>
      <c r="N261" s="15" t="str">
        <f>Posiciones!O39</f>
        <v/>
      </c>
      <c r="O261" s="15" t="str">
        <f>Posiciones!P39</f>
        <v/>
      </c>
      <c r="P261" s="17">
        <f>Posiciones!Q39</f>
        <v>0</v>
      </c>
      <c r="Q261" s="17">
        <f>Posiciones!R39</f>
        <v>0</v>
      </c>
    </row>
    <row r="262" spans="1:17" x14ac:dyDescent="0.3">
      <c r="A262" s="21" t="s">
        <v>321</v>
      </c>
      <c r="B262" s="15">
        <f>Posiciones!A40</f>
        <v>46309</v>
      </c>
      <c r="C262" s="11" t="str">
        <f>Posiciones!B40</f>
        <v>Principal</v>
      </c>
      <c r="D262" s="11" t="str">
        <f>Posiciones!C40</f>
        <v>BI261008</v>
      </c>
      <c r="E262" s="11" t="str">
        <f>Posiciones!D40</f>
        <v>Casa B</v>
      </c>
      <c r="F262" s="11" t="str">
        <f>Posiciones!F40</f>
        <v>sí</v>
      </c>
      <c r="G262" s="14">
        <f>Posiciones!G40</f>
        <v>0</v>
      </c>
      <c r="H262" s="18">
        <f>Posiciones!H40</f>
        <v>0</v>
      </c>
      <c r="I262" s="17">
        <f>Posiciones!I40</f>
        <v>0</v>
      </c>
      <c r="J262" s="18" t="str">
        <f>Posiciones!J40</f>
        <v/>
      </c>
      <c r="K262" s="15" t="str">
        <f>Posiciones!K40</f>
        <v/>
      </c>
      <c r="L262" s="14" t="str">
        <f>Posiciones!M40</f>
        <v/>
      </c>
      <c r="M262" s="26" t="str">
        <f>Posiciones!N40</f>
        <v/>
      </c>
      <c r="N262" s="15" t="str">
        <f>Posiciones!O40</f>
        <v/>
      </c>
      <c r="O262" s="15" t="str">
        <f>Posiciones!P40</f>
        <v/>
      </c>
      <c r="P262" s="17">
        <f>Posiciones!Q40</f>
        <v>0</v>
      </c>
      <c r="Q262" s="17">
        <f>Posiciones!R40</f>
        <v>0</v>
      </c>
    </row>
    <row r="263" spans="1:17" x14ac:dyDescent="0.3">
      <c r="A263" s="21" t="s">
        <v>321</v>
      </c>
      <c r="B263" s="15">
        <f>Posiciones!A41</f>
        <v>46309</v>
      </c>
      <c r="C263" s="11" t="str">
        <f>Posiciones!B41</f>
        <v>Principal</v>
      </c>
      <c r="D263" s="11" t="str">
        <f>Posiciones!C41</f>
        <v>BI261105</v>
      </c>
      <c r="E263" s="11" t="str">
        <f>Posiciones!D41</f>
        <v>Casa B</v>
      </c>
      <c r="F263" s="11" t="str">
        <f>Posiciones!F41</f>
        <v>sí</v>
      </c>
      <c r="G263" s="14">
        <f>Posiciones!G41</f>
        <v>1000</v>
      </c>
      <c r="H263" s="18">
        <f>Posiciones!H41</f>
        <v>9.9528566000000005</v>
      </c>
      <c r="I263" s="17">
        <f>Posiciones!I41</f>
        <v>9952.856600000001</v>
      </c>
      <c r="J263" s="18">
        <f>Posiciones!J41</f>
        <v>9.9629212999999996</v>
      </c>
      <c r="K263" s="15">
        <f>Posiciones!K41</f>
        <v>46309</v>
      </c>
      <c r="L263" s="14">
        <f>Posiciones!M41</f>
        <v>22</v>
      </c>
      <c r="M263" s="26">
        <f>Posiciones!N41</f>
        <v>6.09</v>
      </c>
      <c r="N263" s="15">
        <f>Posiciones!O41</f>
        <v>46303</v>
      </c>
      <c r="O263" s="15">
        <f>Posiciones!P41</f>
        <v>46303</v>
      </c>
      <c r="P263" s="17">
        <f>Posiciones!Q41</f>
        <v>9962.9213</v>
      </c>
      <c r="Q263" s="17">
        <f>Posiciones!R41</f>
        <v>10.064699999998993</v>
      </c>
    </row>
    <row r="264" spans="1:17" x14ac:dyDescent="0.3">
      <c r="A264" s="21" t="s">
        <v>321</v>
      </c>
      <c r="B264" s="15">
        <f>Posiciones!A42</f>
        <v>46309</v>
      </c>
      <c r="C264" s="11" t="str">
        <f>Posiciones!B42</f>
        <v>Principal</v>
      </c>
      <c r="D264" s="11" t="str">
        <f>Posiciones!C42</f>
        <v>BI261217</v>
      </c>
      <c r="E264" s="11" t="str">
        <f>Posiciones!D42</f>
        <v>Casa A</v>
      </c>
      <c r="F264" s="11" t="str">
        <f>Posiciones!F42</f>
        <v>sí</v>
      </c>
      <c r="G264" s="14">
        <f>Posiciones!G42</f>
        <v>1000</v>
      </c>
      <c r="H264" s="18">
        <f>Posiciones!H42</f>
        <v>9.8344372</v>
      </c>
      <c r="I264" s="17">
        <f>Posiciones!I42</f>
        <v>9834.4372000000003</v>
      </c>
      <c r="J264" s="18">
        <f>Posiciones!J42</f>
        <v>9.8860375000000005</v>
      </c>
      <c r="K264" s="15">
        <f>Posiciones!K42</f>
        <v>46309</v>
      </c>
      <c r="L264" s="14">
        <f>Posiciones!M42</f>
        <v>64</v>
      </c>
      <c r="M264" s="26">
        <f>Posiciones!N42</f>
        <v>6.484285714285714</v>
      </c>
      <c r="N264" s="15">
        <f>Posiciones!O42</f>
        <v>46303</v>
      </c>
      <c r="O264" s="15">
        <f>Posiciones!P42</f>
        <v>46303</v>
      </c>
      <c r="P264" s="17">
        <f>Posiciones!Q42</f>
        <v>9886.0375000000004</v>
      </c>
      <c r="Q264" s="17">
        <f>Posiciones!R42</f>
        <v>51.600300000000061</v>
      </c>
    </row>
    <row r="265" spans="1:17" x14ac:dyDescent="0.3">
      <c r="A265" s="21" t="s">
        <v>321</v>
      </c>
      <c r="B265" s="15">
        <f>Posiciones!A43</f>
        <v>46309</v>
      </c>
      <c r="C265" s="11" t="str">
        <f>Posiciones!B43</f>
        <v>Principal</v>
      </c>
      <c r="D265" s="11" t="str">
        <f>Posiciones!C43</f>
        <v>BI270318</v>
      </c>
      <c r="E265" s="11" t="str">
        <f>Posiciones!D43</f>
        <v>Casa B</v>
      </c>
      <c r="F265" s="11" t="str">
        <f>Posiciones!F43</f>
        <v>sí</v>
      </c>
      <c r="G265" s="14">
        <f>Posiciones!G43</f>
        <v>500</v>
      </c>
      <c r="H265" s="18">
        <f>Posiciones!H43</f>
        <v>9.6629249999999995</v>
      </c>
      <c r="I265" s="17">
        <f>Posiciones!I43</f>
        <v>4831.4624999999996</v>
      </c>
      <c r="J265" s="18">
        <f>Posiciones!J43</f>
        <v>9.7123387999999995</v>
      </c>
      <c r="K265" s="15">
        <f>Posiciones!K43</f>
        <v>46309</v>
      </c>
      <c r="L265" s="14">
        <f>Posiciones!M43</f>
        <v>155</v>
      </c>
      <c r="M265" s="26">
        <f>Posiciones!N43</f>
        <v>6.8790476190476193</v>
      </c>
      <c r="N265" s="15">
        <f>Posiciones!O43</f>
        <v>46303</v>
      </c>
      <c r="O265" s="15">
        <f>Posiciones!P43</f>
        <v>46303</v>
      </c>
      <c r="P265" s="17">
        <f>Posiciones!Q43</f>
        <v>4856.1693999999998</v>
      </c>
      <c r="Q265" s="17">
        <f>Posiciones!R43</f>
        <v>24.706900000000132</v>
      </c>
    </row>
    <row r="266" spans="1:17" x14ac:dyDescent="0.3">
      <c r="A266" s="21" t="s">
        <v>321</v>
      </c>
      <c r="B266" s="15">
        <f>Posiciones!A44</f>
        <v>46309</v>
      </c>
      <c r="C266" s="11" t="str">
        <f>Posiciones!B44</f>
        <v>Secundario</v>
      </c>
      <c r="D266" s="11" t="str">
        <f>Posiciones!C44</f>
        <v>DEMOACC</v>
      </c>
      <c r="E266" s="11" t="str">
        <f>Posiciones!D44</f>
        <v>Casa A</v>
      </c>
      <c r="F266" s="11" t="str">
        <f>Posiciones!F44</f>
        <v>sí</v>
      </c>
      <c r="G266" s="14">
        <f>Posiciones!G44</f>
        <v>150</v>
      </c>
      <c r="H266" s="18">
        <f>Posiciones!H44</f>
        <v>103.90046666666666</v>
      </c>
      <c r="I266" s="17">
        <f>Posiciones!I44</f>
        <v>15585.07</v>
      </c>
      <c r="J266" s="18">
        <f>Posiciones!J44</f>
        <v>111.05</v>
      </c>
      <c r="K266" s="15">
        <f>Posiciones!K44</f>
        <v>46309</v>
      </c>
      <c r="L266" s="14" t="str">
        <f>Posiciones!M44</f>
        <v/>
      </c>
      <c r="M266" s="26" t="str">
        <f>Posiciones!N44</f>
        <v/>
      </c>
      <c r="N266" s="15" t="str">
        <f>Posiciones!O44</f>
        <v/>
      </c>
      <c r="O266" s="15" t="str">
        <f>Posiciones!P44</f>
        <v/>
      </c>
      <c r="P266" s="17">
        <f>Posiciones!Q44</f>
        <v>16657.5</v>
      </c>
      <c r="Q266" s="17">
        <f>Posiciones!R44</f>
        <v>1072.4300000000003</v>
      </c>
    </row>
    <row r="267" spans="1:17" x14ac:dyDescent="0.3">
      <c r="A267" s="21" t="s">
        <v>320</v>
      </c>
      <c r="B267" s="15">
        <f>Posiciones!A48</f>
        <v>46278</v>
      </c>
      <c r="C267" s="11" t="str">
        <f>Posiciones!B48</f>
        <v>Principal</v>
      </c>
      <c r="D267" s="11" t="str">
        <f>Posiciones!C48</f>
        <v>DEMOACC</v>
      </c>
      <c r="G267" s="14">
        <f>Posiciones!D48</f>
        <v>200</v>
      </c>
      <c r="I267" s="17">
        <f>Posiciones!E48</f>
        <v>20047.97</v>
      </c>
      <c r="P267" s="17">
        <f>Posiciones!F48</f>
        <v>20370</v>
      </c>
      <c r="Q267" s="17">
        <f>Posiciones!G48</f>
        <v>322.02999999999884</v>
      </c>
    </row>
    <row r="268" spans="1:17" x14ac:dyDescent="0.3">
      <c r="A268" s="21" t="s">
        <v>320</v>
      </c>
      <c r="B268" s="15">
        <f>Posiciones!A49</f>
        <v>46278</v>
      </c>
      <c r="C268" s="11" t="str">
        <f>Posiciones!B49</f>
        <v>Principal</v>
      </c>
      <c r="D268" s="11" t="str">
        <f>Posiciones!C49</f>
        <v>DEMOETF</v>
      </c>
      <c r="G268" s="14">
        <f>Posiciones!D49</f>
        <v>100</v>
      </c>
      <c r="I268" s="17">
        <f>Posiciones!E49</f>
        <v>5019.51</v>
      </c>
      <c r="P268" s="17">
        <f>Posiciones!F49</f>
        <v>5062</v>
      </c>
      <c r="Q268" s="17">
        <f>Posiciones!G49</f>
        <v>42.489999999999782</v>
      </c>
    </row>
    <row r="269" spans="1:17" x14ac:dyDescent="0.3">
      <c r="A269" s="21" t="s">
        <v>320</v>
      </c>
      <c r="B269" s="15">
        <f>Posiciones!A50</f>
        <v>46278</v>
      </c>
      <c r="C269" s="11" t="str">
        <f>Posiciones!B50</f>
        <v>Principal</v>
      </c>
      <c r="D269" s="11" t="str">
        <f>Posiciones!C50</f>
        <v>DEMOFIB</v>
      </c>
      <c r="G269" s="14">
        <f>Posiciones!D50</f>
        <v>400</v>
      </c>
      <c r="I269" s="17">
        <f>Posiciones!E50</f>
        <v>10021.98</v>
      </c>
      <c r="P269" s="17">
        <f>Posiciones!F50</f>
        <v>10006</v>
      </c>
      <c r="Q269" s="17">
        <f>Posiciones!G50</f>
        <v>-15.979999999999563</v>
      </c>
    </row>
    <row r="270" spans="1:17" x14ac:dyDescent="0.3">
      <c r="A270" s="21" t="s">
        <v>320</v>
      </c>
      <c r="B270" s="15">
        <f>Posiciones!A51</f>
        <v>46278</v>
      </c>
      <c r="C270" s="11" t="str">
        <f>Posiciones!B51</f>
        <v>Principal</v>
      </c>
      <c r="D270" s="11" t="str">
        <f>Posiciones!C51</f>
        <v>BI261008</v>
      </c>
      <c r="G270" s="14">
        <f>Posiciones!D51</f>
        <v>2500</v>
      </c>
      <c r="I270" s="17">
        <f>Posiciones!E51</f>
        <v>24879.06</v>
      </c>
      <c r="P270" s="17">
        <f>Posiciones!F51</f>
        <v>24891.962</v>
      </c>
      <c r="Q270" s="17">
        <f>Posiciones!G51</f>
        <v>12.901999999996406</v>
      </c>
    </row>
    <row r="271" spans="1:17" x14ac:dyDescent="0.3">
      <c r="A271" s="21" t="s">
        <v>320</v>
      </c>
      <c r="B271" s="15">
        <f>Posiciones!A52</f>
        <v>46278</v>
      </c>
      <c r="C271" s="11" t="str">
        <f>Posiciones!B52</f>
        <v>Principal</v>
      </c>
      <c r="D271" s="11" t="str">
        <f>Posiciones!C52</f>
        <v>BI261105</v>
      </c>
      <c r="G271" s="14">
        <f>Posiciones!D52</f>
        <v>0</v>
      </c>
      <c r="I271" s="17">
        <f>Posiciones!E52</f>
        <v>0</v>
      </c>
      <c r="P271" s="17">
        <f>Posiciones!F52</f>
        <v>0</v>
      </c>
      <c r="Q271" s="17">
        <f>Posiciones!G52</f>
        <v>0</v>
      </c>
    </row>
    <row r="272" spans="1:17" x14ac:dyDescent="0.3">
      <c r="A272" s="21" t="s">
        <v>320</v>
      </c>
      <c r="B272" s="15">
        <f>Posiciones!A53</f>
        <v>46278</v>
      </c>
      <c r="C272" s="11" t="str">
        <f>Posiciones!B53</f>
        <v>Principal</v>
      </c>
      <c r="D272" s="11" t="str">
        <f>Posiciones!C53</f>
        <v>BI261217</v>
      </c>
      <c r="G272" s="14">
        <f>Posiciones!D53</f>
        <v>0</v>
      </c>
      <c r="I272" s="17">
        <f>Posiciones!E53</f>
        <v>0</v>
      </c>
      <c r="P272" s="17">
        <f>Posiciones!F53</f>
        <v>0</v>
      </c>
      <c r="Q272" s="17">
        <f>Posiciones!G53</f>
        <v>0</v>
      </c>
    </row>
    <row r="273" spans="1:17" x14ac:dyDescent="0.3">
      <c r="A273" s="21" t="s">
        <v>320</v>
      </c>
      <c r="B273" s="15">
        <f>Posiciones!A54</f>
        <v>46278</v>
      </c>
      <c r="C273" s="11" t="str">
        <f>Posiciones!B54</f>
        <v>Principal</v>
      </c>
      <c r="D273" s="11" t="str">
        <f>Posiciones!C54</f>
        <v>BI270318</v>
      </c>
      <c r="G273" s="14">
        <f>Posiciones!D54</f>
        <v>0</v>
      </c>
      <c r="I273" s="17">
        <f>Posiciones!E54</f>
        <v>0</v>
      </c>
      <c r="P273" s="17">
        <f>Posiciones!F54</f>
        <v>0</v>
      </c>
      <c r="Q273" s="17">
        <f>Posiciones!G54</f>
        <v>0</v>
      </c>
    </row>
    <row r="274" spans="1:17" x14ac:dyDescent="0.3">
      <c r="A274" s="21" t="s">
        <v>320</v>
      </c>
      <c r="B274" s="15">
        <f>Posiciones!A55</f>
        <v>46278</v>
      </c>
      <c r="C274" s="11" t="str">
        <f>Posiciones!B55</f>
        <v>Secundario</v>
      </c>
      <c r="D274" s="11" t="str">
        <f>Posiciones!C55</f>
        <v>DEMOACC</v>
      </c>
      <c r="G274" s="14">
        <f>Posiciones!D55</f>
        <v>0</v>
      </c>
      <c r="I274" s="17">
        <f>Posiciones!E55</f>
        <v>0</v>
      </c>
      <c r="P274" s="17">
        <f>Posiciones!F55</f>
        <v>0</v>
      </c>
      <c r="Q274" s="17">
        <f>Posiciones!G55</f>
        <v>0</v>
      </c>
    </row>
    <row r="275" spans="1:17" x14ac:dyDescent="0.3">
      <c r="A275" s="21" t="s">
        <v>320</v>
      </c>
      <c r="B275" s="15">
        <f>Posiciones!A56</f>
        <v>46281</v>
      </c>
      <c r="C275" s="11" t="str">
        <f>Posiciones!B56</f>
        <v>Principal</v>
      </c>
      <c r="D275" s="11" t="str">
        <f>Posiciones!C56</f>
        <v>DEMOACC</v>
      </c>
      <c r="G275" s="14">
        <f>Posiciones!D56</f>
        <v>300</v>
      </c>
      <c r="I275" s="17">
        <f>Posiciones!E56</f>
        <v>30387.870000000003</v>
      </c>
      <c r="P275" s="17">
        <f>Posiciones!F56</f>
        <v>31425</v>
      </c>
      <c r="Q275" s="17">
        <f>Posiciones!G56</f>
        <v>1037.1299999999992</v>
      </c>
    </row>
    <row r="276" spans="1:17" x14ac:dyDescent="0.3">
      <c r="A276" s="21" t="s">
        <v>320</v>
      </c>
      <c r="B276" s="15">
        <f>Posiciones!A57</f>
        <v>46281</v>
      </c>
      <c r="C276" s="11" t="str">
        <f>Posiciones!B57</f>
        <v>Principal</v>
      </c>
      <c r="D276" s="11" t="str">
        <f>Posiciones!C57</f>
        <v>DEMOETF</v>
      </c>
      <c r="G276" s="14">
        <f>Posiciones!D57</f>
        <v>100</v>
      </c>
      <c r="I276" s="17">
        <f>Posiciones!E57</f>
        <v>5019.51</v>
      </c>
      <c r="P276" s="17">
        <f>Posiciones!F57</f>
        <v>5148</v>
      </c>
      <c r="Q276" s="17">
        <f>Posiciones!G57</f>
        <v>128.48999999999978</v>
      </c>
    </row>
    <row r="277" spans="1:17" x14ac:dyDescent="0.3">
      <c r="A277" s="21" t="s">
        <v>320</v>
      </c>
      <c r="B277" s="15">
        <f>Posiciones!A58</f>
        <v>46281</v>
      </c>
      <c r="C277" s="11" t="str">
        <f>Posiciones!B58</f>
        <v>Principal</v>
      </c>
      <c r="D277" s="11" t="str">
        <f>Posiciones!C58</f>
        <v>DEMOFIB</v>
      </c>
      <c r="G277" s="14">
        <f>Posiciones!D58</f>
        <v>400</v>
      </c>
      <c r="I277" s="17">
        <f>Posiciones!E58</f>
        <v>10021.98</v>
      </c>
      <c r="P277" s="17">
        <f>Posiciones!F58</f>
        <v>10164</v>
      </c>
      <c r="Q277" s="17">
        <f>Posiciones!G58</f>
        <v>142.02000000000044</v>
      </c>
    </row>
    <row r="278" spans="1:17" x14ac:dyDescent="0.3">
      <c r="A278" s="21" t="s">
        <v>320</v>
      </c>
      <c r="B278" s="15">
        <f>Posiciones!A59</f>
        <v>46281</v>
      </c>
      <c r="C278" s="11" t="str">
        <f>Posiciones!B59</f>
        <v>Principal</v>
      </c>
      <c r="D278" s="11" t="str">
        <f>Posiciones!C59</f>
        <v>BI261008</v>
      </c>
      <c r="G278" s="14">
        <f>Posiciones!D59</f>
        <v>2500</v>
      </c>
      <c r="I278" s="17">
        <f>Posiciones!E59</f>
        <v>24879.06</v>
      </c>
      <c r="P278" s="17">
        <f>Posiciones!F59</f>
        <v>24904.877249999998</v>
      </c>
      <c r="Q278" s="17">
        <f>Posiciones!G59</f>
        <v>25.817249999998239</v>
      </c>
    </row>
    <row r="279" spans="1:17" x14ac:dyDescent="0.3">
      <c r="A279" s="21" t="s">
        <v>320</v>
      </c>
      <c r="B279" s="15">
        <f>Posiciones!A60</f>
        <v>46281</v>
      </c>
      <c r="C279" s="11" t="str">
        <f>Posiciones!B60</f>
        <v>Principal</v>
      </c>
      <c r="D279" s="11" t="str">
        <f>Posiciones!C60</f>
        <v>BI261105</v>
      </c>
      <c r="G279" s="14">
        <f>Posiciones!D60</f>
        <v>0</v>
      </c>
      <c r="I279" s="17">
        <f>Posiciones!E60</f>
        <v>0</v>
      </c>
      <c r="P279" s="17">
        <f>Posiciones!F60</f>
        <v>0</v>
      </c>
      <c r="Q279" s="17">
        <f>Posiciones!G60</f>
        <v>0</v>
      </c>
    </row>
    <row r="280" spans="1:17" x14ac:dyDescent="0.3">
      <c r="A280" s="21" t="s">
        <v>320</v>
      </c>
      <c r="B280" s="15">
        <f>Posiciones!A61</f>
        <v>46281</v>
      </c>
      <c r="C280" s="11" t="str">
        <f>Posiciones!B61</f>
        <v>Principal</v>
      </c>
      <c r="D280" s="11" t="str">
        <f>Posiciones!C61</f>
        <v>BI261217</v>
      </c>
      <c r="G280" s="14">
        <f>Posiciones!D61</f>
        <v>0</v>
      </c>
      <c r="I280" s="17">
        <f>Posiciones!E61</f>
        <v>0</v>
      </c>
      <c r="P280" s="17">
        <f>Posiciones!F61</f>
        <v>0</v>
      </c>
      <c r="Q280" s="17">
        <f>Posiciones!G61</f>
        <v>0</v>
      </c>
    </row>
    <row r="281" spans="1:17" x14ac:dyDescent="0.3">
      <c r="A281" s="21" t="s">
        <v>320</v>
      </c>
      <c r="B281" s="15">
        <f>Posiciones!A62</f>
        <v>46281</v>
      </c>
      <c r="C281" s="11" t="str">
        <f>Posiciones!B62</f>
        <v>Principal</v>
      </c>
      <c r="D281" s="11" t="str">
        <f>Posiciones!C62</f>
        <v>BI270318</v>
      </c>
      <c r="G281" s="14">
        <f>Posiciones!D62</f>
        <v>0</v>
      </c>
      <c r="I281" s="17">
        <f>Posiciones!E62</f>
        <v>0</v>
      </c>
      <c r="P281" s="17">
        <f>Posiciones!F62</f>
        <v>0</v>
      </c>
      <c r="Q281" s="17">
        <f>Posiciones!G62</f>
        <v>0</v>
      </c>
    </row>
    <row r="282" spans="1:17" x14ac:dyDescent="0.3">
      <c r="A282" s="21" t="s">
        <v>320</v>
      </c>
      <c r="B282" s="15">
        <f>Posiciones!A63</f>
        <v>46281</v>
      </c>
      <c r="C282" s="11" t="str">
        <f>Posiciones!B63</f>
        <v>Secundario</v>
      </c>
      <c r="D282" s="11" t="str">
        <f>Posiciones!C63</f>
        <v>DEMOACC</v>
      </c>
      <c r="G282" s="14">
        <f>Posiciones!D63</f>
        <v>150</v>
      </c>
      <c r="I282" s="17">
        <f>Posiciones!E63</f>
        <v>15585.07</v>
      </c>
      <c r="P282" s="17">
        <f>Posiciones!F63</f>
        <v>15712.5</v>
      </c>
      <c r="Q282" s="17">
        <f>Posiciones!G63</f>
        <v>127.43000000000029</v>
      </c>
    </row>
    <row r="283" spans="1:17" x14ac:dyDescent="0.3">
      <c r="A283" s="21" t="s">
        <v>320</v>
      </c>
      <c r="B283" s="15">
        <f>Posiciones!A64</f>
        <v>46303</v>
      </c>
      <c r="C283" s="11" t="str">
        <f>Posiciones!B64</f>
        <v>Principal</v>
      </c>
      <c r="D283" s="11" t="str">
        <f>Posiciones!C64</f>
        <v>DEMOACC</v>
      </c>
      <c r="G283" s="14">
        <f>Posiciones!D64</f>
        <v>220</v>
      </c>
      <c r="I283" s="17">
        <f>Posiciones!E64</f>
        <v>22368.682000000001</v>
      </c>
      <c r="P283" s="17">
        <f>Posiciones!F64</f>
        <v>23628</v>
      </c>
      <c r="Q283" s="17">
        <f>Posiciones!G64</f>
        <v>1259.3179999999993</v>
      </c>
    </row>
    <row r="284" spans="1:17" x14ac:dyDescent="0.3">
      <c r="A284" s="21" t="s">
        <v>320</v>
      </c>
      <c r="B284" s="15">
        <f>Posiciones!A65</f>
        <v>46303</v>
      </c>
      <c r="C284" s="11" t="str">
        <f>Posiciones!B65</f>
        <v>Principal</v>
      </c>
      <c r="D284" s="11" t="str">
        <f>Posiciones!C65</f>
        <v>DEMOETF</v>
      </c>
      <c r="G284" s="14">
        <f>Posiciones!D65</f>
        <v>40</v>
      </c>
      <c r="I284" s="17">
        <f>Posiciones!E65</f>
        <v>1975.46</v>
      </c>
      <c r="P284" s="17">
        <f>Posiciones!F65</f>
        <v>2070.8000000000002</v>
      </c>
      <c r="Q284" s="17">
        <f>Posiciones!G65</f>
        <v>95.340000000000146</v>
      </c>
    </row>
    <row r="285" spans="1:17" x14ac:dyDescent="0.3">
      <c r="A285" s="21" t="s">
        <v>320</v>
      </c>
      <c r="B285" s="15">
        <f>Posiciones!A66</f>
        <v>46303</v>
      </c>
      <c r="C285" s="11" t="str">
        <f>Posiciones!B66</f>
        <v>Principal</v>
      </c>
      <c r="D285" s="11" t="str">
        <f>Posiciones!C66</f>
        <v>DEMOFIB</v>
      </c>
      <c r="G285" s="14">
        <f>Posiciones!D66</f>
        <v>300</v>
      </c>
      <c r="I285" s="17">
        <f>Posiciones!E66</f>
        <v>7344.99</v>
      </c>
      <c r="P285" s="17">
        <f>Posiciones!F66</f>
        <v>7466.25</v>
      </c>
      <c r="Q285" s="17">
        <f>Posiciones!G66</f>
        <v>121.26000000000022</v>
      </c>
    </row>
    <row r="286" spans="1:17" x14ac:dyDescent="0.3">
      <c r="A286" s="21" t="s">
        <v>320</v>
      </c>
      <c r="B286" s="15">
        <f>Posiciones!A67</f>
        <v>46303</v>
      </c>
      <c r="C286" s="11" t="str">
        <f>Posiciones!B67</f>
        <v>Principal</v>
      </c>
      <c r="D286" s="11" t="str">
        <f>Posiciones!C67</f>
        <v>BI261008</v>
      </c>
      <c r="G286" s="14">
        <f>Posiciones!D67</f>
        <v>0</v>
      </c>
      <c r="I286" s="17">
        <f>Posiciones!E67</f>
        <v>0</v>
      </c>
      <c r="P286" s="17">
        <f>Posiciones!F67</f>
        <v>0</v>
      </c>
      <c r="Q286" s="17">
        <f>Posiciones!G67</f>
        <v>0</v>
      </c>
    </row>
    <row r="287" spans="1:17" x14ac:dyDescent="0.3">
      <c r="A287" s="21" t="s">
        <v>320</v>
      </c>
      <c r="B287" s="15">
        <f>Posiciones!A68</f>
        <v>46303</v>
      </c>
      <c r="C287" s="11" t="str">
        <f>Posiciones!B68</f>
        <v>Principal</v>
      </c>
      <c r="D287" s="11" t="str">
        <f>Posiciones!C68</f>
        <v>BI261105</v>
      </c>
      <c r="G287" s="14">
        <f>Posiciones!D68</f>
        <v>1000</v>
      </c>
      <c r="I287" s="17">
        <f>Posiciones!E68</f>
        <v>9952.856600000001</v>
      </c>
      <c r="P287" s="17">
        <f>Posiciones!F68</f>
        <v>9952.856600000001</v>
      </c>
      <c r="Q287" s="17">
        <f>Posiciones!G68</f>
        <v>0</v>
      </c>
    </row>
    <row r="288" spans="1:17" x14ac:dyDescent="0.3">
      <c r="A288" s="21" t="s">
        <v>320</v>
      </c>
      <c r="B288" s="15">
        <f>Posiciones!A69</f>
        <v>46303</v>
      </c>
      <c r="C288" s="11" t="str">
        <f>Posiciones!B69</f>
        <v>Principal</v>
      </c>
      <c r="D288" s="11" t="str">
        <f>Posiciones!C69</f>
        <v>BI261217</v>
      </c>
      <c r="G288" s="14">
        <f>Posiciones!D69</f>
        <v>1000</v>
      </c>
      <c r="I288" s="17">
        <f>Posiciones!E69</f>
        <v>9834.4372000000003</v>
      </c>
      <c r="P288" s="17">
        <f>Posiciones!F69</f>
        <v>9874.240600000001</v>
      </c>
      <c r="Q288" s="17">
        <f>Posiciones!G69</f>
        <v>39.803400000000693</v>
      </c>
    </row>
    <row r="289" spans="1:17" x14ac:dyDescent="0.3">
      <c r="A289" s="21" t="s">
        <v>320</v>
      </c>
      <c r="B289" s="15">
        <f>Posiciones!A70</f>
        <v>46303</v>
      </c>
      <c r="C289" s="11" t="str">
        <f>Posiciones!B70</f>
        <v>Principal</v>
      </c>
      <c r="D289" s="11" t="str">
        <f>Posiciones!C70</f>
        <v>BI270318</v>
      </c>
      <c r="G289" s="14">
        <f>Posiciones!D70</f>
        <v>500</v>
      </c>
      <c r="I289" s="17">
        <f>Posiciones!E70</f>
        <v>4831.4624999999996</v>
      </c>
      <c r="P289" s="17">
        <f>Posiciones!F70</f>
        <v>4850.5725000000002</v>
      </c>
      <c r="Q289" s="17">
        <f>Posiciones!G70</f>
        <v>19.110000000000582</v>
      </c>
    </row>
    <row r="290" spans="1:17" x14ac:dyDescent="0.3">
      <c r="A290" s="21" t="s">
        <v>320</v>
      </c>
      <c r="B290" s="15">
        <f>Posiciones!A71</f>
        <v>46303</v>
      </c>
      <c r="C290" s="11" t="str">
        <f>Posiciones!B71</f>
        <v>Secundario</v>
      </c>
      <c r="D290" s="11" t="str">
        <f>Posiciones!C71</f>
        <v>DEMOACC</v>
      </c>
      <c r="G290" s="14">
        <f>Posiciones!D71</f>
        <v>150</v>
      </c>
      <c r="I290" s="17">
        <f>Posiciones!E71</f>
        <v>15585.07</v>
      </c>
      <c r="P290" s="17">
        <f>Posiciones!F71</f>
        <v>16110</v>
      </c>
      <c r="Q290" s="17">
        <f>Posiciones!G71</f>
        <v>524.93000000000029</v>
      </c>
    </row>
    <row r="291" spans="1:17" x14ac:dyDescent="0.3">
      <c r="A291" s="21" t="s">
        <v>320</v>
      </c>
      <c r="B291" s="15">
        <f>Posiciones!A72</f>
        <v>46309</v>
      </c>
      <c r="C291" s="11" t="str">
        <f>Posiciones!B72</f>
        <v>Principal</v>
      </c>
      <c r="D291" s="11" t="str">
        <f>Posiciones!C72</f>
        <v>DEMOACC</v>
      </c>
      <c r="G291" s="14">
        <f>Posiciones!D72</f>
        <v>220</v>
      </c>
      <c r="I291" s="17">
        <f>Posiciones!E72</f>
        <v>22368.682000000001</v>
      </c>
      <c r="P291" s="17">
        <f>Posiciones!F72</f>
        <v>24431</v>
      </c>
      <c r="Q291" s="17">
        <f>Posiciones!G72</f>
        <v>2062.3179999999993</v>
      </c>
    </row>
    <row r="292" spans="1:17" x14ac:dyDescent="0.3">
      <c r="A292" s="21" t="s">
        <v>320</v>
      </c>
      <c r="B292" s="15">
        <f>Posiciones!A73</f>
        <v>46309</v>
      </c>
      <c r="C292" s="11" t="str">
        <f>Posiciones!B73</f>
        <v>Principal</v>
      </c>
      <c r="D292" s="11" t="str">
        <f>Posiciones!C73</f>
        <v>DEMOETF</v>
      </c>
      <c r="G292" s="14">
        <f>Posiciones!D73</f>
        <v>40</v>
      </c>
      <c r="I292" s="17">
        <f>Posiciones!E73</f>
        <v>1975.46</v>
      </c>
      <c r="P292" s="17">
        <f>Posiciones!F73</f>
        <v>2118</v>
      </c>
      <c r="Q292" s="17">
        <f>Posiciones!G73</f>
        <v>142.53999999999996</v>
      </c>
    </row>
    <row r="293" spans="1:17" x14ac:dyDescent="0.3">
      <c r="A293" s="21" t="s">
        <v>320</v>
      </c>
      <c r="B293" s="15">
        <f>Posiciones!A74</f>
        <v>46309</v>
      </c>
      <c r="C293" s="11" t="str">
        <f>Posiciones!B74</f>
        <v>Principal</v>
      </c>
      <c r="D293" s="11" t="str">
        <f>Posiciones!C74</f>
        <v>DEMOFIB</v>
      </c>
      <c r="G293" s="14">
        <f>Posiciones!D74</f>
        <v>300</v>
      </c>
      <c r="I293" s="17">
        <f>Posiciones!E74</f>
        <v>7344.99</v>
      </c>
      <c r="P293" s="17">
        <f>Posiciones!F74</f>
        <v>7686.75</v>
      </c>
      <c r="Q293" s="17">
        <f>Posiciones!G74</f>
        <v>341.76000000000022</v>
      </c>
    </row>
    <row r="294" spans="1:17" x14ac:dyDescent="0.3">
      <c r="A294" s="21" t="s">
        <v>320</v>
      </c>
      <c r="B294" s="15">
        <f>Posiciones!A75</f>
        <v>46309</v>
      </c>
      <c r="C294" s="11" t="str">
        <f>Posiciones!B75</f>
        <v>Principal</v>
      </c>
      <c r="D294" s="11" t="str">
        <f>Posiciones!C75</f>
        <v>BI261008</v>
      </c>
      <c r="G294" s="14">
        <f>Posiciones!D75</f>
        <v>0</v>
      </c>
      <c r="I294" s="17">
        <f>Posiciones!E75</f>
        <v>0</v>
      </c>
      <c r="P294" s="17">
        <f>Posiciones!F75</f>
        <v>0</v>
      </c>
      <c r="Q294" s="17">
        <f>Posiciones!G75</f>
        <v>0</v>
      </c>
    </row>
    <row r="295" spans="1:17" x14ac:dyDescent="0.3">
      <c r="A295" s="21" t="s">
        <v>320</v>
      </c>
      <c r="B295" s="15">
        <f>Posiciones!A76</f>
        <v>46309</v>
      </c>
      <c r="C295" s="11" t="str">
        <f>Posiciones!B76</f>
        <v>Principal</v>
      </c>
      <c r="D295" s="11" t="str">
        <f>Posiciones!C76</f>
        <v>BI261105</v>
      </c>
      <c r="G295" s="14">
        <f>Posiciones!D76</f>
        <v>1000</v>
      </c>
      <c r="I295" s="17">
        <f>Posiciones!E76</f>
        <v>9952.856600000001</v>
      </c>
      <c r="P295" s="17">
        <f>Posiciones!F76</f>
        <v>9962.9213</v>
      </c>
      <c r="Q295" s="17">
        <f>Posiciones!G76</f>
        <v>10.064699999998993</v>
      </c>
    </row>
    <row r="296" spans="1:17" x14ac:dyDescent="0.3">
      <c r="A296" s="21" t="s">
        <v>320</v>
      </c>
      <c r="B296" s="15">
        <f>Posiciones!A77</f>
        <v>46309</v>
      </c>
      <c r="C296" s="11" t="str">
        <f>Posiciones!B77</f>
        <v>Principal</v>
      </c>
      <c r="D296" s="11" t="str">
        <f>Posiciones!C77</f>
        <v>BI261217</v>
      </c>
      <c r="G296" s="14">
        <f>Posiciones!D77</f>
        <v>1000</v>
      </c>
      <c r="I296" s="17">
        <f>Posiciones!E77</f>
        <v>9834.4372000000003</v>
      </c>
      <c r="P296" s="17">
        <f>Posiciones!F77</f>
        <v>9886.0375000000004</v>
      </c>
      <c r="Q296" s="17">
        <f>Posiciones!G77</f>
        <v>51.600300000000061</v>
      </c>
    </row>
    <row r="297" spans="1:17" x14ac:dyDescent="0.3">
      <c r="A297" s="21" t="s">
        <v>320</v>
      </c>
      <c r="B297" s="15">
        <f>Posiciones!A78</f>
        <v>46309</v>
      </c>
      <c r="C297" s="11" t="str">
        <f>Posiciones!B78</f>
        <v>Principal</v>
      </c>
      <c r="D297" s="11" t="str">
        <f>Posiciones!C78</f>
        <v>BI270318</v>
      </c>
      <c r="G297" s="14">
        <f>Posiciones!D78</f>
        <v>500</v>
      </c>
      <c r="I297" s="17">
        <f>Posiciones!E78</f>
        <v>4831.4624999999996</v>
      </c>
      <c r="P297" s="17">
        <f>Posiciones!F78</f>
        <v>4856.1693999999998</v>
      </c>
      <c r="Q297" s="17">
        <f>Posiciones!G78</f>
        <v>24.706900000000132</v>
      </c>
    </row>
    <row r="298" spans="1:17" x14ac:dyDescent="0.3">
      <c r="A298" s="21" t="s">
        <v>320</v>
      </c>
      <c r="B298" s="15">
        <f>Posiciones!A79</f>
        <v>46309</v>
      </c>
      <c r="C298" s="11" t="str">
        <f>Posiciones!B79</f>
        <v>Secundario</v>
      </c>
      <c r="D298" s="11" t="str">
        <f>Posiciones!C79</f>
        <v>DEMOACC</v>
      </c>
      <c r="G298" s="14">
        <f>Posiciones!D79</f>
        <v>150</v>
      </c>
      <c r="I298" s="17">
        <f>Posiciones!E79</f>
        <v>15585.07</v>
      </c>
      <c r="P298" s="17">
        <f>Posiciones!F79</f>
        <v>16657.5</v>
      </c>
      <c r="Q298" s="17">
        <f>Posiciones!G79</f>
        <v>1072.4300000000003</v>
      </c>
    </row>
    <row r="299" spans="1:17" x14ac:dyDescent="0.3">
      <c r="A299" s="21" t="s">
        <v>319</v>
      </c>
      <c r="B299" s="15">
        <f>Posiciones!A83</f>
        <v>46278</v>
      </c>
      <c r="C299" s="11" t="str">
        <f>Posiciones!B83</f>
        <v>Principal</v>
      </c>
      <c r="I299" s="17">
        <f>Posiciones!C83</f>
        <v>59968.520000000004</v>
      </c>
      <c r="P299" s="17">
        <f>Posiciones!D83</f>
        <v>60329.962</v>
      </c>
      <c r="Q299" s="17">
        <f>Posiciones!E83</f>
        <v>361.44199999999546</v>
      </c>
    </row>
    <row r="300" spans="1:17" x14ac:dyDescent="0.3">
      <c r="A300" s="21" t="s">
        <v>319</v>
      </c>
      <c r="B300" s="15">
        <f>Posiciones!A84</f>
        <v>46278</v>
      </c>
      <c r="C300" s="11" t="str">
        <f>Posiciones!B84</f>
        <v>Secundario</v>
      </c>
      <c r="I300" s="17">
        <f>Posiciones!C84</f>
        <v>0</v>
      </c>
      <c r="P300" s="17">
        <f>Posiciones!D84</f>
        <v>0</v>
      </c>
      <c r="Q300" s="17">
        <f>Posiciones!E84</f>
        <v>0</v>
      </c>
    </row>
    <row r="301" spans="1:17" x14ac:dyDescent="0.3">
      <c r="A301" s="21" t="s">
        <v>319</v>
      </c>
      <c r="B301" s="15">
        <f>Posiciones!A85</f>
        <v>46281</v>
      </c>
      <c r="C301" s="11" t="str">
        <f>Posiciones!B85</f>
        <v>Principal</v>
      </c>
      <c r="I301" s="17">
        <f>Posiciones!C85</f>
        <v>70308.42</v>
      </c>
      <c r="P301" s="17">
        <f>Posiciones!D85</f>
        <v>71641.877250000005</v>
      </c>
      <c r="Q301" s="17">
        <f>Posiciones!E85</f>
        <v>1333.4572499999977</v>
      </c>
    </row>
    <row r="302" spans="1:17" x14ac:dyDescent="0.3">
      <c r="A302" s="21" t="s">
        <v>319</v>
      </c>
      <c r="B302" s="15">
        <f>Posiciones!A86</f>
        <v>46281</v>
      </c>
      <c r="C302" s="11" t="str">
        <f>Posiciones!B86</f>
        <v>Secundario</v>
      </c>
      <c r="I302" s="17">
        <f>Posiciones!C86</f>
        <v>15585.07</v>
      </c>
      <c r="P302" s="17">
        <f>Posiciones!D86</f>
        <v>15712.5</v>
      </c>
      <c r="Q302" s="17">
        <f>Posiciones!E86</f>
        <v>127.43000000000029</v>
      </c>
    </row>
    <row r="303" spans="1:17" x14ac:dyDescent="0.3">
      <c r="A303" s="21" t="s">
        <v>319</v>
      </c>
      <c r="B303" s="15">
        <f>Posiciones!A87</f>
        <v>46303</v>
      </c>
      <c r="C303" s="11" t="str">
        <f>Posiciones!B87</f>
        <v>Principal</v>
      </c>
      <c r="I303" s="17">
        <f>Posiciones!C87</f>
        <v>56307.888299999999</v>
      </c>
      <c r="P303" s="17">
        <f>Posiciones!D87</f>
        <v>57842.719700000009</v>
      </c>
      <c r="Q303" s="17">
        <f>Posiciones!E87</f>
        <v>1534.8314000000009</v>
      </c>
    </row>
    <row r="304" spans="1:17" x14ac:dyDescent="0.3">
      <c r="A304" s="21" t="s">
        <v>319</v>
      </c>
      <c r="B304" s="15">
        <f>Posiciones!A88</f>
        <v>46303</v>
      </c>
      <c r="C304" s="11" t="str">
        <f>Posiciones!B88</f>
        <v>Secundario</v>
      </c>
      <c r="I304" s="17">
        <f>Posiciones!C88</f>
        <v>15585.07</v>
      </c>
      <c r="P304" s="17">
        <f>Posiciones!D88</f>
        <v>16110</v>
      </c>
      <c r="Q304" s="17">
        <f>Posiciones!E88</f>
        <v>524.93000000000029</v>
      </c>
    </row>
    <row r="305" spans="1:17" x14ac:dyDescent="0.3">
      <c r="A305" s="21" t="s">
        <v>319</v>
      </c>
      <c r="B305" s="15">
        <f>Posiciones!A89</f>
        <v>46309</v>
      </c>
      <c r="C305" s="11" t="str">
        <f>Posiciones!B89</f>
        <v>Principal</v>
      </c>
      <c r="I305" s="17">
        <f>Posiciones!C89</f>
        <v>56307.888299999999</v>
      </c>
      <c r="P305" s="17">
        <f>Posiciones!D89</f>
        <v>58940.878199999999</v>
      </c>
      <c r="Q305" s="17">
        <f>Posiciones!E89</f>
        <v>2632.9898999999987</v>
      </c>
    </row>
    <row r="306" spans="1:17" x14ac:dyDescent="0.3">
      <c r="A306" s="21" t="s">
        <v>319</v>
      </c>
      <c r="B306" s="15">
        <f>Posiciones!A90</f>
        <v>46309</v>
      </c>
      <c r="C306" s="11" t="str">
        <f>Posiciones!B90</f>
        <v>Secundario</v>
      </c>
      <c r="I306" s="17">
        <f>Posiciones!C90</f>
        <v>15585.07</v>
      </c>
      <c r="P306" s="17">
        <f>Posiciones!D90</f>
        <v>16657.5</v>
      </c>
      <c r="Q306" s="17">
        <f>Posiciones!E90</f>
        <v>1072.4300000000003</v>
      </c>
    </row>
    <row r="308" spans="1:17" x14ac:dyDescent="0.3">
      <c r="A308" s="7" t="s">
        <v>565</v>
      </c>
    </row>
    <row r="309" spans="1:17" ht="26.4" x14ac:dyDescent="0.3">
      <c r="A309" s="8" t="s">
        <v>177</v>
      </c>
      <c r="B309" s="8" t="s">
        <v>319</v>
      </c>
      <c r="C309" s="8" t="s">
        <v>66</v>
      </c>
      <c r="D309" s="8" t="s">
        <v>566</v>
      </c>
      <c r="E309" s="8" t="s">
        <v>567</v>
      </c>
      <c r="F309" s="8" t="s">
        <v>568</v>
      </c>
      <c r="G309" s="8" t="s">
        <v>569</v>
      </c>
      <c r="H309" s="8" t="s">
        <v>570</v>
      </c>
      <c r="I309" s="8" t="s">
        <v>571</v>
      </c>
      <c r="J309" s="8" t="s">
        <v>572</v>
      </c>
      <c r="K309" s="8" t="s">
        <v>573</v>
      </c>
      <c r="L309" s="8" t="s">
        <v>574</v>
      </c>
    </row>
    <row r="310" spans="1:17" x14ac:dyDescent="0.3">
      <c r="A310" s="15">
        <f>Serie!A5</f>
        <v>46275</v>
      </c>
      <c r="B310" s="11" t="str">
        <f>Serie!B5</f>
        <v>Principal</v>
      </c>
      <c r="C310" s="17">
        <f>Serie!D5</f>
        <v>49929.06</v>
      </c>
      <c r="D310" s="17">
        <f>Serie!E5</f>
        <v>49946.540000000008</v>
      </c>
      <c r="E310" s="17">
        <f>Serie!F5</f>
        <v>0</v>
      </c>
      <c r="F310" s="17">
        <f>Serie!G5</f>
        <v>0</v>
      </c>
      <c r="G310" s="17">
        <f>Serie!H5</f>
        <v>0</v>
      </c>
      <c r="H310" s="27" t="str">
        <f>Serie!K5</f>
        <v/>
      </c>
      <c r="I310" s="26" t="str">
        <f>Serie!L5</f>
        <v/>
      </c>
      <c r="J310" s="27">
        <f>Serie!M5</f>
        <v>1</v>
      </c>
      <c r="K310" s="27">
        <f>Serie!N5</f>
        <v>1</v>
      </c>
      <c r="L310" s="27">
        <f>Serie!O5</f>
        <v>0</v>
      </c>
    </row>
    <row r="311" spans="1:17" x14ac:dyDescent="0.3">
      <c r="A311" s="15">
        <f>Serie!A6</f>
        <v>46276</v>
      </c>
      <c r="B311" s="11" t="str">
        <f>Serie!B6</f>
        <v>Principal</v>
      </c>
      <c r="C311" s="17">
        <f>Serie!D6</f>
        <v>60321.359249999994</v>
      </c>
      <c r="D311" s="17">
        <f>Serie!E6</f>
        <v>10021.98</v>
      </c>
      <c r="E311" s="17">
        <f>Serie!F6</f>
        <v>0</v>
      </c>
      <c r="F311" s="17">
        <f>Serie!G6</f>
        <v>0</v>
      </c>
      <c r="G311" s="17">
        <f>Serie!H6</f>
        <v>0</v>
      </c>
      <c r="H311" s="27">
        <f>Serie!K6</f>
        <v>6.1770279548112317E-3</v>
      </c>
      <c r="I311" s="26">
        <f>Serie!L6</f>
        <v>0.61770279548112317</v>
      </c>
      <c r="J311" s="27">
        <f>Serie!M6</f>
        <v>1.0061770279548112</v>
      </c>
      <c r="K311" s="27">
        <f>Serie!N6</f>
        <v>1.0061770279548112</v>
      </c>
      <c r="L311" s="27">
        <f>Serie!O6</f>
        <v>0</v>
      </c>
    </row>
    <row r="312" spans="1:17" x14ac:dyDescent="0.3">
      <c r="A312" s="15">
        <f>Serie!A7</f>
        <v>46277</v>
      </c>
      <c r="B312" s="11" t="str">
        <f>Serie!B7</f>
        <v>Principal</v>
      </c>
      <c r="C312" s="17">
        <f>Serie!D7</f>
        <v>60325.659749999999</v>
      </c>
      <c r="D312" s="17">
        <f>Serie!E7</f>
        <v>0</v>
      </c>
      <c r="E312" s="17">
        <f>Serie!F7</f>
        <v>0</v>
      </c>
      <c r="F312" s="17">
        <f>Serie!G7</f>
        <v>0</v>
      </c>
      <c r="G312" s="17">
        <f>Serie!H7</f>
        <v>0</v>
      </c>
      <c r="H312" s="27">
        <f>Serie!K7</f>
        <v>7.1293154754403787E-5</v>
      </c>
      <c r="I312" s="26">
        <f>Serie!L7</f>
        <v>7.1293154754403787E-3</v>
      </c>
      <c r="J312" s="27">
        <f>Serie!M7</f>
        <v>1.0062487614893756</v>
      </c>
      <c r="K312" s="27">
        <f>Serie!N7</f>
        <v>1.0062487614893756</v>
      </c>
      <c r="L312" s="27">
        <f>Serie!O7</f>
        <v>0</v>
      </c>
    </row>
    <row r="313" spans="1:17" x14ac:dyDescent="0.3">
      <c r="A313" s="15">
        <f>Serie!A8</f>
        <v>46278</v>
      </c>
      <c r="B313" s="11" t="str">
        <f>Serie!B8</f>
        <v>Principal</v>
      </c>
      <c r="C313" s="17">
        <f>Serie!D8</f>
        <v>60329.962</v>
      </c>
      <c r="D313" s="17">
        <f>Serie!E8</f>
        <v>0</v>
      </c>
      <c r="E313" s="17">
        <f>Serie!F8</f>
        <v>0</v>
      </c>
      <c r="F313" s="17">
        <f>Serie!G8</f>
        <v>0</v>
      </c>
      <c r="G313" s="17">
        <f>Serie!H8</f>
        <v>0</v>
      </c>
      <c r="H313" s="27">
        <f>Serie!K8</f>
        <v>7.131708161711714E-5</v>
      </c>
      <c r="I313" s="26">
        <f>Serie!L8</f>
        <v>7.131708161711714E-3</v>
      </c>
      <c r="J313" s="27">
        <f>Serie!M8</f>
        <v>1.0063205242144257</v>
      </c>
      <c r="K313" s="27">
        <f>Serie!N8</f>
        <v>1.0063205242144257</v>
      </c>
      <c r="L313" s="27">
        <f>Serie!O8</f>
        <v>0</v>
      </c>
    </row>
    <row r="314" spans="1:17" x14ac:dyDescent="0.3">
      <c r="A314" s="15">
        <f>Serie!A9</f>
        <v>46279</v>
      </c>
      <c r="B314" s="11" t="str">
        <f>Serie!B9</f>
        <v>Principal</v>
      </c>
      <c r="C314" s="17">
        <f>Serie!D9</f>
        <v>71116.265500000009</v>
      </c>
      <c r="D314" s="17">
        <f>Serie!E9</f>
        <v>10339.9</v>
      </c>
      <c r="E314" s="17">
        <f>Serie!F9</f>
        <v>0</v>
      </c>
      <c r="F314" s="17">
        <f>Serie!G9</f>
        <v>0</v>
      </c>
      <c r="G314" s="17">
        <f>Serie!H9</f>
        <v>0</v>
      </c>
      <c r="H314" s="27">
        <f>Serie!K9</f>
        <v>6.3167450362364708E-3</v>
      </c>
      <c r="I314" s="26">
        <f>Serie!L9</f>
        <v>0.63167450362364708</v>
      </c>
      <c r="J314" s="27">
        <f>Serie!M9</f>
        <v>1.0126771943906201</v>
      </c>
      <c r="K314" s="27">
        <f>Serie!N9</f>
        <v>1.0126771943906201</v>
      </c>
      <c r="L314" s="27">
        <f>Serie!O9</f>
        <v>0</v>
      </c>
    </row>
    <row r="315" spans="1:17" x14ac:dyDescent="0.3">
      <c r="A315" s="15">
        <f>Serie!A10</f>
        <v>46280</v>
      </c>
      <c r="B315" s="11" t="str">
        <f>Serie!B10</f>
        <v>Principal</v>
      </c>
      <c r="C315" s="17">
        <f>Serie!D10</f>
        <v>71637.570749999999</v>
      </c>
      <c r="D315" s="17">
        <f>Serie!E10</f>
        <v>0</v>
      </c>
      <c r="E315" s="17">
        <f>Serie!F10</f>
        <v>0</v>
      </c>
      <c r="F315" s="17">
        <f>Serie!G10</f>
        <v>0</v>
      </c>
      <c r="G315" s="17">
        <f>Serie!H10</f>
        <v>0</v>
      </c>
      <c r="H315" s="27">
        <f>Serie!K10</f>
        <v>7.3303237499160456E-3</v>
      </c>
      <c r="I315" s="26">
        <f>Serie!L10</f>
        <v>0.73303237499160456</v>
      </c>
      <c r="J315" s="27">
        <f>Serie!M10</f>
        <v>1.0201004460796601</v>
      </c>
      <c r="K315" s="27">
        <f>Serie!N10</f>
        <v>1.0201004460796601</v>
      </c>
      <c r="L315" s="27">
        <f>Serie!O10</f>
        <v>0</v>
      </c>
    </row>
    <row r="316" spans="1:17" x14ac:dyDescent="0.3">
      <c r="A316" s="15">
        <f>Serie!A11</f>
        <v>46281</v>
      </c>
      <c r="B316" s="11" t="str">
        <f>Serie!B11</f>
        <v>Principal</v>
      </c>
      <c r="C316" s="17">
        <f>Serie!D11</f>
        <v>71641.877250000005</v>
      </c>
      <c r="D316" s="17">
        <f>Serie!E11</f>
        <v>0</v>
      </c>
      <c r="E316" s="17">
        <f>Serie!F11</f>
        <v>0</v>
      </c>
      <c r="F316" s="17">
        <f>Serie!G11</f>
        <v>0</v>
      </c>
      <c r="G316" s="17">
        <f>Serie!H11</f>
        <v>0</v>
      </c>
      <c r="H316" s="27">
        <f>Serie!K11</f>
        <v>6.0115103777569345E-5</v>
      </c>
      <c r="I316" s="26">
        <f>Serie!L11</f>
        <v>6.0115103777569345E-3</v>
      </c>
      <c r="J316" s="27">
        <f>Serie!M11</f>
        <v>1.0201617695238396</v>
      </c>
      <c r="K316" s="27">
        <f>Serie!N11</f>
        <v>1.0201617695238396</v>
      </c>
      <c r="L316" s="27">
        <f>Serie!O11</f>
        <v>0</v>
      </c>
    </row>
    <row r="317" spans="1:17" x14ac:dyDescent="0.3">
      <c r="A317" s="15">
        <f>Serie!A12</f>
        <v>46282</v>
      </c>
      <c r="B317" s="11" t="str">
        <f>Serie!B12</f>
        <v>Principal</v>
      </c>
      <c r="C317" s="17">
        <f>Serie!D12</f>
        <v>85262.084949999989</v>
      </c>
      <c r="D317" s="17">
        <f>Serie!E12</f>
        <v>14665.8997</v>
      </c>
      <c r="E317" s="17">
        <f>Serie!F12</f>
        <v>0</v>
      </c>
      <c r="F317" s="17">
        <f>Serie!G12</f>
        <v>0</v>
      </c>
      <c r="G317" s="17">
        <f>Serie!H12</f>
        <v>0</v>
      </c>
      <c r="H317" s="27">
        <f>Serie!K12</f>
        <v>-1.2115849080504115E-2</v>
      </c>
      <c r="I317" s="26">
        <f>Serie!L12</f>
        <v>-1.2115849080504115</v>
      </c>
      <c r="J317" s="27">
        <f>Serie!M12</f>
        <v>1.0078016434865888</v>
      </c>
      <c r="K317" s="27">
        <f>Serie!N12</f>
        <v>1.0201617695238396</v>
      </c>
      <c r="L317" s="27">
        <f>Serie!O12</f>
        <v>-1.2115849080504004E-2</v>
      </c>
    </row>
    <row r="318" spans="1:17" x14ac:dyDescent="0.3">
      <c r="A318" s="15">
        <f>Serie!A13</f>
        <v>46283</v>
      </c>
      <c r="B318" s="11" t="str">
        <f>Serie!B13</f>
        <v>Principal</v>
      </c>
      <c r="C318" s="17">
        <f>Serie!D13</f>
        <v>83832.298349999997</v>
      </c>
      <c r="D318" s="17">
        <f>Serie!E13</f>
        <v>0</v>
      </c>
      <c r="E318" s="17">
        <f>Serie!F13</f>
        <v>0</v>
      </c>
      <c r="F318" s="17">
        <f>Serie!G13</f>
        <v>0</v>
      </c>
      <c r="G318" s="17">
        <f>Serie!H13</f>
        <v>0</v>
      </c>
      <c r="H318" s="27">
        <f>Serie!K13</f>
        <v>-1.6769313122455998E-2</v>
      </c>
      <c r="I318" s="26">
        <f>Serie!L13</f>
        <v>-1.6769313122455998</v>
      </c>
      <c r="J318" s="27">
        <f>Serie!M13</f>
        <v>0.99090150216163653</v>
      </c>
      <c r="K318" s="27">
        <f>Serie!N13</f>
        <v>1.0201617695238396</v>
      </c>
      <c r="L318" s="27">
        <f>Serie!O13</f>
        <v>-2.8681987735984626E-2</v>
      </c>
    </row>
    <row r="319" spans="1:17" x14ac:dyDescent="0.3">
      <c r="A319" s="15">
        <f>Serie!A14</f>
        <v>46284</v>
      </c>
      <c r="B319" s="11" t="str">
        <f>Serie!B14</f>
        <v>Principal</v>
      </c>
      <c r="C319" s="17">
        <f>Serie!D14</f>
        <v>83839.510250000007</v>
      </c>
      <c r="D319" s="17">
        <f>Serie!E14</f>
        <v>0</v>
      </c>
      <c r="E319" s="17">
        <f>Serie!F14</f>
        <v>0</v>
      </c>
      <c r="F319" s="17">
        <f>Serie!G14</f>
        <v>0</v>
      </c>
      <c r="G319" s="17">
        <f>Serie!H14</f>
        <v>0</v>
      </c>
      <c r="H319" s="27">
        <f>Serie!K14</f>
        <v>8.602770223364864E-5</v>
      </c>
      <c r="I319" s="26">
        <f>Serie!L14</f>
        <v>8.602770223364864E-3</v>
      </c>
      <c r="J319" s="27">
        <f>Serie!M14</f>
        <v>0.99098674714100732</v>
      </c>
      <c r="K319" s="27">
        <f>Serie!N14</f>
        <v>1.0201617695238396</v>
      </c>
      <c r="L319" s="27">
        <f>Serie!O14</f>
        <v>-2.8598427479251454E-2</v>
      </c>
    </row>
    <row r="320" spans="1:17" x14ac:dyDescent="0.3">
      <c r="A320" s="15">
        <f>Serie!A15</f>
        <v>46285</v>
      </c>
      <c r="B320" s="11" t="str">
        <f>Serie!B15</f>
        <v>Principal</v>
      </c>
      <c r="C320" s="17">
        <f>Serie!D15</f>
        <v>83846.720799999996</v>
      </c>
      <c r="D320" s="17">
        <f>Serie!E15</f>
        <v>0</v>
      </c>
      <c r="E320" s="17">
        <f>Serie!F15</f>
        <v>0</v>
      </c>
      <c r="F320" s="17">
        <f>Serie!G15</f>
        <v>0</v>
      </c>
      <c r="G320" s="17">
        <f>Serie!H15</f>
        <v>0</v>
      </c>
      <c r="H320" s="27">
        <f>Serie!K15</f>
        <v>8.6004199911116075E-5</v>
      </c>
      <c r="I320" s="26">
        <f>Serie!L15</f>
        <v>8.6004199911116075E-3</v>
      </c>
      <c r="J320" s="27">
        <f>Serie!M15</f>
        <v>0.99107197616331766</v>
      </c>
      <c r="K320" s="27">
        <f>Serie!N15</f>
        <v>1.0201617695238396</v>
      </c>
      <c r="L320" s="27">
        <f>Serie!O15</f>
        <v>-2.8514882864214441E-2</v>
      </c>
    </row>
    <row r="321" spans="1:12" x14ac:dyDescent="0.3">
      <c r="A321" s="15">
        <f>Serie!A16</f>
        <v>46286</v>
      </c>
      <c r="B321" s="11" t="str">
        <f>Serie!B16</f>
        <v>Principal</v>
      </c>
      <c r="C321" s="17">
        <f>Serie!D16</f>
        <v>82451.929599999989</v>
      </c>
      <c r="D321" s="17">
        <f>Serie!E16</f>
        <v>0</v>
      </c>
      <c r="E321" s="17">
        <f>Serie!F16</f>
        <v>0</v>
      </c>
      <c r="F321" s="17">
        <f>Serie!G16</f>
        <v>0</v>
      </c>
      <c r="G321" s="17">
        <f>Serie!H16</f>
        <v>0</v>
      </c>
      <c r="H321" s="27">
        <f>Serie!K16</f>
        <v>-1.6635011920466236E-2</v>
      </c>
      <c r="I321" s="26">
        <f>Serie!L16</f>
        <v>-1.6635011920466236</v>
      </c>
      <c r="J321" s="27">
        <f>Serie!M16</f>
        <v>0.97458548202580086</v>
      </c>
      <c r="K321" s="27">
        <f>Serie!N16</f>
        <v>1.0201617695238396</v>
      </c>
      <c r="L321" s="27">
        <f>Serie!O16</f>
        <v>-4.4675549368323741E-2</v>
      </c>
    </row>
    <row r="322" spans="1:12" x14ac:dyDescent="0.3">
      <c r="A322" s="15">
        <f>Serie!A17</f>
        <v>46287</v>
      </c>
      <c r="B322" s="11" t="str">
        <f>Serie!B17</f>
        <v>Principal</v>
      </c>
      <c r="C322" s="17">
        <f>Serie!D17</f>
        <v>71943.136900000012</v>
      </c>
      <c r="D322" s="17">
        <f>Serie!E17</f>
        <v>0</v>
      </c>
      <c r="E322" s="17">
        <f>Serie!F17</f>
        <v>9256.08</v>
      </c>
      <c r="F322" s="17">
        <f>Serie!G17</f>
        <v>0</v>
      </c>
      <c r="G322" s="17">
        <f>Serie!H17</f>
        <v>9256.08</v>
      </c>
      <c r="H322" s="27">
        <f>Serie!K17</f>
        <v>-1.5193249037072531E-2</v>
      </c>
      <c r="I322" s="26">
        <f>Serie!L17</f>
        <v>-1.5193249037072531</v>
      </c>
      <c r="J322" s="27">
        <f>Serie!M17</f>
        <v>0.95977836208946754</v>
      </c>
      <c r="K322" s="27">
        <f>Serie!N17</f>
        <v>1.0201617695238396</v>
      </c>
      <c r="L322" s="27">
        <f>Serie!O17</f>
        <v>-5.9190031657975206E-2</v>
      </c>
    </row>
    <row r="323" spans="1:12" x14ac:dyDescent="0.3">
      <c r="A323" s="15">
        <f>Serie!A18</f>
        <v>46288</v>
      </c>
      <c r="B323" s="11" t="str">
        <f>Serie!B18</f>
        <v>Principal</v>
      </c>
      <c r="C323" s="17">
        <f>Serie!D18</f>
        <v>71360.842550000001</v>
      </c>
      <c r="D323" s="17">
        <f>Serie!E18</f>
        <v>0</v>
      </c>
      <c r="E323" s="17">
        <f>Serie!F18</f>
        <v>0</v>
      </c>
      <c r="F323" s="17">
        <f>Serie!G18</f>
        <v>0</v>
      </c>
      <c r="G323" s="17">
        <f>Serie!H18</f>
        <v>0</v>
      </c>
      <c r="H323" s="27">
        <f>Serie!K18</f>
        <v>-8.0938137408352873E-3</v>
      </c>
      <c r="I323" s="26">
        <f>Serie!L18</f>
        <v>-0.80938137408352873</v>
      </c>
      <c r="J323" s="27">
        <f>Serie!M18</f>
        <v>0.95201009479423138</v>
      </c>
      <c r="K323" s="27">
        <f>Serie!N18</f>
        <v>1.0201617695238396</v>
      </c>
      <c r="L323" s="27">
        <f>Serie!O18</f>
        <v>-6.6804772307256788E-2</v>
      </c>
    </row>
    <row r="324" spans="1:12" x14ac:dyDescent="0.3">
      <c r="A324" s="15">
        <f>Serie!A19</f>
        <v>46289</v>
      </c>
      <c r="B324" s="11" t="str">
        <f>Serie!B19</f>
        <v>Principal</v>
      </c>
      <c r="C324" s="17">
        <f>Serie!D19</f>
        <v>72160.526299999998</v>
      </c>
      <c r="D324" s="17">
        <f>Serie!E19</f>
        <v>0</v>
      </c>
      <c r="E324" s="17">
        <f>Serie!F19</f>
        <v>0</v>
      </c>
      <c r="F324" s="17">
        <f>Serie!G19</f>
        <v>0</v>
      </c>
      <c r="G324" s="17">
        <f>Serie!H19</f>
        <v>0</v>
      </c>
      <c r="H324" s="27">
        <f>Serie!K19</f>
        <v>1.1206198265381939E-2</v>
      </c>
      <c r="I324" s="26">
        <f>Serie!L19</f>
        <v>1.1206198265381939</v>
      </c>
      <c r="J324" s="27">
        <f>Serie!M19</f>
        <v>0.96267850866714055</v>
      </c>
      <c r="K324" s="27">
        <f>Serie!N19</f>
        <v>1.0201617695238396</v>
      </c>
      <c r="L324" s="27">
        <f>Serie!O19</f>
        <v>-5.6347201565423721E-2</v>
      </c>
    </row>
    <row r="325" spans="1:12" x14ac:dyDescent="0.3">
      <c r="A325" s="15">
        <f>Serie!A20</f>
        <v>46290</v>
      </c>
      <c r="B325" s="11" t="str">
        <f>Serie!B20</f>
        <v>Principal</v>
      </c>
      <c r="C325" s="17">
        <f>Serie!D20</f>
        <v>70402.08170000001</v>
      </c>
      <c r="D325" s="17">
        <f>Serie!E20</f>
        <v>2882.33</v>
      </c>
      <c r="E325" s="17">
        <f>Serie!F20</f>
        <v>5755.26</v>
      </c>
      <c r="F325" s="17">
        <f>Serie!G20</f>
        <v>0</v>
      </c>
      <c r="G325" s="17">
        <f>Serie!H20</f>
        <v>5755.26</v>
      </c>
      <c r="H325" s="27">
        <f>Serie!K20</f>
        <v>1.4851319032215482E-2</v>
      </c>
      <c r="I325" s="26">
        <f>Serie!L20</f>
        <v>1.4851319032215482</v>
      </c>
      <c r="J325" s="27">
        <f>Serie!M20</f>
        <v>0.97697555432481364</v>
      </c>
      <c r="K325" s="27">
        <f>Serie!N20</f>
        <v>1.0201617695238396</v>
      </c>
      <c r="L325" s="27">
        <f>Serie!O20</f>
        <v>-4.2332712800228878E-2</v>
      </c>
    </row>
    <row r="326" spans="1:12" x14ac:dyDescent="0.3">
      <c r="A326" s="15">
        <f>Serie!A21</f>
        <v>46291</v>
      </c>
      <c r="B326" s="11" t="str">
        <f>Serie!B21</f>
        <v>Principal</v>
      </c>
      <c r="C326" s="17">
        <f>Serie!D21</f>
        <v>70409.234649999984</v>
      </c>
      <c r="D326" s="17">
        <f>Serie!E21</f>
        <v>0</v>
      </c>
      <c r="E326" s="17">
        <f>Serie!F21</f>
        <v>0</v>
      </c>
      <c r="F326" s="17">
        <f>Serie!G21</f>
        <v>0</v>
      </c>
      <c r="G326" s="17">
        <f>Serie!H21</f>
        <v>0</v>
      </c>
      <c r="H326" s="27">
        <f>Serie!K21</f>
        <v>1.0160139909576316E-4</v>
      </c>
      <c r="I326" s="26">
        <f>Serie!L21</f>
        <v>1.0160139909576316E-2</v>
      </c>
      <c r="J326" s="27">
        <f>Serie!M21</f>
        <v>0.97707481640801541</v>
      </c>
      <c r="K326" s="27">
        <f>Serie!N21</f>
        <v>1.0201617695238396</v>
      </c>
      <c r="L326" s="27">
        <f>Serie!O21</f>
        <v>-4.2235412463981103E-2</v>
      </c>
    </row>
    <row r="327" spans="1:12" x14ac:dyDescent="0.3">
      <c r="A327" s="15">
        <f>Serie!A22</f>
        <v>46292</v>
      </c>
      <c r="B327" s="11" t="str">
        <f>Serie!B22</f>
        <v>Principal</v>
      </c>
      <c r="C327" s="17">
        <f>Serie!D22</f>
        <v>70416.385750000001</v>
      </c>
      <c r="D327" s="17">
        <f>Serie!E22</f>
        <v>0</v>
      </c>
      <c r="E327" s="17">
        <f>Serie!F22</f>
        <v>0</v>
      </c>
      <c r="F327" s="17">
        <f>Serie!G22</f>
        <v>0</v>
      </c>
      <c r="G327" s="17">
        <f>Serie!H22</f>
        <v>0</v>
      </c>
      <c r="H327" s="27">
        <f>Serie!K22</f>
        <v>1.0156480233836085E-4</v>
      </c>
      <c r="I327" s="26">
        <f>Serie!L22</f>
        <v>1.0156480233836085E-2</v>
      </c>
      <c r="J327" s="27">
        <f>Serie!M22</f>
        <v>0.97717405281861369</v>
      </c>
      <c r="K327" s="27">
        <f>Serie!N22</f>
        <v>1.0201617695238396</v>
      </c>
      <c r="L327" s="27">
        <f>Serie!O22</f>
        <v>-4.2138137292961342E-2</v>
      </c>
    </row>
    <row r="328" spans="1:12" x14ac:dyDescent="0.3">
      <c r="A328" s="15">
        <f>Serie!A23</f>
        <v>46293</v>
      </c>
      <c r="B328" s="11" t="str">
        <f>Serie!B23</f>
        <v>Principal</v>
      </c>
      <c r="C328" s="17">
        <f>Serie!D23</f>
        <v>71534.534500000009</v>
      </c>
      <c r="D328" s="17">
        <f>Serie!E23</f>
        <v>0</v>
      </c>
      <c r="E328" s="17">
        <f>Serie!F23</f>
        <v>0</v>
      </c>
      <c r="F328" s="17">
        <f>Serie!G23</f>
        <v>0</v>
      </c>
      <c r="G328" s="17">
        <f>Serie!H23</f>
        <v>0</v>
      </c>
      <c r="H328" s="27">
        <f>Serie!K23</f>
        <v>1.5879098850227535E-2</v>
      </c>
      <c r="I328" s="26">
        <f>Serie!L23</f>
        <v>1.5879098850227535</v>
      </c>
      <c r="J328" s="27">
        <f>Serie!M23</f>
        <v>0.99269069619719796</v>
      </c>
      <c r="K328" s="27">
        <f>Serie!N23</f>
        <v>1.0201617695238396</v>
      </c>
      <c r="L328" s="27">
        <f>Serie!O23</f>
        <v>-2.6928154090173129E-2</v>
      </c>
    </row>
    <row r="329" spans="1:12" x14ac:dyDescent="0.3">
      <c r="A329" s="15">
        <f>Serie!A24</f>
        <v>46294</v>
      </c>
      <c r="B329" s="11" t="str">
        <f>Serie!B24</f>
        <v>Principal</v>
      </c>
      <c r="C329" s="17">
        <f>Serie!D24</f>
        <v>72653.081050000008</v>
      </c>
      <c r="D329" s="17">
        <f>Serie!E24</f>
        <v>0</v>
      </c>
      <c r="E329" s="17">
        <f>Serie!F24</f>
        <v>0</v>
      </c>
      <c r="F329" s="17">
        <f>Serie!G24</f>
        <v>0</v>
      </c>
      <c r="G329" s="17">
        <f>Serie!H24</f>
        <v>0</v>
      </c>
      <c r="H329" s="27">
        <f>Serie!K24</f>
        <v>1.5636455284405271E-2</v>
      </c>
      <c r="I329" s="26">
        <f>Serie!L24</f>
        <v>1.5636455284405271</v>
      </c>
      <c r="J329" s="27">
        <f>Serie!M24</f>
        <v>1.0082128598795306</v>
      </c>
      <c r="K329" s="27">
        <f>Serie!N24</f>
        <v>1.0201617695238396</v>
      </c>
      <c r="L329" s="27">
        <f>Serie!O24</f>
        <v>-1.171275968309049E-2</v>
      </c>
    </row>
    <row r="330" spans="1:12" x14ac:dyDescent="0.3">
      <c r="A330" s="15">
        <f>Serie!A25</f>
        <v>46295</v>
      </c>
      <c r="B330" s="11" t="str">
        <f>Serie!B25</f>
        <v>Principal</v>
      </c>
      <c r="C330" s="17">
        <f>Serie!D25</f>
        <v>73866.025550000006</v>
      </c>
      <c r="D330" s="17">
        <f>Serie!E25</f>
        <v>0</v>
      </c>
      <c r="E330" s="17">
        <f>Serie!F25</f>
        <v>0</v>
      </c>
      <c r="F330" s="17">
        <f>Serie!G25</f>
        <v>0</v>
      </c>
      <c r="G330" s="17">
        <f>Serie!H25</f>
        <v>0</v>
      </c>
      <c r="H330" s="27">
        <f>Serie!K25</f>
        <v>1.6695018056636091E-2</v>
      </c>
      <c r="I330" s="26">
        <f>Serie!L25</f>
        <v>1.6695018056636091</v>
      </c>
      <c r="J330" s="27">
        <f>Serie!M25</f>
        <v>1.0250449917801521</v>
      </c>
      <c r="K330" s="27">
        <f>Serie!N25</f>
        <v>1.0250449917801521</v>
      </c>
      <c r="L330" s="27">
        <f>Serie!O25</f>
        <v>0</v>
      </c>
    </row>
    <row r="331" spans="1:12" x14ac:dyDescent="0.3">
      <c r="A331" s="15">
        <f>Serie!A26</f>
        <v>46296</v>
      </c>
      <c r="B331" s="11" t="str">
        <f>Serie!B26</f>
        <v>Principal</v>
      </c>
      <c r="C331" s="17">
        <f>Serie!D26</f>
        <v>68330.434699999998</v>
      </c>
      <c r="D331" s="17">
        <f>Serie!E26</f>
        <v>0</v>
      </c>
      <c r="E331" s="17">
        <f>Serie!F26</f>
        <v>4994.1637500000006</v>
      </c>
      <c r="F331" s="17">
        <f>Serie!G26</f>
        <v>0</v>
      </c>
      <c r="G331" s="17">
        <f>Serie!H26</f>
        <v>4994.1637500000006</v>
      </c>
      <c r="H331" s="27">
        <f>Serie!K26</f>
        <v>-7.3298528784861983E-3</v>
      </c>
      <c r="I331" s="26">
        <f>Serie!L26</f>
        <v>-0.73298528784861983</v>
      </c>
      <c r="J331" s="27">
        <f>Serie!M26</f>
        <v>1.0175315627965744</v>
      </c>
      <c r="K331" s="27">
        <f>Serie!N26</f>
        <v>1.0250449917801521</v>
      </c>
      <c r="L331" s="27">
        <f>Serie!O26</f>
        <v>-7.3298528784861983E-3</v>
      </c>
    </row>
    <row r="332" spans="1:12" x14ac:dyDescent="0.3">
      <c r="A332" s="15">
        <f>Serie!A27</f>
        <v>46297</v>
      </c>
      <c r="B332" s="11" t="str">
        <f>Serie!B27</f>
        <v>Principal</v>
      </c>
      <c r="C332" s="17">
        <f>Serie!D27</f>
        <v>59568.151100000003</v>
      </c>
      <c r="D332" s="17">
        <f>Serie!E27</f>
        <v>0</v>
      </c>
      <c r="E332" s="17">
        <f>Serie!F27</f>
        <v>8311.83</v>
      </c>
      <c r="F332" s="17">
        <f>Serie!G27</f>
        <v>0</v>
      </c>
      <c r="G332" s="17">
        <f>Serie!H27</f>
        <v>8311.83</v>
      </c>
      <c r="H332" s="27">
        <f>Serie!K27</f>
        <v>-6.5922835406752034E-3</v>
      </c>
      <c r="I332" s="26">
        <f>Serie!L27</f>
        <v>-0.65922835406752034</v>
      </c>
      <c r="J332" s="27">
        <f>Serie!M27</f>
        <v>1.010823706223033</v>
      </c>
      <c r="K332" s="27">
        <f>Serie!N27</f>
        <v>1.0250449917801521</v>
      </c>
      <c r="L332" s="27">
        <f>Serie!O27</f>
        <v>-1.387381595067505E-2</v>
      </c>
    </row>
    <row r="333" spans="1:12" x14ac:dyDescent="0.3">
      <c r="A333" s="15">
        <f>Serie!A28</f>
        <v>46298</v>
      </c>
      <c r="B333" s="11" t="str">
        <f>Serie!B28</f>
        <v>Principal</v>
      </c>
      <c r="C333" s="17">
        <f>Serie!D28</f>
        <v>59574.462450000006</v>
      </c>
      <c r="D333" s="17">
        <f>Serie!E28</f>
        <v>0</v>
      </c>
      <c r="E333" s="17">
        <f>Serie!F28</f>
        <v>0</v>
      </c>
      <c r="F333" s="17">
        <f>Serie!G28</f>
        <v>0</v>
      </c>
      <c r="G333" s="17">
        <f>Serie!H28</f>
        <v>0</v>
      </c>
      <c r="H333" s="27">
        <f>Serie!K28</f>
        <v>1.0595175246264077E-4</v>
      </c>
      <c r="I333" s="26">
        <f>Serie!L28</f>
        <v>1.0595175246264077E-2</v>
      </c>
      <c r="J333" s="27">
        <f>Serie!M28</f>
        <v>1.0109308047661381</v>
      </c>
      <c r="K333" s="27">
        <f>Serie!N28</f>
        <v>1.0250449917801521</v>
      </c>
      <c r="L333" s="27">
        <f>Serie!O28</f>
        <v>-1.3769334153325818E-2</v>
      </c>
    </row>
    <row r="334" spans="1:12" x14ac:dyDescent="0.3">
      <c r="A334" s="15">
        <f>Serie!A29</f>
        <v>46299</v>
      </c>
      <c r="B334" s="11" t="str">
        <f>Serie!B29</f>
        <v>Principal</v>
      </c>
      <c r="C334" s="17">
        <f>Serie!D29</f>
        <v>59580.769500000009</v>
      </c>
      <c r="D334" s="17">
        <f>Serie!E29</f>
        <v>0</v>
      </c>
      <c r="E334" s="17">
        <f>Serie!F29</f>
        <v>0</v>
      </c>
      <c r="F334" s="17">
        <f>Serie!G29</f>
        <v>0</v>
      </c>
      <c r="G334" s="17">
        <f>Serie!H29</f>
        <v>0</v>
      </c>
      <c r="H334" s="27">
        <f>Serie!K29</f>
        <v>1.0586834929982025E-4</v>
      </c>
      <c r="I334" s="26">
        <f>Serie!L29</f>
        <v>1.0586834929982025E-2</v>
      </c>
      <c r="J334" s="27">
        <f>Serie!M29</f>
        <v>1.0110378303416949</v>
      </c>
      <c r="K334" s="27">
        <f>Serie!N29</f>
        <v>1.0250449917801521</v>
      </c>
      <c r="L334" s="27">
        <f>Serie!O29</f>
        <v>-1.3664923540703811E-2</v>
      </c>
    </row>
    <row r="335" spans="1:12" x14ac:dyDescent="0.3">
      <c r="A335" s="15">
        <f>Serie!A30</f>
        <v>46300</v>
      </c>
      <c r="B335" s="11" t="str">
        <f>Serie!B30</f>
        <v>Principal</v>
      </c>
      <c r="C335" s="17">
        <f>Serie!D30</f>
        <v>66373.071800000005</v>
      </c>
      <c r="D335" s="17">
        <f>Serie!E30</f>
        <v>7344.99</v>
      </c>
      <c r="E335" s="17">
        <f>Serie!F30</f>
        <v>0</v>
      </c>
      <c r="F335" s="17">
        <f>Serie!G30</f>
        <v>0</v>
      </c>
      <c r="G335" s="17">
        <f>Serie!H30</f>
        <v>0</v>
      </c>
      <c r="H335" s="27">
        <f>Serie!K30</f>
        <v>-8.2582208125707712E-3</v>
      </c>
      <c r="I335" s="26">
        <f>Serie!L30</f>
        <v>-0.82582208125707712</v>
      </c>
      <c r="J335" s="27">
        <f>Serie!M30</f>
        <v>1.0026884566888707</v>
      </c>
      <c r="K335" s="27">
        <f>Serie!N30</f>
        <v>1.0250449917801521</v>
      </c>
      <c r="L335" s="27">
        <f>Serie!O30</f>
        <v>-2.1810296397288598E-2</v>
      </c>
    </row>
    <row r="336" spans="1:12" x14ac:dyDescent="0.3">
      <c r="A336" s="15">
        <f>Serie!A31</f>
        <v>46301</v>
      </c>
      <c r="B336" s="11" t="str">
        <f>Serie!B31</f>
        <v>Principal</v>
      </c>
      <c r="C336" s="17">
        <f>Serie!D31</f>
        <v>66692.269249999998</v>
      </c>
      <c r="D336" s="17">
        <f>Serie!E31</f>
        <v>0</v>
      </c>
      <c r="E336" s="17">
        <f>Serie!F31</f>
        <v>0</v>
      </c>
      <c r="F336" s="17">
        <f>Serie!G31</f>
        <v>0</v>
      </c>
      <c r="G336" s="17">
        <f>Serie!H31</f>
        <v>0</v>
      </c>
      <c r="H336" s="27">
        <f>Serie!K31</f>
        <v>4.8091408359374199E-3</v>
      </c>
      <c r="I336" s="26">
        <f>Serie!L31</f>
        <v>0.48091408359374199</v>
      </c>
      <c r="J336" s="27">
        <f>Serie!M31</f>
        <v>1.0075105266916562</v>
      </c>
      <c r="K336" s="27">
        <f>Serie!N31</f>
        <v>1.0250449917801521</v>
      </c>
      <c r="L336" s="27">
        <f>Serie!O31</f>
        <v>-1.7106044348399352E-2</v>
      </c>
    </row>
    <row r="337" spans="1:12" x14ac:dyDescent="0.3">
      <c r="A337" s="15">
        <f>Serie!A32</f>
        <v>46302</v>
      </c>
      <c r="B337" s="11" t="str">
        <f>Serie!B32</f>
        <v>Principal</v>
      </c>
      <c r="C337" s="17">
        <f>Serie!D32</f>
        <v>67312.112150000001</v>
      </c>
      <c r="D337" s="17">
        <f>Serie!E32</f>
        <v>0</v>
      </c>
      <c r="E337" s="17">
        <f>Serie!F32</f>
        <v>0</v>
      </c>
      <c r="F337" s="17">
        <f>Serie!G32</f>
        <v>0</v>
      </c>
      <c r="G337" s="17">
        <f>Serie!H32</f>
        <v>0</v>
      </c>
      <c r="H337" s="27">
        <f>Serie!K32</f>
        <v>9.2940742153559963E-3</v>
      </c>
      <c r="I337" s="26">
        <f>Serie!L32</f>
        <v>0.92940742153559963</v>
      </c>
      <c r="J337" s="27">
        <f>Serie!M32</f>
        <v>1.0168744042994808</v>
      </c>
      <c r="K337" s="27">
        <f>Serie!N32</f>
        <v>1.0250449917801521</v>
      </c>
      <c r="L337" s="27">
        <f>Serie!O32</f>
        <v>-7.9709549787485567E-3</v>
      </c>
    </row>
    <row r="338" spans="1:12" x14ac:dyDescent="0.3">
      <c r="A338" s="15">
        <f>Serie!A33</f>
        <v>46303</v>
      </c>
      <c r="B338" s="11" t="str">
        <f>Serie!B33</f>
        <v>Principal</v>
      </c>
      <c r="C338" s="17">
        <f>Serie!D33</f>
        <v>57842.719700000009</v>
      </c>
      <c r="D338" s="17">
        <f>Serie!E33</f>
        <v>9952.856600000001</v>
      </c>
      <c r="E338" s="17">
        <f>Serie!F33</f>
        <v>0</v>
      </c>
      <c r="F338" s="17">
        <f>Serie!G33</f>
        <v>20000</v>
      </c>
      <c r="G338" s="17">
        <f>Serie!H33</f>
        <v>20000</v>
      </c>
      <c r="H338" s="27">
        <f>Serie!K33</f>
        <v>7.4775277767780146E-3</v>
      </c>
      <c r="I338" s="26">
        <f>Serie!L33</f>
        <v>0.74775277767780146</v>
      </c>
      <c r="J338" s="27">
        <f>Serie!M33</f>
        <v>1.0244781109031249</v>
      </c>
      <c r="K338" s="27">
        <f>Serie!N33</f>
        <v>1.0250449917801521</v>
      </c>
      <c r="L338" s="27">
        <f>Serie!O33</f>
        <v>-5.5303023923147787E-4</v>
      </c>
    </row>
    <row r="339" spans="1:12" x14ac:dyDescent="0.3">
      <c r="A339" s="15">
        <f>Serie!A34</f>
        <v>46304</v>
      </c>
      <c r="B339" s="11" t="str">
        <f>Serie!B34</f>
        <v>Principal</v>
      </c>
      <c r="C339" s="17">
        <f>Serie!D34</f>
        <v>58359.657749999998</v>
      </c>
      <c r="D339" s="17">
        <f>Serie!E34</f>
        <v>0</v>
      </c>
      <c r="E339" s="17">
        <f>Serie!F34</f>
        <v>0</v>
      </c>
      <c r="F339" s="17">
        <f>Serie!G34</f>
        <v>0</v>
      </c>
      <c r="G339" s="17">
        <f>Serie!H34</f>
        <v>0</v>
      </c>
      <c r="H339" s="27">
        <f>Serie!K34</f>
        <v>8.9369596153341391E-3</v>
      </c>
      <c r="I339" s="26">
        <f>Serie!L34</f>
        <v>0.89369596153341391</v>
      </c>
      <c r="J339" s="27">
        <f>Serie!M34</f>
        <v>1.03363383040706</v>
      </c>
      <c r="K339" s="27">
        <f>Serie!N34</f>
        <v>1.03363383040706</v>
      </c>
      <c r="L339" s="27">
        <f>Serie!O34</f>
        <v>0</v>
      </c>
    </row>
    <row r="340" spans="1:12" x14ac:dyDescent="0.3">
      <c r="A340" s="15">
        <f>Serie!A35</f>
        <v>46305</v>
      </c>
      <c r="B340" s="11" t="str">
        <f>Serie!B35</f>
        <v>Principal</v>
      </c>
      <c r="C340" s="17">
        <f>Serie!D35</f>
        <v>58364.241099999999</v>
      </c>
      <c r="D340" s="17">
        <f>Serie!E35</f>
        <v>0</v>
      </c>
      <c r="E340" s="17">
        <f>Serie!F35</f>
        <v>0</v>
      </c>
      <c r="F340" s="17">
        <f>Serie!G35</f>
        <v>0</v>
      </c>
      <c r="G340" s="17">
        <f>Serie!H35</f>
        <v>0</v>
      </c>
      <c r="H340" s="27">
        <f>Serie!K35</f>
        <v>7.8536272773099824E-5</v>
      </c>
      <c r="I340" s="26">
        <f>Serie!L35</f>
        <v>7.8536272773099824E-3</v>
      </c>
      <c r="J340" s="27">
        <f>Serie!M35</f>
        <v>1.0337150081555124</v>
      </c>
      <c r="K340" s="27">
        <f>Serie!N35</f>
        <v>1.0337150081555124</v>
      </c>
      <c r="L340" s="27">
        <f>Serie!O35</f>
        <v>0</v>
      </c>
    </row>
    <row r="341" spans="1:12" x14ac:dyDescent="0.3">
      <c r="A341" s="15">
        <f>Serie!A36</f>
        <v>46306</v>
      </c>
      <c r="B341" s="11" t="str">
        <f>Serie!B36</f>
        <v>Principal</v>
      </c>
      <c r="C341" s="17">
        <f>Serie!D36</f>
        <v>58368.819849999993</v>
      </c>
      <c r="D341" s="17">
        <f>Serie!E36</f>
        <v>0</v>
      </c>
      <c r="E341" s="17">
        <f>Serie!F36</f>
        <v>0</v>
      </c>
      <c r="F341" s="17">
        <f>Serie!G36</f>
        <v>0</v>
      </c>
      <c r="G341" s="17">
        <f>Serie!H36</f>
        <v>0</v>
      </c>
      <c r="H341" s="27">
        <f>Serie!K36</f>
        <v>7.8451289928560541E-5</v>
      </c>
      <c r="I341" s="26">
        <f>Serie!L36</f>
        <v>7.8451289928560541E-3</v>
      </c>
      <c r="J341" s="27">
        <f>Serie!M36</f>
        <v>1.0337961044313206</v>
      </c>
      <c r="K341" s="27">
        <f>Serie!N36</f>
        <v>1.0337961044313206</v>
      </c>
      <c r="L341" s="27">
        <f>Serie!O36</f>
        <v>0</v>
      </c>
    </row>
    <row r="342" spans="1:12" x14ac:dyDescent="0.3">
      <c r="A342" s="15">
        <f>Serie!A37</f>
        <v>46307</v>
      </c>
      <c r="B342" s="11" t="str">
        <f>Serie!B37</f>
        <v>Principal</v>
      </c>
      <c r="C342" s="17">
        <f>Serie!D37</f>
        <v>58708.693950000001</v>
      </c>
      <c r="D342" s="17">
        <f>Serie!E37</f>
        <v>0</v>
      </c>
      <c r="E342" s="17">
        <f>Serie!F37</f>
        <v>0</v>
      </c>
      <c r="F342" s="17">
        <f>Serie!G37</f>
        <v>0</v>
      </c>
      <c r="G342" s="17">
        <f>Serie!H37</f>
        <v>0</v>
      </c>
      <c r="H342" s="27">
        <f>Serie!K37</f>
        <v>5.8228708559371345E-3</v>
      </c>
      <c r="I342" s="26">
        <f>Serie!L37</f>
        <v>0.58228708559371345</v>
      </c>
      <c r="J342" s="27">
        <f>Serie!M37</f>
        <v>1.0398157656387952</v>
      </c>
      <c r="K342" s="27">
        <f>Serie!N37</f>
        <v>1.0398157656387952</v>
      </c>
      <c r="L342" s="27">
        <f>Serie!O37</f>
        <v>0</v>
      </c>
    </row>
    <row r="343" spans="1:12" x14ac:dyDescent="0.3">
      <c r="A343" s="15">
        <f>Serie!A38</f>
        <v>46308</v>
      </c>
      <c r="B343" s="11" t="str">
        <f>Serie!B38</f>
        <v>Principal</v>
      </c>
      <c r="C343" s="17">
        <f>Serie!D38</f>
        <v>58409.163500000002</v>
      </c>
      <c r="D343" s="17">
        <f>Serie!E38</f>
        <v>0</v>
      </c>
      <c r="E343" s="17">
        <f>Serie!F38</f>
        <v>0</v>
      </c>
      <c r="F343" s="17">
        <f>Serie!G38</f>
        <v>0</v>
      </c>
      <c r="G343" s="17">
        <f>Serie!H38</f>
        <v>0</v>
      </c>
      <c r="H343" s="27">
        <f>Serie!K38</f>
        <v>-5.1019777454953674E-3</v>
      </c>
      <c r="I343" s="26">
        <f>Serie!L38</f>
        <v>-0.51019777454953674</v>
      </c>
      <c r="J343" s="27">
        <f>Serie!M38</f>
        <v>1.0345106487430908</v>
      </c>
      <c r="K343" s="27">
        <f>Serie!N38</f>
        <v>1.0398157656387952</v>
      </c>
      <c r="L343" s="27">
        <f>Serie!O38</f>
        <v>-5.1019777454953674E-3</v>
      </c>
    </row>
    <row r="344" spans="1:12" x14ac:dyDescent="0.3">
      <c r="A344" s="15">
        <f>Serie!A39</f>
        <v>46309</v>
      </c>
      <c r="B344" s="11" t="str">
        <f>Serie!B39</f>
        <v>Principal</v>
      </c>
      <c r="C344" s="17">
        <f>Serie!D39</f>
        <v>58940.878199999999</v>
      </c>
      <c r="D344" s="17">
        <f>Serie!E39</f>
        <v>0</v>
      </c>
      <c r="E344" s="17">
        <f>Serie!F39</f>
        <v>0</v>
      </c>
      <c r="F344" s="17">
        <f>Serie!G39</f>
        <v>0</v>
      </c>
      <c r="G344" s="17">
        <f>Serie!H39</f>
        <v>0</v>
      </c>
      <c r="H344" s="27">
        <f>Serie!K39</f>
        <v>9.1032753790420973E-3</v>
      </c>
      <c r="I344" s="26">
        <f>Serie!L39</f>
        <v>0.91032753790420973</v>
      </c>
      <c r="J344" s="27">
        <f>Serie!M39</f>
        <v>1.0439280840611507</v>
      </c>
      <c r="K344" s="27">
        <f>Serie!N39</f>
        <v>1.0439280840611507</v>
      </c>
      <c r="L344" s="27">
        <f>Serie!O39</f>
        <v>0</v>
      </c>
    </row>
    <row r="345" spans="1:12" x14ac:dyDescent="0.3">
      <c r="A345" s="15">
        <f>Serie!A40</f>
        <v>46275</v>
      </c>
      <c r="B345" s="11" t="str">
        <f>Serie!B40</f>
        <v>Secundario</v>
      </c>
      <c r="C345" s="17">
        <f>Serie!D40</f>
        <v>0</v>
      </c>
      <c r="D345" s="17">
        <f>Serie!E40</f>
        <v>0</v>
      </c>
      <c r="E345" s="17">
        <f>Serie!F40</f>
        <v>0</v>
      </c>
      <c r="F345" s="17">
        <f>Serie!G40</f>
        <v>0</v>
      </c>
      <c r="G345" s="17">
        <f>Serie!H40</f>
        <v>0</v>
      </c>
      <c r="H345" s="27" t="str">
        <f>Serie!K40</f>
        <v/>
      </c>
      <c r="I345" s="26" t="str">
        <f>Serie!L40</f>
        <v/>
      </c>
      <c r="J345" s="27">
        <f>Serie!M40</f>
        <v>1</v>
      </c>
      <c r="K345" s="27">
        <f>Serie!N40</f>
        <v>1</v>
      </c>
      <c r="L345" s="27">
        <f>Serie!O40</f>
        <v>0</v>
      </c>
    </row>
    <row r="346" spans="1:12" x14ac:dyDescent="0.3">
      <c r="A346" s="15">
        <f>Serie!A41</f>
        <v>46276</v>
      </c>
      <c r="B346" s="11" t="str">
        <f>Serie!B41</f>
        <v>Secundario</v>
      </c>
      <c r="C346" s="17">
        <f>Serie!D41</f>
        <v>0</v>
      </c>
      <c r="D346" s="17">
        <f>Serie!E41</f>
        <v>0</v>
      </c>
      <c r="E346" s="17">
        <f>Serie!F41</f>
        <v>0</v>
      </c>
      <c r="F346" s="17">
        <f>Serie!G41</f>
        <v>0</v>
      </c>
      <c r="G346" s="17">
        <f>Serie!H41</f>
        <v>0</v>
      </c>
      <c r="H346" s="27">
        <f>Serie!K41</f>
        <v>0</v>
      </c>
      <c r="I346" s="26">
        <f>Serie!L41</f>
        <v>0</v>
      </c>
      <c r="J346" s="27">
        <f>Serie!M41</f>
        <v>1</v>
      </c>
      <c r="K346" s="27">
        <f>Serie!N41</f>
        <v>1</v>
      </c>
      <c r="L346" s="27">
        <f>Serie!O41</f>
        <v>0</v>
      </c>
    </row>
    <row r="347" spans="1:12" x14ac:dyDescent="0.3">
      <c r="A347" s="15">
        <f>Serie!A42</f>
        <v>46277</v>
      </c>
      <c r="B347" s="11" t="str">
        <f>Serie!B42</f>
        <v>Secundario</v>
      </c>
      <c r="C347" s="17">
        <f>Serie!D42</f>
        <v>0</v>
      </c>
      <c r="D347" s="17">
        <f>Serie!E42</f>
        <v>0</v>
      </c>
      <c r="E347" s="17">
        <f>Serie!F42</f>
        <v>0</v>
      </c>
      <c r="F347" s="17">
        <f>Serie!G42</f>
        <v>0</v>
      </c>
      <c r="G347" s="17">
        <f>Serie!H42</f>
        <v>0</v>
      </c>
      <c r="H347" s="27">
        <f>Serie!K42</f>
        <v>0</v>
      </c>
      <c r="I347" s="26">
        <f>Serie!L42</f>
        <v>0</v>
      </c>
      <c r="J347" s="27">
        <f>Serie!M42</f>
        <v>1</v>
      </c>
      <c r="K347" s="27">
        <f>Serie!N42</f>
        <v>1</v>
      </c>
      <c r="L347" s="27">
        <f>Serie!O42</f>
        <v>0</v>
      </c>
    </row>
    <row r="348" spans="1:12" x14ac:dyDescent="0.3">
      <c r="A348" s="15">
        <f>Serie!A43</f>
        <v>46278</v>
      </c>
      <c r="B348" s="11" t="str">
        <f>Serie!B43</f>
        <v>Secundario</v>
      </c>
      <c r="C348" s="17">
        <f>Serie!D43</f>
        <v>0</v>
      </c>
      <c r="D348" s="17">
        <f>Serie!E43</f>
        <v>0</v>
      </c>
      <c r="E348" s="17">
        <f>Serie!F43</f>
        <v>0</v>
      </c>
      <c r="F348" s="17">
        <f>Serie!G43</f>
        <v>0</v>
      </c>
      <c r="G348" s="17">
        <f>Serie!H43</f>
        <v>0</v>
      </c>
      <c r="H348" s="27">
        <f>Serie!K43</f>
        <v>0</v>
      </c>
      <c r="I348" s="26">
        <f>Serie!L43</f>
        <v>0</v>
      </c>
      <c r="J348" s="27">
        <f>Serie!M43</f>
        <v>1</v>
      </c>
      <c r="K348" s="27">
        <f>Serie!N43</f>
        <v>1</v>
      </c>
      <c r="L348" s="27">
        <f>Serie!O43</f>
        <v>0</v>
      </c>
    </row>
    <row r="349" spans="1:12" x14ac:dyDescent="0.3">
      <c r="A349" s="15">
        <f>Serie!A44</f>
        <v>46279</v>
      </c>
      <c r="B349" s="11" t="str">
        <f>Serie!B44</f>
        <v>Secundario</v>
      </c>
      <c r="C349" s="17">
        <f>Serie!D44</f>
        <v>15510</v>
      </c>
      <c r="D349" s="17">
        <f>Serie!E44</f>
        <v>15585.07</v>
      </c>
      <c r="E349" s="17">
        <f>Serie!F44</f>
        <v>0</v>
      </c>
      <c r="F349" s="17">
        <f>Serie!G44</f>
        <v>0</v>
      </c>
      <c r="G349" s="17">
        <f>Serie!H44</f>
        <v>0</v>
      </c>
      <c r="H349" s="27">
        <f>Serie!K44</f>
        <v>-4.8167894016516444E-3</v>
      </c>
      <c r="I349" s="26">
        <f>Serie!L44</f>
        <v>-0.48167894016516444</v>
      </c>
      <c r="J349" s="27">
        <f>Serie!M44</f>
        <v>0.99518321059834836</v>
      </c>
      <c r="K349" s="27">
        <f>Serie!N44</f>
        <v>1</v>
      </c>
      <c r="L349" s="27">
        <f>Serie!O44</f>
        <v>-4.8167894016516444E-3</v>
      </c>
    </row>
    <row r="350" spans="1:12" x14ac:dyDescent="0.3">
      <c r="A350" s="15">
        <f>Serie!A45</f>
        <v>46280</v>
      </c>
      <c r="B350" s="11" t="str">
        <f>Serie!B45</f>
        <v>Secundario</v>
      </c>
      <c r="C350" s="17">
        <f>Serie!D45</f>
        <v>15712.5</v>
      </c>
      <c r="D350" s="17">
        <f>Serie!E45</f>
        <v>0</v>
      </c>
      <c r="E350" s="17">
        <f>Serie!F45</f>
        <v>0</v>
      </c>
      <c r="F350" s="17">
        <f>Serie!G45</f>
        <v>0</v>
      </c>
      <c r="G350" s="17">
        <f>Serie!H45</f>
        <v>0</v>
      </c>
      <c r="H350" s="27">
        <f>Serie!K45</f>
        <v>1.3056092843326983E-2</v>
      </c>
      <c r="I350" s="26">
        <f>Serie!L45</f>
        <v>1.3056092843326983</v>
      </c>
      <c r="J350" s="27">
        <f>Serie!M45</f>
        <v>1.0081764149920407</v>
      </c>
      <c r="K350" s="27">
        <f>Serie!N45</f>
        <v>1.0081764149920407</v>
      </c>
      <c r="L350" s="27">
        <f>Serie!O45</f>
        <v>0</v>
      </c>
    </row>
    <row r="351" spans="1:12" x14ac:dyDescent="0.3">
      <c r="A351" s="15">
        <f>Serie!A46</f>
        <v>46281</v>
      </c>
      <c r="B351" s="11" t="str">
        <f>Serie!B46</f>
        <v>Secundario</v>
      </c>
      <c r="C351" s="17">
        <f>Serie!D46</f>
        <v>15712.5</v>
      </c>
      <c r="D351" s="17">
        <f>Serie!E46</f>
        <v>0</v>
      </c>
      <c r="E351" s="17">
        <f>Serie!F46</f>
        <v>0</v>
      </c>
      <c r="F351" s="17">
        <f>Serie!G46</f>
        <v>0</v>
      </c>
      <c r="G351" s="17">
        <f>Serie!H46</f>
        <v>0</v>
      </c>
      <c r="H351" s="27">
        <f>Serie!K46</f>
        <v>0</v>
      </c>
      <c r="I351" s="26">
        <f>Serie!L46</f>
        <v>0</v>
      </c>
      <c r="J351" s="27">
        <f>Serie!M46</f>
        <v>1.0081764149920407</v>
      </c>
      <c r="K351" s="27">
        <f>Serie!N46</f>
        <v>1.0081764149920407</v>
      </c>
      <c r="L351" s="27">
        <f>Serie!O46</f>
        <v>0</v>
      </c>
    </row>
    <row r="352" spans="1:12" x14ac:dyDescent="0.3">
      <c r="A352" s="15">
        <f>Serie!A47</f>
        <v>46282</v>
      </c>
      <c r="B352" s="11" t="str">
        <f>Serie!B47</f>
        <v>Secundario</v>
      </c>
      <c r="C352" s="17">
        <f>Serie!D47</f>
        <v>15315</v>
      </c>
      <c r="D352" s="17">
        <f>Serie!E47</f>
        <v>0</v>
      </c>
      <c r="E352" s="17">
        <f>Serie!F47</f>
        <v>0</v>
      </c>
      <c r="F352" s="17">
        <f>Serie!G47</f>
        <v>0</v>
      </c>
      <c r="G352" s="17">
        <f>Serie!H47</f>
        <v>0</v>
      </c>
      <c r="H352" s="27">
        <f>Serie!K47</f>
        <v>-2.5298329355608606E-2</v>
      </c>
      <c r="I352" s="26">
        <f>Serie!L47</f>
        <v>-2.5298329355608606</v>
      </c>
      <c r="J352" s="27">
        <f>Serie!M47</f>
        <v>0.98267123599701534</v>
      </c>
      <c r="K352" s="27">
        <f>Serie!N47</f>
        <v>1.0081764149920407</v>
      </c>
      <c r="L352" s="27">
        <f>Serie!O47</f>
        <v>-2.5298329355608606E-2</v>
      </c>
    </row>
    <row r="353" spans="1:12" x14ac:dyDescent="0.3">
      <c r="A353" s="15">
        <f>Serie!A48</f>
        <v>46283</v>
      </c>
      <c r="B353" s="11" t="str">
        <f>Serie!B48</f>
        <v>Secundario</v>
      </c>
      <c r="C353" s="17">
        <f>Serie!D48</f>
        <v>14797.5</v>
      </c>
      <c r="D353" s="17">
        <f>Serie!E48</f>
        <v>0</v>
      </c>
      <c r="E353" s="17">
        <f>Serie!F48</f>
        <v>0</v>
      </c>
      <c r="F353" s="17">
        <f>Serie!G48</f>
        <v>0</v>
      </c>
      <c r="G353" s="17">
        <f>Serie!H48</f>
        <v>0</v>
      </c>
      <c r="H353" s="27">
        <f>Serie!K48</f>
        <v>-3.3790401567091122E-2</v>
      </c>
      <c r="I353" s="26">
        <f>Serie!L48</f>
        <v>-3.3790401567091122</v>
      </c>
      <c r="J353" s="27">
        <f>Serie!M48</f>
        <v>0.94946638032424646</v>
      </c>
      <c r="K353" s="27">
        <f>Serie!N48</f>
        <v>1.0081764149920407</v>
      </c>
      <c r="L353" s="27">
        <f>Serie!O48</f>
        <v>-5.8233890214797079E-2</v>
      </c>
    </row>
    <row r="354" spans="1:12" x14ac:dyDescent="0.3">
      <c r="A354" s="15">
        <f>Serie!A49</f>
        <v>46284</v>
      </c>
      <c r="B354" s="11" t="str">
        <f>Serie!B49</f>
        <v>Secundario</v>
      </c>
      <c r="C354" s="17">
        <f>Serie!D49</f>
        <v>14797.5</v>
      </c>
      <c r="D354" s="17">
        <f>Serie!E49</f>
        <v>0</v>
      </c>
      <c r="E354" s="17">
        <f>Serie!F49</f>
        <v>0</v>
      </c>
      <c r="F354" s="17">
        <f>Serie!G49</f>
        <v>0</v>
      </c>
      <c r="G354" s="17">
        <f>Serie!H49</f>
        <v>0</v>
      </c>
      <c r="H354" s="27">
        <f>Serie!K49</f>
        <v>0</v>
      </c>
      <c r="I354" s="26">
        <f>Serie!L49</f>
        <v>0</v>
      </c>
      <c r="J354" s="27">
        <f>Serie!M49</f>
        <v>0.94946638032424646</v>
      </c>
      <c r="K354" s="27">
        <f>Serie!N49</f>
        <v>1.0081764149920407</v>
      </c>
      <c r="L354" s="27">
        <f>Serie!O49</f>
        <v>-5.8233890214797079E-2</v>
      </c>
    </row>
    <row r="355" spans="1:12" x14ac:dyDescent="0.3">
      <c r="A355" s="15">
        <f>Serie!A50</f>
        <v>46285</v>
      </c>
      <c r="B355" s="11" t="str">
        <f>Serie!B50</f>
        <v>Secundario</v>
      </c>
      <c r="C355" s="17">
        <f>Serie!D50</f>
        <v>14797.5</v>
      </c>
      <c r="D355" s="17">
        <f>Serie!E50</f>
        <v>0</v>
      </c>
      <c r="E355" s="17">
        <f>Serie!F50</f>
        <v>0</v>
      </c>
      <c r="F355" s="17">
        <f>Serie!G50</f>
        <v>0</v>
      </c>
      <c r="G355" s="17">
        <f>Serie!H50</f>
        <v>0</v>
      </c>
      <c r="H355" s="27">
        <f>Serie!K50</f>
        <v>0</v>
      </c>
      <c r="I355" s="26">
        <f>Serie!L50</f>
        <v>0</v>
      </c>
      <c r="J355" s="27">
        <f>Serie!M50</f>
        <v>0.94946638032424646</v>
      </c>
      <c r="K355" s="27">
        <f>Serie!N50</f>
        <v>1.0081764149920407</v>
      </c>
      <c r="L355" s="27">
        <f>Serie!O50</f>
        <v>-5.8233890214797079E-2</v>
      </c>
    </row>
    <row r="356" spans="1:12" x14ac:dyDescent="0.3">
      <c r="A356" s="15">
        <f>Serie!A51</f>
        <v>46286</v>
      </c>
      <c r="B356" s="11" t="str">
        <f>Serie!B51</f>
        <v>Secundario</v>
      </c>
      <c r="C356" s="17">
        <f>Serie!D51</f>
        <v>14295</v>
      </c>
      <c r="D356" s="17">
        <f>Serie!E51</f>
        <v>0</v>
      </c>
      <c r="E356" s="17">
        <f>Serie!F51</f>
        <v>0</v>
      </c>
      <c r="F356" s="17">
        <f>Serie!G51</f>
        <v>0</v>
      </c>
      <c r="G356" s="17">
        <f>Serie!H51</f>
        <v>0</v>
      </c>
      <c r="H356" s="27">
        <f>Serie!K51</f>
        <v>-3.3958438925494216E-2</v>
      </c>
      <c r="I356" s="26">
        <f>Serie!L51</f>
        <v>-3.3958438925494216</v>
      </c>
      <c r="J356" s="27">
        <f>Serie!M51</f>
        <v>0.91722398423619544</v>
      </c>
      <c r="K356" s="27">
        <f>Serie!N51</f>
        <v>1.0081764149920407</v>
      </c>
      <c r="L356" s="27">
        <f>Serie!O51</f>
        <v>-9.0214797136038194E-2</v>
      </c>
    </row>
    <row r="357" spans="1:12" x14ac:dyDescent="0.3">
      <c r="A357" s="15">
        <f>Serie!A52</f>
        <v>46287</v>
      </c>
      <c r="B357" s="11" t="str">
        <f>Serie!B52</f>
        <v>Secundario</v>
      </c>
      <c r="C357" s="17">
        <f>Serie!D52</f>
        <v>13822.5</v>
      </c>
      <c r="D357" s="17">
        <f>Serie!E52</f>
        <v>0</v>
      </c>
      <c r="E357" s="17">
        <f>Serie!F52</f>
        <v>0</v>
      </c>
      <c r="F357" s="17">
        <f>Serie!G52</f>
        <v>0</v>
      </c>
      <c r="G357" s="17">
        <f>Serie!H52</f>
        <v>0</v>
      </c>
      <c r="H357" s="27">
        <f>Serie!K52</f>
        <v>-3.305351521511013E-2</v>
      </c>
      <c r="I357" s="26">
        <f>Serie!L52</f>
        <v>-3.305351521511013</v>
      </c>
      <c r="J357" s="27">
        <f>Serie!M52</f>
        <v>0.88690650731758047</v>
      </c>
      <c r="K357" s="27">
        <f>Serie!N52</f>
        <v>1.0081764149920407</v>
      </c>
      <c r="L357" s="27">
        <f>Serie!O52</f>
        <v>-0.12028639618138426</v>
      </c>
    </row>
    <row r="358" spans="1:12" x14ac:dyDescent="0.3">
      <c r="A358" s="15">
        <f>Serie!A53</f>
        <v>46288</v>
      </c>
      <c r="B358" s="11" t="str">
        <f>Serie!B53</f>
        <v>Secundario</v>
      </c>
      <c r="C358" s="17">
        <f>Serie!D53</f>
        <v>13563.75</v>
      </c>
      <c r="D358" s="17">
        <f>Serie!E53</f>
        <v>0</v>
      </c>
      <c r="E358" s="17">
        <f>Serie!F53</f>
        <v>0</v>
      </c>
      <c r="F358" s="17">
        <f>Serie!G53</f>
        <v>0</v>
      </c>
      <c r="G358" s="17">
        <f>Serie!H53</f>
        <v>0</v>
      </c>
      <c r="H358" s="27">
        <f>Serie!K53</f>
        <v>-1.8719479110146486E-2</v>
      </c>
      <c r="I358" s="26">
        <f>Serie!L53</f>
        <v>-1.8719479110146486</v>
      </c>
      <c r="J358" s="27">
        <f>Serie!M53</f>
        <v>0.87030407948119604</v>
      </c>
      <c r="K358" s="27">
        <f>Serie!N53</f>
        <v>1.0081764149920407</v>
      </c>
      <c r="L358" s="27">
        <f>Serie!O53</f>
        <v>-0.13675417661097844</v>
      </c>
    </row>
    <row r="359" spans="1:12" x14ac:dyDescent="0.3">
      <c r="A359" s="15">
        <f>Serie!A54</f>
        <v>46289</v>
      </c>
      <c r="B359" s="11" t="str">
        <f>Serie!B54</f>
        <v>Secundario</v>
      </c>
      <c r="C359" s="17">
        <f>Serie!D54</f>
        <v>13920</v>
      </c>
      <c r="D359" s="17">
        <f>Serie!E54</f>
        <v>0</v>
      </c>
      <c r="E359" s="17">
        <f>Serie!F54</f>
        <v>0</v>
      </c>
      <c r="F359" s="17">
        <f>Serie!G54</f>
        <v>0</v>
      </c>
      <c r="G359" s="17">
        <f>Serie!H54</f>
        <v>0</v>
      </c>
      <c r="H359" s="27">
        <f>Serie!K54</f>
        <v>2.6264860381531641E-2</v>
      </c>
      <c r="I359" s="26">
        <f>Serie!L54</f>
        <v>2.6264860381531641</v>
      </c>
      <c r="J359" s="27">
        <f>Serie!M54</f>
        <v>0.89316249461824704</v>
      </c>
      <c r="K359" s="27">
        <f>Serie!N54</f>
        <v>1.0081764149920407</v>
      </c>
      <c r="L359" s="27">
        <f>Serie!O54</f>
        <v>-0.11408114558472549</v>
      </c>
    </row>
    <row r="360" spans="1:12" x14ac:dyDescent="0.3">
      <c r="A360" s="15">
        <f>Serie!A55</f>
        <v>46290</v>
      </c>
      <c r="B360" s="11" t="str">
        <f>Serie!B55</f>
        <v>Secundario</v>
      </c>
      <c r="C360" s="17">
        <f>Serie!D55</f>
        <v>14422.5</v>
      </c>
      <c r="D360" s="17">
        <f>Serie!E55</f>
        <v>0</v>
      </c>
      <c r="E360" s="17">
        <f>Serie!F55</f>
        <v>0</v>
      </c>
      <c r="F360" s="17">
        <f>Serie!G55</f>
        <v>0</v>
      </c>
      <c r="G360" s="17">
        <f>Serie!H55</f>
        <v>0</v>
      </c>
      <c r="H360" s="27">
        <f>Serie!K55</f>
        <v>3.6099137931034475E-2</v>
      </c>
      <c r="I360" s="26">
        <f>Serie!L55</f>
        <v>3.6099137931034475</v>
      </c>
      <c r="J360" s="27">
        <f>Serie!M55</f>
        <v>0.92540489070629794</v>
      </c>
      <c r="K360" s="27">
        <f>Serie!N55</f>
        <v>1.0081764149920407</v>
      </c>
      <c r="L360" s="27">
        <f>Serie!O55</f>
        <v>-8.2100238663484482E-2</v>
      </c>
    </row>
    <row r="361" spans="1:12" x14ac:dyDescent="0.3">
      <c r="A361" s="15">
        <f>Serie!A56</f>
        <v>46291</v>
      </c>
      <c r="B361" s="11" t="str">
        <f>Serie!B56</f>
        <v>Secundario</v>
      </c>
      <c r="C361" s="17">
        <f>Serie!D56</f>
        <v>14422.5</v>
      </c>
      <c r="D361" s="17">
        <f>Serie!E56</f>
        <v>0</v>
      </c>
      <c r="E361" s="17">
        <f>Serie!F56</f>
        <v>0</v>
      </c>
      <c r="F361" s="17">
        <f>Serie!G56</f>
        <v>0</v>
      </c>
      <c r="G361" s="17">
        <f>Serie!H56</f>
        <v>0</v>
      </c>
      <c r="H361" s="27">
        <f>Serie!K56</f>
        <v>0</v>
      </c>
      <c r="I361" s="26">
        <f>Serie!L56</f>
        <v>0</v>
      </c>
      <c r="J361" s="27">
        <f>Serie!M56</f>
        <v>0.92540489070629794</v>
      </c>
      <c r="K361" s="27">
        <f>Serie!N56</f>
        <v>1.0081764149920407</v>
      </c>
      <c r="L361" s="27">
        <f>Serie!O56</f>
        <v>-8.2100238663484482E-2</v>
      </c>
    </row>
    <row r="362" spans="1:12" x14ac:dyDescent="0.3">
      <c r="A362" s="15">
        <f>Serie!A57</f>
        <v>46292</v>
      </c>
      <c r="B362" s="11" t="str">
        <f>Serie!B57</f>
        <v>Secundario</v>
      </c>
      <c r="C362" s="17">
        <f>Serie!D57</f>
        <v>14422.5</v>
      </c>
      <c r="D362" s="17">
        <f>Serie!E57</f>
        <v>0</v>
      </c>
      <c r="E362" s="17">
        <f>Serie!F57</f>
        <v>0</v>
      </c>
      <c r="F362" s="17">
        <f>Serie!G57</f>
        <v>0</v>
      </c>
      <c r="G362" s="17">
        <f>Serie!H57</f>
        <v>0</v>
      </c>
      <c r="H362" s="27">
        <f>Serie!K57</f>
        <v>0</v>
      </c>
      <c r="I362" s="26">
        <f>Serie!L57</f>
        <v>0</v>
      </c>
      <c r="J362" s="27">
        <f>Serie!M57</f>
        <v>0.92540489070629794</v>
      </c>
      <c r="K362" s="27">
        <f>Serie!N57</f>
        <v>1.0081764149920407</v>
      </c>
      <c r="L362" s="27">
        <f>Serie!O57</f>
        <v>-8.2100238663484482E-2</v>
      </c>
    </row>
    <row r="363" spans="1:12" x14ac:dyDescent="0.3">
      <c r="A363" s="15">
        <f>Serie!A58</f>
        <v>46293</v>
      </c>
      <c r="B363" s="11" t="str">
        <f>Serie!B58</f>
        <v>Secundario</v>
      </c>
      <c r="C363" s="17">
        <f>Serie!D58</f>
        <v>14955</v>
      </c>
      <c r="D363" s="17">
        <f>Serie!E58</f>
        <v>0</v>
      </c>
      <c r="E363" s="17">
        <f>Serie!F58</f>
        <v>0</v>
      </c>
      <c r="F363" s="17">
        <f>Serie!G58</f>
        <v>0</v>
      </c>
      <c r="G363" s="17">
        <f>Serie!H58</f>
        <v>0</v>
      </c>
      <c r="H363" s="27">
        <f>Serie!K58</f>
        <v>3.6921476859074431E-2</v>
      </c>
      <c r="I363" s="26">
        <f>Serie!L58</f>
        <v>3.6921476859074431</v>
      </c>
      <c r="J363" s="27">
        <f>Serie!M58</f>
        <v>0.95957220596378479</v>
      </c>
      <c r="K363" s="27">
        <f>Serie!N58</f>
        <v>1.0081764149920407</v>
      </c>
      <c r="L363" s="27">
        <f>Serie!O58</f>
        <v>-4.8210023866348428E-2</v>
      </c>
    </row>
    <row r="364" spans="1:12" x14ac:dyDescent="0.3">
      <c r="A364" s="15">
        <f>Serie!A59</f>
        <v>46294</v>
      </c>
      <c r="B364" s="11" t="str">
        <f>Serie!B59</f>
        <v>Secundario</v>
      </c>
      <c r="C364" s="17">
        <f>Serie!D59</f>
        <v>15487.5</v>
      </c>
      <c r="D364" s="17">
        <f>Serie!E59</f>
        <v>0</v>
      </c>
      <c r="E364" s="17">
        <f>Serie!F59</f>
        <v>0</v>
      </c>
      <c r="F364" s="17">
        <f>Serie!G59</f>
        <v>0</v>
      </c>
      <c r="G364" s="17">
        <f>Serie!H59</f>
        <v>0</v>
      </c>
      <c r="H364" s="27">
        <f>Serie!K59</f>
        <v>3.5606820461384192E-2</v>
      </c>
      <c r="I364" s="26">
        <f>Serie!L59</f>
        <v>3.5606820461384192</v>
      </c>
      <c r="J364" s="27">
        <f>Serie!M59</f>
        <v>0.99373952122127163</v>
      </c>
      <c r="K364" s="27">
        <f>Serie!N59</f>
        <v>1.0081764149920407</v>
      </c>
      <c r="L364" s="27">
        <f>Serie!O59</f>
        <v>-1.4319809069212375E-2</v>
      </c>
    </row>
    <row r="365" spans="1:12" x14ac:dyDescent="0.3">
      <c r="A365" s="15">
        <f>Serie!A60</f>
        <v>46295</v>
      </c>
      <c r="B365" s="11" t="str">
        <f>Serie!B60</f>
        <v>Secundario</v>
      </c>
      <c r="C365" s="17">
        <f>Serie!D60</f>
        <v>16065</v>
      </c>
      <c r="D365" s="17">
        <f>Serie!E60</f>
        <v>0</v>
      </c>
      <c r="E365" s="17">
        <f>Serie!F60</f>
        <v>0</v>
      </c>
      <c r="F365" s="17">
        <f>Serie!G60</f>
        <v>0</v>
      </c>
      <c r="G365" s="17">
        <f>Serie!H60</f>
        <v>0</v>
      </c>
      <c r="H365" s="27">
        <f>Serie!K60</f>
        <v>3.7288135593220417E-2</v>
      </c>
      <c r="I365" s="26">
        <f>Serie!L60</f>
        <v>3.7288135593220417</v>
      </c>
      <c r="J365" s="27">
        <f>Serie!M60</f>
        <v>1.0307942152329124</v>
      </c>
      <c r="K365" s="27">
        <f>Serie!N60</f>
        <v>1.0307942152329124</v>
      </c>
      <c r="L365" s="27">
        <f>Serie!O60</f>
        <v>0</v>
      </c>
    </row>
    <row r="366" spans="1:12" x14ac:dyDescent="0.3">
      <c r="A366" s="15">
        <f>Serie!A61</f>
        <v>46296</v>
      </c>
      <c r="B366" s="11" t="str">
        <f>Serie!B61</f>
        <v>Secundario</v>
      </c>
      <c r="C366" s="17">
        <f>Serie!D61</f>
        <v>15802.5</v>
      </c>
      <c r="D366" s="17">
        <f>Serie!E61</f>
        <v>0</v>
      </c>
      <c r="E366" s="17">
        <f>Serie!F61</f>
        <v>0</v>
      </c>
      <c r="F366" s="17">
        <f>Serie!G61</f>
        <v>0</v>
      </c>
      <c r="G366" s="17">
        <f>Serie!H61</f>
        <v>0</v>
      </c>
      <c r="H366" s="27">
        <f>Serie!K61</f>
        <v>-1.6339869281045805E-2</v>
      </c>
      <c r="I366" s="26">
        <f>Serie!L61</f>
        <v>-1.6339869281045805</v>
      </c>
      <c r="J366" s="27">
        <f>Serie!M61</f>
        <v>1.0139511725003485</v>
      </c>
      <c r="K366" s="27">
        <f>Serie!N61</f>
        <v>1.0307942152329124</v>
      </c>
      <c r="L366" s="27">
        <f>Serie!O61</f>
        <v>-1.6339869281045694E-2</v>
      </c>
    </row>
    <row r="367" spans="1:12" x14ac:dyDescent="0.3">
      <c r="A367" s="15">
        <f>Serie!A62</f>
        <v>46297</v>
      </c>
      <c r="B367" s="11" t="str">
        <f>Serie!B62</f>
        <v>Secundario</v>
      </c>
      <c r="C367" s="17">
        <f>Serie!D62</f>
        <v>15585</v>
      </c>
      <c r="D367" s="17">
        <f>Serie!E62</f>
        <v>0</v>
      </c>
      <c r="E367" s="17">
        <f>Serie!F62</f>
        <v>0</v>
      </c>
      <c r="F367" s="17">
        <f>Serie!G62</f>
        <v>0</v>
      </c>
      <c r="G367" s="17">
        <f>Serie!H62</f>
        <v>0</v>
      </c>
      <c r="H367" s="27">
        <f>Serie!K62</f>
        <v>-1.3763644992880852E-2</v>
      </c>
      <c r="I367" s="26">
        <f>Serie!L62</f>
        <v>-1.3763644992880852</v>
      </c>
      <c r="J367" s="27">
        <f>Serie!M62</f>
        <v>0.99999550852193841</v>
      </c>
      <c r="K367" s="27">
        <f>Serie!N62</f>
        <v>1.0307942152329124</v>
      </c>
      <c r="L367" s="27">
        <f>Serie!O62</f>
        <v>-2.9878618113912125E-2</v>
      </c>
    </row>
    <row r="368" spans="1:12" x14ac:dyDescent="0.3">
      <c r="A368" s="15">
        <f>Serie!A63</f>
        <v>46298</v>
      </c>
      <c r="B368" s="11" t="str">
        <f>Serie!B63</f>
        <v>Secundario</v>
      </c>
      <c r="C368" s="17">
        <f>Serie!D63</f>
        <v>15585</v>
      </c>
      <c r="D368" s="17">
        <f>Serie!E63</f>
        <v>0</v>
      </c>
      <c r="E368" s="17">
        <f>Serie!F63</f>
        <v>0</v>
      </c>
      <c r="F368" s="17">
        <f>Serie!G63</f>
        <v>0</v>
      </c>
      <c r="G368" s="17">
        <f>Serie!H63</f>
        <v>0</v>
      </c>
      <c r="H368" s="27">
        <f>Serie!K63</f>
        <v>0</v>
      </c>
      <c r="I368" s="26">
        <f>Serie!L63</f>
        <v>0</v>
      </c>
      <c r="J368" s="27">
        <f>Serie!M63</f>
        <v>0.99999550852193841</v>
      </c>
      <c r="K368" s="27">
        <f>Serie!N63</f>
        <v>1.0307942152329124</v>
      </c>
      <c r="L368" s="27">
        <f>Serie!O63</f>
        <v>-2.9878618113912125E-2</v>
      </c>
    </row>
    <row r="369" spans="1:12" x14ac:dyDescent="0.3">
      <c r="A369" s="15">
        <f>Serie!A64</f>
        <v>46299</v>
      </c>
      <c r="B369" s="11" t="str">
        <f>Serie!B64</f>
        <v>Secundario</v>
      </c>
      <c r="C369" s="17">
        <f>Serie!D64</f>
        <v>15585</v>
      </c>
      <c r="D369" s="17">
        <f>Serie!E64</f>
        <v>0</v>
      </c>
      <c r="E369" s="17">
        <f>Serie!F64</f>
        <v>0</v>
      </c>
      <c r="F369" s="17">
        <f>Serie!G64</f>
        <v>0</v>
      </c>
      <c r="G369" s="17">
        <f>Serie!H64</f>
        <v>0</v>
      </c>
      <c r="H369" s="27">
        <f>Serie!K64</f>
        <v>0</v>
      </c>
      <c r="I369" s="26">
        <f>Serie!L64</f>
        <v>0</v>
      </c>
      <c r="J369" s="27">
        <f>Serie!M64</f>
        <v>0.99999550852193841</v>
      </c>
      <c r="K369" s="27">
        <f>Serie!N64</f>
        <v>1.0307942152329124</v>
      </c>
      <c r="L369" s="27">
        <f>Serie!O64</f>
        <v>-2.9878618113912125E-2</v>
      </c>
    </row>
    <row r="370" spans="1:12" x14ac:dyDescent="0.3">
      <c r="A370" s="15">
        <f>Serie!A65</f>
        <v>46300</v>
      </c>
      <c r="B370" s="11" t="str">
        <f>Serie!B65</f>
        <v>Secundario</v>
      </c>
      <c r="C370" s="17">
        <f>Serie!D65</f>
        <v>15247.5</v>
      </c>
      <c r="D370" s="17">
        <f>Serie!E65</f>
        <v>0</v>
      </c>
      <c r="E370" s="17">
        <f>Serie!F65</f>
        <v>0</v>
      </c>
      <c r="F370" s="17">
        <f>Serie!G65</f>
        <v>0</v>
      </c>
      <c r="G370" s="17">
        <f>Serie!H65</f>
        <v>0</v>
      </c>
      <c r="H370" s="27">
        <f>Serie!K65</f>
        <v>-2.1655437921077936E-2</v>
      </c>
      <c r="I370" s="26">
        <f>Serie!L65</f>
        <v>-2.1655437921077936</v>
      </c>
      <c r="J370" s="27">
        <f>Serie!M65</f>
        <v>0.97834016786578482</v>
      </c>
      <c r="K370" s="27">
        <f>Serie!N65</f>
        <v>1.0307942152329124</v>
      </c>
      <c r="L370" s="27">
        <f>Serie!O65</f>
        <v>-5.08870214752567E-2</v>
      </c>
    </row>
    <row r="371" spans="1:12" x14ac:dyDescent="0.3">
      <c r="A371" s="15">
        <f>Serie!A66</f>
        <v>46301</v>
      </c>
      <c r="B371" s="11" t="str">
        <f>Serie!B66</f>
        <v>Secundario</v>
      </c>
      <c r="C371" s="17">
        <f>Serie!D66</f>
        <v>15420</v>
      </c>
      <c r="D371" s="17">
        <f>Serie!E66</f>
        <v>0</v>
      </c>
      <c r="E371" s="17">
        <f>Serie!F66</f>
        <v>0</v>
      </c>
      <c r="F371" s="17">
        <f>Serie!G66</f>
        <v>0</v>
      </c>
      <c r="G371" s="17">
        <f>Serie!H66</f>
        <v>0</v>
      </c>
      <c r="H371" s="27">
        <f>Serie!K66</f>
        <v>1.1313330054107285E-2</v>
      </c>
      <c r="I371" s="26">
        <f>Serie!L66</f>
        <v>1.1313330054107285</v>
      </c>
      <c r="J371" s="27">
        <f>Serie!M66</f>
        <v>0.98940845309004122</v>
      </c>
      <c r="K371" s="27">
        <f>Serie!N66</f>
        <v>1.0307942152329124</v>
      </c>
      <c r="L371" s="27">
        <f>Serie!O66</f>
        <v>-4.0149393090569307E-2</v>
      </c>
    </row>
    <row r="372" spans="1:12" x14ac:dyDescent="0.3">
      <c r="A372" s="15">
        <f>Serie!A67</f>
        <v>46302</v>
      </c>
      <c r="B372" s="11" t="str">
        <f>Serie!B67</f>
        <v>Secundario</v>
      </c>
      <c r="C372" s="17">
        <f>Serie!D67</f>
        <v>15742.5</v>
      </c>
      <c r="D372" s="17">
        <f>Serie!E67</f>
        <v>0</v>
      </c>
      <c r="E372" s="17">
        <f>Serie!F67</f>
        <v>0</v>
      </c>
      <c r="F372" s="17">
        <f>Serie!G67</f>
        <v>0</v>
      </c>
      <c r="G372" s="17">
        <f>Serie!H67</f>
        <v>0</v>
      </c>
      <c r="H372" s="27">
        <f>Serie!K67</f>
        <v>2.0914396887159459E-2</v>
      </c>
      <c r="I372" s="26">
        <f>Serie!L67</f>
        <v>2.0914396887159459</v>
      </c>
      <c r="J372" s="27">
        <f>Serie!M67</f>
        <v>1.0101013341614768</v>
      </c>
      <c r="K372" s="27">
        <f>Serie!N67</f>
        <v>1.0307942152329124</v>
      </c>
      <c r="L372" s="27">
        <f>Serie!O67</f>
        <v>-2.0074696545284598E-2</v>
      </c>
    </row>
    <row r="373" spans="1:12" x14ac:dyDescent="0.3">
      <c r="A373" s="15">
        <f>Serie!A68</f>
        <v>46303</v>
      </c>
      <c r="B373" s="11" t="str">
        <f>Serie!B68</f>
        <v>Secundario</v>
      </c>
      <c r="C373" s="17">
        <f>Serie!D68</f>
        <v>16110</v>
      </c>
      <c r="D373" s="17">
        <f>Serie!E68</f>
        <v>0</v>
      </c>
      <c r="E373" s="17">
        <f>Serie!F68</f>
        <v>0</v>
      </c>
      <c r="F373" s="17">
        <f>Serie!G68</f>
        <v>0</v>
      </c>
      <c r="G373" s="17">
        <f>Serie!H68</f>
        <v>0</v>
      </c>
      <c r="H373" s="27">
        <f>Serie!K68</f>
        <v>2.3344449737970452E-2</v>
      </c>
      <c r="I373" s="26">
        <f>Serie!L68</f>
        <v>2.3344449737970452</v>
      </c>
      <c r="J373" s="27">
        <f>Serie!M68</f>
        <v>1.0336815939870663</v>
      </c>
      <c r="K373" s="27">
        <f>Serie!N68</f>
        <v>1.0336815939870663</v>
      </c>
      <c r="L373" s="27">
        <f>Serie!O68</f>
        <v>0</v>
      </c>
    </row>
    <row r="374" spans="1:12" x14ac:dyDescent="0.3">
      <c r="A374" s="15">
        <f>Serie!A69</f>
        <v>46304</v>
      </c>
      <c r="B374" s="11" t="str">
        <f>Serie!B69</f>
        <v>Secundario</v>
      </c>
      <c r="C374" s="17">
        <f>Serie!D69</f>
        <v>16372.5</v>
      </c>
      <c r="D374" s="17">
        <f>Serie!E69</f>
        <v>0</v>
      </c>
      <c r="E374" s="17">
        <f>Serie!F69</f>
        <v>0</v>
      </c>
      <c r="F374" s="17">
        <f>Serie!G69</f>
        <v>0</v>
      </c>
      <c r="G374" s="17">
        <f>Serie!H69</f>
        <v>0</v>
      </c>
      <c r="H374" s="27">
        <f>Serie!K69</f>
        <v>1.6294227188081933E-2</v>
      </c>
      <c r="I374" s="26">
        <f>Serie!L69</f>
        <v>1.6294227188081933</v>
      </c>
      <c r="J374" s="27">
        <f>Serie!M69</f>
        <v>1.0505246367196301</v>
      </c>
      <c r="K374" s="27">
        <f>Serie!N69</f>
        <v>1.0505246367196301</v>
      </c>
      <c r="L374" s="27">
        <f>Serie!O69</f>
        <v>0</v>
      </c>
    </row>
    <row r="375" spans="1:12" x14ac:dyDescent="0.3">
      <c r="A375" s="15">
        <f>Serie!A70</f>
        <v>46305</v>
      </c>
      <c r="B375" s="11" t="str">
        <f>Serie!B70</f>
        <v>Secundario</v>
      </c>
      <c r="C375" s="17">
        <f>Serie!D70</f>
        <v>16372.5</v>
      </c>
      <c r="D375" s="17">
        <f>Serie!E70</f>
        <v>0</v>
      </c>
      <c r="E375" s="17">
        <f>Serie!F70</f>
        <v>0</v>
      </c>
      <c r="F375" s="17">
        <f>Serie!G70</f>
        <v>0</v>
      </c>
      <c r="G375" s="17">
        <f>Serie!H70</f>
        <v>0</v>
      </c>
      <c r="H375" s="27">
        <f>Serie!K70</f>
        <v>0</v>
      </c>
      <c r="I375" s="26">
        <f>Serie!L70</f>
        <v>0</v>
      </c>
      <c r="J375" s="27">
        <f>Serie!M70</f>
        <v>1.0505246367196301</v>
      </c>
      <c r="K375" s="27">
        <f>Serie!N70</f>
        <v>1.0505246367196301</v>
      </c>
      <c r="L375" s="27">
        <f>Serie!O70</f>
        <v>0</v>
      </c>
    </row>
    <row r="376" spans="1:12" x14ac:dyDescent="0.3">
      <c r="A376" s="15">
        <f>Serie!A71</f>
        <v>46306</v>
      </c>
      <c r="B376" s="11" t="str">
        <f>Serie!B71</f>
        <v>Secundario</v>
      </c>
      <c r="C376" s="17">
        <f>Serie!D71</f>
        <v>16372.5</v>
      </c>
      <c r="D376" s="17">
        <f>Serie!E71</f>
        <v>0</v>
      </c>
      <c r="E376" s="17">
        <f>Serie!F71</f>
        <v>0</v>
      </c>
      <c r="F376" s="17">
        <f>Serie!G71</f>
        <v>0</v>
      </c>
      <c r="G376" s="17">
        <f>Serie!H71</f>
        <v>0</v>
      </c>
      <c r="H376" s="27">
        <f>Serie!K71</f>
        <v>0</v>
      </c>
      <c r="I376" s="26">
        <f>Serie!L71</f>
        <v>0</v>
      </c>
      <c r="J376" s="27">
        <f>Serie!M71</f>
        <v>1.0505246367196301</v>
      </c>
      <c r="K376" s="27">
        <f>Serie!N71</f>
        <v>1.0505246367196301</v>
      </c>
      <c r="L376" s="27">
        <f>Serie!O71</f>
        <v>0</v>
      </c>
    </row>
    <row r="377" spans="1:12" x14ac:dyDescent="0.3">
      <c r="A377" s="15">
        <f>Serie!A72</f>
        <v>46307</v>
      </c>
      <c r="B377" s="11" t="str">
        <f>Serie!B72</f>
        <v>Secundario</v>
      </c>
      <c r="C377" s="17">
        <f>Serie!D72</f>
        <v>16545</v>
      </c>
      <c r="D377" s="17">
        <f>Serie!E72</f>
        <v>0</v>
      </c>
      <c r="E377" s="17">
        <f>Serie!F72</f>
        <v>0</v>
      </c>
      <c r="F377" s="17">
        <f>Serie!G72</f>
        <v>0</v>
      </c>
      <c r="G377" s="17">
        <f>Serie!H72</f>
        <v>0</v>
      </c>
      <c r="H377" s="27">
        <f>Serie!K72</f>
        <v>1.0535959688501961E-2</v>
      </c>
      <c r="I377" s="26">
        <f>Serie!L72</f>
        <v>1.0535959688501961</v>
      </c>
      <c r="J377" s="27">
        <f>Serie!M72</f>
        <v>1.0615929219438864</v>
      </c>
      <c r="K377" s="27">
        <f>Serie!N72</f>
        <v>1.0615929219438864</v>
      </c>
      <c r="L377" s="27">
        <f>Serie!O72</f>
        <v>0</v>
      </c>
    </row>
    <row r="378" spans="1:12" x14ac:dyDescent="0.3">
      <c r="A378" s="15">
        <f>Serie!A73</f>
        <v>46308</v>
      </c>
      <c r="B378" s="11" t="str">
        <f>Serie!B73</f>
        <v>Secundario</v>
      </c>
      <c r="C378" s="17">
        <f>Serie!D73</f>
        <v>16380</v>
      </c>
      <c r="D378" s="17">
        <f>Serie!E73</f>
        <v>0</v>
      </c>
      <c r="E378" s="17">
        <f>Serie!F73</f>
        <v>0</v>
      </c>
      <c r="F378" s="17">
        <f>Serie!G73</f>
        <v>0</v>
      </c>
      <c r="G378" s="17">
        <f>Serie!H73</f>
        <v>0</v>
      </c>
      <c r="H378" s="27">
        <f>Serie!K73</f>
        <v>-9.9728014505893192E-3</v>
      </c>
      <c r="I378" s="26">
        <f>Serie!L73</f>
        <v>-0.99728014505893192</v>
      </c>
      <c r="J378" s="27">
        <f>Serie!M73</f>
        <v>1.051005866511989</v>
      </c>
      <c r="K378" s="27">
        <f>Serie!N73</f>
        <v>1.0615929219438864</v>
      </c>
      <c r="L378" s="27">
        <f>Serie!O73</f>
        <v>-9.9728014505894302E-3</v>
      </c>
    </row>
    <row r="379" spans="1:12" x14ac:dyDescent="0.3">
      <c r="A379" s="15">
        <f>Serie!A74</f>
        <v>46309</v>
      </c>
      <c r="B379" s="11" t="str">
        <f>Serie!B74</f>
        <v>Secundario</v>
      </c>
      <c r="C379" s="17">
        <f>Serie!D74</f>
        <v>16657.5</v>
      </c>
      <c r="D379" s="17">
        <f>Serie!E74</f>
        <v>0</v>
      </c>
      <c r="E379" s="17">
        <f>Serie!F74</f>
        <v>0</v>
      </c>
      <c r="F379" s="17">
        <f>Serie!G74</f>
        <v>0</v>
      </c>
      <c r="G379" s="17">
        <f>Serie!H74</f>
        <v>0</v>
      </c>
      <c r="H379" s="27">
        <f>Serie!K74</f>
        <v>1.6941391941391881E-2</v>
      </c>
      <c r="I379" s="26">
        <f>Serie!L74</f>
        <v>1.6941391941391881</v>
      </c>
      <c r="J379" s="27">
        <f>Serie!M74</f>
        <v>1.0688113688292709</v>
      </c>
      <c r="K379" s="27">
        <f>Serie!N74</f>
        <v>1.0688113688292709</v>
      </c>
      <c r="L379" s="27">
        <f>Serie!O74</f>
        <v>0</v>
      </c>
    </row>
    <row r="381" spans="1:12" x14ac:dyDescent="0.3">
      <c r="A381" s="7" t="s">
        <v>575</v>
      </c>
    </row>
    <row r="382" spans="1:12" x14ac:dyDescent="0.3">
      <c r="A382" s="8" t="s">
        <v>88</v>
      </c>
      <c r="B382" s="8" t="s">
        <v>177</v>
      </c>
      <c r="C382" s="8" t="s">
        <v>570</v>
      </c>
      <c r="D382" s="8" t="s">
        <v>572</v>
      </c>
      <c r="E382" s="8" t="s">
        <v>573</v>
      </c>
      <c r="F382" s="8" t="s">
        <v>574</v>
      </c>
    </row>
    <row r="383" spans="1:12" x14ac:dyDescent="0.3">
      <c r="A383" s="11" t="str">
        <f>Periodos!$A$5</f>
        <v>P1-A</v>
      </c>
      <c r="B383" s="15">
        <f>Periodos!A15</f>
        <v>46276</v>
      </c>
      <c r="C383" s="27">
        <f>Periodos!B15</f>
        <v>6.1770279548112317E-3</v>
      </c>
      <c r="D383" s="27">
        <f>Periodos!D15</f>
        <v>1.0061770279548112</v>
      </c>
      <c r="E383" s="27">
        <f>Periodos!E15</f>
        <v>1.0061770279548112</v>
      </c>
      <c r="F383" s="27">
        <f>Periodos!F15</f>
        <v>0</v>
      </c>
    </row>
    <row r="384" spans="1:12" x14ac:dyDescent="0.3">
      <c r="A384" s="11" t="str">
        <f>Periodos!$A$5</f>
        <v>P1-A</v>
      </c>
      <c r="B384" s="15">
        <f>Periodos!A16</f>
        <v>46277</v>
      </c>
      <c r="C384" s="27">
        <f>Periodos!B16</f>
        <v>7.1293154754403787E-5</v>
      </c>
      <c r="D384" s="27">
        <f>Periodos!D16</f>
        <v>1.0062487614893756</v>
      </c>
      <c r="E384" s="27">
        <f>Periodos!E16</f>
        <v>1.0062487614893756</v>
      </c>
      <c r="F384" s="27">
        <f>Periodos!F16</f>
        <v>0</v>
      </c>
    </row>
    <row r="385" spans="1:6" x14ac:dyDescent="0.3">
      <c r="A385" s="11" t="str">
        <f>Periodos!$A$5</f>
        <v>P1-A</v>
      </c>
      <c r="B385" s="15">
        <f>Periodos!A17</f>
        <v>46278</v>
      </c>
      <c r="C385" s="27">
        <f>Periodos!B17</f>
        <v>7.131708161711714E-5</v>
      </c>
      <c r="D385" s="27">
        <f>Periodos!D17</f>
        <v>1.0063205242144257</v>
      </c>
      <c r="E385" s="27">
        <f>Periodos!E17</f>
        <v>1.0063205242144257</v>
      </c>
      <c r="F385" s="27">
        <f>Periodos!F17</f>
        <v>0</v>
      </c>
    </row>
    <row r="386" spans="1:6" x14ac:dyDescent="0.3">
      <c r="A386" s="11" t="str">
        <f>Periodos!$A$5</f>
        <v>P1-A</v>
      </c>
      <c r="B386" s="15">
        <f>Periodos!A18</f>
        <v>46279</v>
      </c>
      <c r="C386" s="27">
        <f>Periodos!B18</f>
        <v>6.3167450362364708E-3</v>
      </c>
      <c r="D386" s="27">
        <f>Periodos!D18</f>
        <v>1.0126771943906201</v>
      </c>
      <c r="E386" s="27">
        <f>Periodos!E18</f>
        <v>1.0126771943906201</v>
      </c>
      <c r="F386" s="27">
        <f>Periodos!F18</f>
        <v>0</v>
      </c>
    </row>
    <row r="387" spans="1:6" x14ac:dyDescent="0.3">
      <c r="A387" s="11" t="str">
        <f>Periodos!$A$5</f>
        <v>P1-A</v>
      </c>
      <c r="B387" s="15">
        <f>Periodos!A19</f>
        <v>46280</v>
      </c>
      <c r="C387" s="27">
        <f>Periodos!B19</f>
        <v>7.3303237499160456E-3</v>
      </c>
      <c r="D387" s="27">
        <f>Periodos!D19</f>
        <v>1.0201004460796601</v>
      </c>
      <c r="E387" s="27">
        <f>Periodos!E19</f>
        <v>1.0201004460796601</v>
      </c>
      <c r="F387" s="27">
        <f>Periodos!F19</f>
        <v>0</v>
      </c>
    </row>
    <row r="388" spans="1:6" x14ac:dyDescent="0.3">
      <c r="A388" s="11" t="str">
        <f>Periodos!$A$5</f>
        <v>P1-A</v>
      </c>
      <c r="B388" s="15">
        <f>Periodos!A20</f>
        <v>46281</v>
      </c>
      <c r="C388" s="27">
        <f>Periodos!B20</f>
        <v>6.0115103777569345E-5</v>
      </c>
      <c r="D388" s="27">
        <f>Periodos!D20</f>
        <v>1.0201617695238396</v>
      </c>
      <c r="E388" s="27">
        <f>Periodos!E20</f>
        <v>1.0201617695238396</v>
      </c>
      <c r="F388" s="27">
        <f>Periodos!F20</f>
        <v>0</v>
      </c>
    </row>
    <row r="389" spans="1:6" x14ac:dyDescent="0.3">
      <c r="A389" s="11" t="str">
        <f>Periodos!$A$5</f>
        <v>P1-A</v>
      </c>
      <c r="B389" s="15">
        <f>Periodos!A21</f>
        <v>46282</v>
      </c>
      <c r="C389" s="27">
        <f>Periodos!B21</f>
        <v>-1.2115849080504115E-2</v>
      </c>
      <c r="D389" s="27">
        <f>Periodos!D21</f>
        <v>1.0078016434865888</v>
      </c>
      <c r="E389" s="27">
        <f>Periodos!E21</f>
        <v>1.0201617695238396</v>
      </c>
      <c r="F389" s="27">
        <f>Periodos!F21</f>
        <v>-1.2115849080504004E-2</v>
      </c>
    </row>
    <row r="390" spans="1:6" x14ac:dyDescent="0.3">
      <c r="A390" s="11" t="str">
        <f>Periodos!$A$5</f>
        <v>P1-A</v>
      </c>
      <c r="B390" s="15">
        <f>Periodos!A22</f>
        <v>46283</v>
      </c>
      <c r="C390" s="27">
        <f>Periodos!B22</f>
        <v>-1.6769313122455998E-2</v>
      </c>
      <c r="D390" s="27">
        <f>Periodos!D22</f>
        <v>0.99090150216163653</v>
      </c>
      <c r="E390" s="27">
        <f>Periodos!E22</f>
        <v>1.0201617695238396</v>
      </c>
      <c r="F390" s="27">
        <f>Periodos!F22</f>
        <v>-2.8681987735984626E-2</v>
      </c>
    </row>
    <row r="391" spans="1:6" x14ac:dyDescent="0.3">
      <c r="A391" s="11" t="str">
        <f>Periodos!$A$5</f>
        <v>P1-A</v>
      </c>
      <c r="B391" s="15">
        <f>Periodos!A23</f>
        <v>46284</v>
      </c>
      <c r="C391" s="27">
        <f>Periodos!B23</f>
        <v>8.602770223364864E-5</v>
      </c>
      <c r="D391" s="27">
        <f>Periodos!D23</f>
        <v>0.99098674714100732</v>
      </c>
      <c r="E391" s="27">
        <f>Periodos!E23</f>
        <v>1.0201617695238396</v>
      </c>
      <c r="F391" s="27">
        <f>Periodos!F23</f>
        <v>-2.8598427479251454E-2</v>
      </c>
    </row>
    <row r="392" spans="1:6" x14ac:dyDescent="0.3">
      <c r="A392" s="11" t="str">
        <f>Periodos!$A$5</f>
        <v>P1-A</v>
      </c>
      <c r="B392" s="15">
        <f>Periodos!A24</f>
        <v>46285</v>
      </c>
      <c r="C392" s="27">
        <f>Periodos!B24</f>
        <v>8.6004199911116075E-5</v>
      </c>
      <c r="D392" s="27">
        <f>Periodos!D24</f>
        <v>0.99107197616331766</v>
      </c>
      <c r="E392" s="27">
        <f>Periodos!E24</f>
        <v>1.0201617695238396</v>
      </c>
      <c r="F392" s="27">
        <f>Periodos!F24</f>
        <v>-2.8514882864214441E-2</v>
      </c>
    </row>
    <row r="393" spans="1:6" x14ac:dyDescent="0.3">
      <c r="A393" s="11" t="str">
        <f>Periodos!$A$5</f>
        <v>P1-A</v>
      </c>
      <c r="B393" s="15">
        <f>Periodos!A25</f>
        <v>46286</v>
      </c>
      <c r="C393" s="27">
        <f>Periodos!B25</f>
        <v>-1.6635011920466236E-2</v>
      </c>
      <c r="D393" s="27">
        <f>Periodos!D25</f>
        <v>0.97458548202580086</v>
      </c>
      <c r="E393" s="27">
        <f>Periodos!E25</f>
        <v>1.0201617695238396</v>
      </c>
      <c r="F393" s="27">
        <f>Periodos!F25</f>
        <v>-4.4675549368323741E-2</v>
      </c>
    </row>
    <row r="394" spans="1:6" x14ac:dyDescent="0.3">
      <c r="A394" s="11" t="str">
        <f>Periodos!$A$5</f>
        <v>P1-A</v>
      </c>
      <c r="B394" s="15">
        <f>Periodos!A26</f>
        <v>46287</v>
      </c>
      <c r="C394" s="27">
        <f>Periodos!B26</f>
        <v>-1.5193249037072531E-2</v>
      </c>
      <c r="D394" s="27">
        <f>Periodos!D26</f>
        <v>0.95977836208946754</v>
      </c>
      <c r="E394" s="27">
        <f>Periodos!E26</f>
        <v>1.0201617695238396</v>
      </c>
      <c r="F394" s="27">
        <f>Periodos!F26</f>
        <v>-5.9190031657975206E-2</v>
      </c>
    </row>
    <row r="395" spans="1:6" x14ac:dyDescent="0.3">
      <c r="A395" s="11" t="str">
        <f>Periodos!$A$5</f>
        <v>P1-A</v>
      </c>
      <c r="B395" s="15">
        <f>Periodos!A27</f>
        <v>46288</v>
      </c>
      <c r="C395" s="27">
        <f>Periodos!B27</f>
        <v>-8.0938137408352873E-3</v>
      </c>
      <c r="D395" s="27">
        <f>Periodos!D27</f>
        <v>0.95201009479423138</v>
      </c>
      <c r="E395" s="27">
        <f>Periodos!E27</f>
        <v>1.0201617695238396</v>
      </c>
      <c r="F395" s="27">
        <f>Periodos!F27</f>
        <v>-6.6804772307256788E-2</v>
      </c>
    </row>
    <row r="396" spans="1:6" x14ac:dyDescent="0.3">
      <c r="A396" s="11" t="str">
        <f>Periodos!$A$5</f>
        <v>P1-A</v>
      </c>
      <c r="B396" s="15">
        <f>Periodos!A28</f>
        <v>46289</v>
      </c>
      <c r="C396" s="27">
        <f>Periodos!B28</f>
        <v>1.1206198265381939E-2</v>
      </c>
      <c r="D396" s="27">
        <f>Periodos!D28</f>
        <v>0.96267850866714055</v>
      </c>
      <c r="E396" s="27">
        <f>Periodos!E28</f>
        <v>1.0201617695238396</v>
      </c>
      <c r="F396" s="27">
        <f>Periodos!F28</f>
        <v>-5.6347201565423721E-2</v>
      </c>
    </row>
    <row r="397" spans="1:6" x14ac:dyDescent="0.3">
      <c r="A397" s="11" t="str">
        <f>Periodos!$A$5</f>
        <v>P1-A</v>
      </c>
      <c r="B397" s="15">
        <f>Periodos!A29</f>
        <v>46290</v>
      </c>
      <c r="C397" s="27">
        <f>Periodos!B29</f>
        <v>1.4851319032215482E-2</v>
      </c>
      <c r="D397" s="27">
        <f>Periodos!D29</f>
        <v>0.97697555432481364</v>
      </c>
      <c r="E397" s="27">
        <f>Periodos!E29</f>
        <v>1.0201617695238396</v>
      </c>
      <c r="F397" s="27">
        <f>Periodos!F29</f>
        <v>-4.2332712800228878E-2</v>
      </c>
    </row>
    <row r="398" spans="1:6" x14ac:dyDescent="0.3">
      <c r="A398" s="11" t="str">
        <f>Periodos!$A$5</f>
        <v>P1-A</v>
      </c>
      <c r="B398" s="15">
        <f>Periodos!A30</f>
        <v>46291</v>
      </c>
      <c r="C398" s="27">
        <f>Periodos!B30</f>
        <v>1.0160139909576316E-4</v>
      </c>
      <c r="D398" s="27">
        <f>Periodos!D30</f>
        <v>0.97707481640801541</v>
      </c>
      <c r="E398" s="27">
        <f>Periodos!E30</f>
        <v>1.0201617695238396</v>
      </c>
      <c r="F398" s="27">
        <f>Periodos!F30</f>
        <v>-4.2235412463981103E-2</v>
      </c>
    </row>
    <row r="399" spans="1:6" x14ac:dyDescent="0.3">
      <c r="A399" s="11" t="str">
        <f>Periodos!$A$5</f>
        <v>P1-A</v>
      </c>
      <c r="B399" s="15">
        <f>Periodos!A31</f>
        <v>46292</v>
      </c>
      <c r="C399" s="27">
        <f>Periodos!B31</f>
        <v>1.0156480233836085E-4</v>
      </c>
      <c r="D399" s="27">
        <f>Periodos!D31</f>
        <v>0.97717405281861369</v>
      </c>
      <c r="E399" s="27">
        <f>Periodos!E31</f>
        <v>1.0201617695238396</v>
      </c>
      <c r="F399" s="27">
        <f>Periodos!F31</f>
        <v>-4.2138137292961342E-2</v>
      </c>
    </row>
    <row r="400" spans="1:6" x14ac:dyDescent="0.3">
      <c r="A400" s="11" t="str">
        <f>Periodos!$A$5</f>
        <v>P1-A</v>
      </c>
      <c r="B400" s="15">
        <f>Periodos!A32</f>
        <v>46293</v>
      </c>
      <c r="C400" s="27">
        <f>Periodos!B32</f>
        <v>1.5879098850227535E-2</v>
      </c>
      <c r="D400" s="27">
        <f>Periodos!D32</f>
        <v>0.99269069619719796</v>
      </c>
      <c r="E400" s="27">
        <f>Periodos!E32</f>
        <v>1.0201617695238396</v>
      </c>
      <c r="F400" s="27">
        <f>Periodos!F32</f>
        <v>-2.6928154090173129E-2</v>
      </c>
    </row>
    <row r="401" spans="1:6" x14ac:dyDescent="0.3">
      <c r="A401" s="11" t="str">
        <f>Periodos!$A$5</f>
        <v>P1-A</v>
      </c>
      <c r="B401" s="15">
        <f>Periodos!A33</f>
        <v>46294</v>
      </c>
      <c r="C401" s="27">
        <f>Periodos!B33</f>
        <v>1.5636455284405271E-2</v>
      </c>
      <c r="D401" s="27">
        <f>Periodos!D33</f>
        <v>1.0082128598795306</v>
      </c>
      <c r="E401" s="27">
        <f>Periodos!E33</f>
        <v>1.0201617695238396</v>
      </c>
      <c r="F401" s="27">
        <f>Periodos!F33</f>
        <v>-1.171275968309049E-2</v>
      </c>
    </row>
    <row r="402" spans="1:6" x14ac:dyDescent="0.3">
      <c r="A402" s="11" t="str">
        <f>Periodos!$A$5</f>
        <v>P1-A</v>
      </c>
      <c r="B402" s="15">
        <f>Periodos!A34</f>
        <v>46295</v>
      </c>
      <c r="C402" s="27">
        <f>Periodos!B34</f>
        <v>1.6695018056636091E-2</v>
      </c>
      <c r="D402" s="27">
        <f>Periodos!D34</f>
        <v>1.0250449917801521</v>
      </c>
      <c r="E402" s="27">
        <f>Periodos!E34</f>
        <v>1.0250449917801521</v>
      </c>
      <c r="F402" s="27">
        <f>Periodos!F34</f>
        <v>0</v>
      </c>
    </row>
    <row r="403" spans="1:6" x14ac:dyDescent="0.3">
      <c r="A403" s="11" t="str">
        <f>Periodos!$A$5</f>
        <v>P1-A</v>
      </c>
      <c r="B403" s="15">
        <f>Periodos!A35</f>
        <v>46296</v>
      </c>
      <c r="C403" s="27">
        <f>Periodos!B35</f>
        <v>-7.3298528784861983E-3</v>
      </c>
      <c r="D403" s="27">
        <f>Periodos!D35</f>
        <v>1.0175315627965744</v>
      </c>
      <c r="E403" s="27">
        <f>Periodos!E35</f>
        <v>1.0250449917801521</v>
      </c>
      <c r="F403" s="27">
        <f>Periodos!F35</f>
        <v>-7.3298528784861983E-3</v>
      </c>
    </row>
    <row r="404" spans="1:6" x14ac:dyDescent="0.3">
      <c r="A404" s="11" t="str">
        <f>Periodos!$A$5</f>
        <v>P1-A</v>
      </c>
      <c r="B404" s="15">
        <f>Periodos!A36</f>
        <v>46297</v>
      </c>
      <c r="C404" s="27">
        <f>Periodos!B36</f>
        <v>-6.5922835406752034E-3</v>
      </c>
      <c r="D404" s="27">
        <f>Periodos!D36</f>
        <v>1.010823706223033</v>
      </c>
      <c r="E404" s="27">
        <f>Periodos!E36</f>
        <v>1.0250449917801521</v>
      </c>
      <c r="F404" s="27">
        <f>Periodos!F36</f>
        <v>-1.387381595067505E-2</v>
      </c>
    </row>
    <row r="405" spans="1:6" x14ac:dyDescent="0.3">
      <c r="A405" s="11" t="str">
        <f>Periodos!$A$5</f>
        <v>P1-A</v>
      </c>
      <c r="B405" s="15">
        <f>Periodos!A37</f>
        <v>46298</v>
      </c>
      <c r="C405" s="27">
        <f>Periodos!B37</f>
        <v>1.0595175246264077E-4</v>
      </c>
      <c r="D405" s="27">
        <f>Periodos!D37</f>
        <v>1.0109308047661381</v>
      </c>
      <c r="E405" s="27">
        <f>Periodos!E37</f>
        <v>1.0250449917801521</v>
      </c>
      <c r="F405" s="27">
        <f>Periodos!F37</f>
        <v>-1.3769334153325818E-2</v>
      </c>
    </row>
    <row r="406" spans="1:6" x14ac:dyDescent="0.3">
      <c r="A406" s="11" t="str">
        <f>Periodos!$A$5</f>
        <v>P1-A</v>
      </c>
      <c r="B406" s="15">
        <f>Periodos!A38</f>
        <v>46299</v>
      </c>
      <c r="C406" s="27">
        <f>Periodos!B38</f>
        <v>1.0586834929982025E-4</v>
      </c>
      <c r="D406" s="27">
        <f>Periodos!D38</f>
        <v>1.0110378303416949</v>
      </c>
      <c r="E406" s="27">
        <f>Periodos!E38</f>
        <v>1.0250449917801521</v>
      </c>
      <c r="F406" s="27">
        <f>Periodos!F38</f>
        <v>-1.3664923540703811E-2</v>
      </c>
    </row>
    <row r="407" spans="1:6" x14ac:dyDescent="0.3">
      <c r="A407" s="11" t="str">
        <f>Periodos!$A$5</f>
        <v>P1-A</v>
      </c>
      <c r="B407" s="15">
        <f>Periodos!A39</f>
        <v>46300</v>
      </c>
      <c r="C407" s="27">
        <f>Periodos!B39</f>
        <v>-8.2582208125707712E-3</v>
      </c>
      <c r="D407" s="27">
        <f>Periodos!D39</f>
        <v>1.0026884566888707</v>
      </c>
      <c r="E407" s="27">
        <f>Periodos!E39</f>
        <v>1.0250449917801521</v>
      </c>
      <c r="F407" s="27">
        <f>Periodos!F39</f>
        <v>-2.1810296397288598E-2</v>
      </c>
    </row>
    <row r="408" spans="1:6" x14ac:dyDescent="0.3">
      <c r="A408" s="11" t="str">
        <f>Periodos!$A$5</f>
        <v>P1-A</v>
      </c>
      <c r="B408" s="15">
        <f>Periodos!A40</f>
        <v>46301</v>
      </c>
      <c r="C408" s="27">
        <f>Periodos!B40</f>
        <v>4.8091408359374199E-3</v>
      </c>
      <c r="D408" s="27">
        <f>Periodos!D40</f>
        <v>1.0075105266916562</v>
      </c>
      <c r="E408" s="27">
        <f>Periodos!E40</f>
        <v>1.0250449917801521</v>
      </c>
      <c r="F408" s="27">
        <f>Periodos!F40</f>
        <v>-1.7106044348399352E-2</v>
      </c>
    </row>
    <row r="409" spans="1:6" x14ac:dyDescent="0.3">
      <c r="A409" s="11" t="str">
        <f>Periodos!$A$5</f>
        <v>P1-A</v>
      </c>
      <c r="B409" s="15">
        <f>Periodos!A41</f>
        <v>46302</v>
      </c>
      <c r="C409" s="27">
        <f>Periodos!B41</f>
        <v>9.2940742153559963E-3</v>
      </c>
      <c r="D409" s="27">
        <f>Periodos!D41</f>
        <v>1.0168744042994808</v>
      </c>
      <c r="E409" s="27">
        <f>Periodos!E41</f>
        <v>1.0250449917801521</v>
      </c>
      <c r="F409" s="27">
        <f>Periodos!F41</f>
        <v>-7.9709549787485567E-3</v>
      </c>
    </row>
    <row r="410" spans="1:6" x14ac:dyDescent="0.3">
      <c r="A410" s="11" t="str">
        <f>Periodos!$A$5</f>
        <v>P1-A</v>
      </c>
      <c r="B410" s="15">
        <f>Periodos!A42</f>
        <v>46303</v>
      </c>
      <c r="C410" s="27">
        <f>Periodos!B42</f>
        <v>7.4775277767780146E-3</v>
      </c>
      <c r="D410" s="27">
        <f>Periodos!D42</f>
        <v>1.0244781109031249</v>
      </c>
      <c r="E410" s="27">
        <f>Periodos!E42</f>
        <v>1.0250449917801521</v>
      </c>
      <c r="F410" s="27">
        <f>Periodos!F42</f>
        <v>-5.5303023923147787E-4</v>
      </c>
    </row>
    <row r="411" spans="1:6" x14ac:dyDescent="0.3">
      <c r="A411" s="11" t="str">
        <f>Periodos!$A$5</f>
        <v>P1-A</v>
      </c>
      <c r="B411" s="15">
        <f>Periodos!A43</f>
        <v>46304</v>
      </c>
      <c r="C411" s="27">
        <f>Periodos!B43</f>
        <v>8.9369596153341391E-3</v>
      </c>
      <c r="D411" s="27">
        <f>Periodos!D43</f>
        <v>1.03363383040706</v>
      </c>
      <c r="E411" s="27">
        <f>Periodos!E43</f>
        <v>1.03363383040706</v>
      </c>
      <c r="F411" s="27">
        <f>Periodos!F43</f>
        <v>0</v>
      </c>
    </row>
    <row r="412" spans="1:6" x14ac:dyDescent="0.3">
      <c r="A412" s="11" t="str">
        <f>Periodos!$A$5</f>
        <v>P1-A</v>
      </c>
      <c r="B412" s="15">
        <f>Periodos!A44</f>
        <v>46305</v>
      </c>
      <c r="C412" s="27">
        <f>Periodos!B44</f>
        <v>7.8536272773099824E-5</v>
      </c>
      <c r="D412" s="27">
        <f>Periodos!D44</f>
        <v>1.0337150081555124</v>
      </c>
      <c r="E412" s="27">
        <f>Periodos!E44</f>
        <v>1.0337150081555124</v>
      </c>
      <c r="F412" s="27">
        <f>Periodos!F44</f>
        <v>0</v>
      </c>
    </row>
    <row r="413" spans="1:6" x14ac:dyDescent="0.3">
      <c r="A413" s="11" t="str">
        <f>Periodos!$A$5</f>
        <v>P1-A</v>
      </c>
      <c r="B413" s="15">
        <f>Periodos!A45</f>
        <v>46306</v>
      </c>
      <c r="C413" s="27">
        <f>Periodos!B45</f>
        <v>7.8451289928560541E-5</v>
      </c>
      <c r="D413" s="27">
        <f>Periodos!D45</f>
        <v>1.0337961044313206</v>
      </c>
      <c r="E413" s="27">
        <f>Periodos!E45</f>
        <v>1.0337961044313206</v>
      </c>
      <c r="F413" s="27">
        <f>Periodos!F45</f>
        <v>0</v>
      </c>
    </row>
    <row r="414" spans="1:6" x14ac:dyDescent="0.3">
      <c r="A414" s="11" t="str">
        <f>Periodos!$A$5</f>
        <v>P1-A</v>
      </c>
      <c r="B414" s="15">
        <f>Periodos!A46</f>
        <v>46307</v>
      </c>
      <c r="C414" s="27">
        <f>Periodos!B46</f>
        <v>5.8228708559371345E-3</v>
      </c>
      <c r="D414" s="27">
        <f>Periodos!D46</f>
        <v>1.0398157656387952</v>
      </c>
      <c r="E414" s="27">
        <f>Periodos!E46</f>
        <v>1.0398157656387952</v>
      </c>
      <c r="F414" s="27">
        <f>Periodos!F46</f>
        <v>0</v>
      </c>
    </row>
    <row r="415" spans="1:6" x14ac:dyDescent="0.3">
      <c r="A415" s="11" t="str">
        <f>Periodos!$A$5</f>
        <v>P1-A</v>
      </c>
      <c r="B415" s="15">
        <f>Periodos!A47</f>
        <v>46308</v>
      </c>
      <c r="C415" s="27">
        <f>Periodos!B47</f>
        <v>-5.1019777454953674E-3</v>
      </c>
      <c r="D415" s="27">
        <f>Periodos!D47</f>
        <v>1.0345106487430908</v>
      </c>
      <c r="E415" s="27">
        <f>Periodos!E47</f>
        <v>1.0398157656387952</v>
      </c>
      <c r="F415" s="27">
        <f>Periodos!F47</f>
        <v>-5.1019777454953674E-3</v>
      </c>
    </row>
    <row r="416" spans="1:6" x14ac:dyDescent="0.3">
      <c r="A416" s="11" t="str">
        <f>Periodos!$A$5</f>
        <v>P1-A</v>
      </c>
      <c r="B416" s="15">
        <f>Periodos!A48</f>
        <v>46309</v>
      </c>
      <c r="C416" s="27">
        <f>Periodos!B48</f>
        <v>9.1032753790420973E-3</v>
      </c>
      <c r="D416" s="27">
        <f>Periodos!D48</f>
        <v>1.0439280840611507</v>
      </c>
      <c r="E416" s="27">
        <f>Periodos!E48</f>
        <v>1.0439280840611507</v>
      </c>
      <c r="F416" s="27">
        <f>Periodos!F48</f>
        <v>0</v>
      </c>
    </row>
    <row r="417" spans="1:6" x14ac:dyDescent="0.3">
      <c r="A417" s="11" t="str">
        <f>Periodos!$A$6</f>
        <v>P1-B</v>
      </c>
      <c r="B417" s="15">
        <f>Periodos!A53</f>
        <v>46276</v>
      </c>
      <c r="C417" s="27">
        <f>Periodos!B53</f>
        <v>6.1770279548112317E-3</v>
      </c>
      <c r="D417" s="27">
        <f>Periodos!D53</f>
        <v>1.0061770279548112</v>
      </c>
      <c r="E417" s="27">
        <f>Periodos!E53</f>
        <v>1.0061770279548112</v>
      </c>
      <c r="F417" s="27">
        <f>Periodos!F53</f>
        <v>0</v>
      </c>
    </row>
    <row r="418" spans="1:6" x14ac:dyDescent="0.3">
      <c r="A418" s="11" t="str">
        <f>Periodos!$A$6</f>
        <v>P1-B</v>
      </c>
      <c r="B418" s="15">
        <f>Periodos!A54</f>
        <v>46277</v>
      </c>
      <c r="C418" s="27">
        <f>Periodos!B54</f>
        <v>7.1293154754403787E-5</v>
      </c>
      <c r="D418" s="27">
        <f>Periodos!D54</f>
        <v>1.0062487614893756</v>
      </c>
      <c r="E418" s="27">
        <f>Periodos!E54</f>
        <v>1.0062487614893756</v>
      </c>
      <c r="F418" s="27">
        <f>Periodos!F54</f>
        <v>0</v>
      </c>
    </row>
    <row r="419" spans="1:6" x14ac:dyDescent="0.3">
      <c r="A419" s="11" t="str">
        <f>Periodos!$A$6</f>
        <v>P1-B</v>
      </c>
      <c r="B419" s="15">
        <f>Periodos!A55</f>
        <v>46278</v>
      </c>
      <c r="C419" s="27">
        <f>Periodos!B55</f>
        <v>7.131708161711714E-5</v>
      </c>
      <c r="D419" s="27">
        <f>Periodos!D55</f>
        <v>1.0063205242144257</v>
      </c>
      <c r="E419" s="27">
        <f>Periodos!E55</f>
        <v>1.0063205242144257</v>
      </c>
      <c r="F419" s="27">
        <f>Periodos!F55</f>
        <v>0</v>
      </c>
    </row>
    <row r="420" spans="1:6" x14ac:dyDescent="0.3">
      <c r="A420" s="11" t="str">
        <f>Periodos!$A$6</f>
        <v>P1-B</v>
      </c>
      <c r="B420" s="15">
        <f>Periodos!A56</f>
        <v>46279</v>
      </c>
      <c r="C420" s="27">
        <f>Periodos!B56</f>
        <v>6.3167450362364708E-3</v>
      </c>
      <c r="D420" s="27">
        <f>Periodos!D56</f>
        <v>1.0126771943906201</v>
      </c>
      <c r="E420" s="27">
        <f>Periodos!E56</f>
        <v>1.0126771943906201</v>
      </c>
      <c r="F420" s="27">
        <f>Periodos!F56</f>
        <v>0</v>
      </c>
    </row>
    <row r="421" spans="1:6" x14ac:dyDescent="0.3">
      <c r="A421" s="11" t="str">
        <f>Periodos!$A$6</f>
        <v>P1-B</v>
      </c>
      <c r="B421" s="15">
        <f>Periodos!A57</f>
        <v>46280</v>
      </c>
      <c r="C421" s="27">
        <f>Periodos!B57</f>
        <v>7.3303237499160456E-3</v>
      </c>
      <c r="D421" s="27">
        <f>Periodos!D57</f>
        <v>1.0201004460796601</v>
      </c>
      <c r="E421" s="27">
        <f>Periodos!E57</f>
        <v>1.0201004460796601</v>
      </c>
      <c r="F421" s="27">
        <f>Periodos!F57</f>
        <v>0</v>
      </c>
    </row>
    <row r="422" spans="1:6" x14ac:dyDescent="0.3">
      <c r="A422" s="11" t="str">
        <f>Periodos!$A$6</f>
        <v>P1-B</v>
      </c>
      <c r="B422" s="15">
        <f>Periodos!A58</f>
        <v>46281</v>
      </c>
      <c r="C422" s="27">
        <f>Periodos!B58</f>
        <v>6.0115103777569345E-5</v>
      </c>
      <c r="D422" s="27">
        <f>Periodos!D58</f>
        <v>1.0201617695238396</v>
      </c>
      <c r="E422" s="27">
        <f>Periodos!E58</f>
        <v>1.0201617695238396</v>
      </c>
      <c r="F422" s="27">
        <f>Periodos!F58</f>
        <v>0</v>
      </c>
    </row>
    <row r="423" spans="1:6" x14ac:dyDescent="0.3">
      <c r="A423" s="11" t="str">
        <f>Periodos!$A$6</f>
        <v>P1-B</v>
      </c>
      <c r="B423" s="15">
        <f>Periodos!A59</f>
        <v>46282</v>
      </c>
      <c r="C423" s="27">
        <f>Periodos!B59</f>
        <v>-1.2115849080504115E-2</v>
      </c>
      <c r="D423" s="27">
        <f>Periodos!D59</f>
        <v>1.0078016434865888</v>
      </c>
      <c r="E423" s="27">
        <f>Periodos!E59</f>
        <v>1.0201617695238396</v>
      </c>
      <c r="F423" s="27">
        <f>Periodos!F59</f>
        <v>-1.2115849080504004E-2</v>
      </c>
    </row>
    <row r="424" spans="1:6" x14ac:dyDescent="0.3">
      <c r="A424" s="11" t="str">
        <f>Periodos!$A$6</f>
        <v>P1-B</v>
      </c>
      <c r="B424" s="15">
        <f>Periodos!A60</f>
        <v>46283</v>
      </c>
      <c r="C424" s="27">
        <f>Periodos!B60</f>
        <v>-1.6769313122455998E-2</v>
      </c>
      <c r="D424" s="27">
        <f>Periodos!D60</f>
        <v>0.99090150216163653</v>
      </c>
      <c r="E424" s="27">
        <f>Periodos!E60</f>
        <v>1.0201617695238396</v>
      </c>
      <c r="F424" s="27">
        <f>Periodos!F60</f>
        <v>-2.8681987735984626E-2</v>
      </c>
    </row>
    <row r="425" spans="1:6" x14ac:dyDescent="0.3">
      <c r="A425" s="11" t="str">
        <f>Periodos!$A$6</f>
        <v>P1-B</v>
      </c>
      <c r="B425" s="15">
        <f>Periodos!A61</f>
        <v>46284</v>
      </c>
      <c r="C425" s="27">
        <f>Periodos!B61</f>
        <v>8.602770223364864E-5</v>
      </c>
      <c r="D425" s="27">
        <f>Periodos!D61</f>
        <v>0.99098674714100732</v>
      </c>
      <c r="E425" s="27">
        <f>Periodos!E61</f>
        <v>1.0201617695238396</v>
      </c>
      <c r="F425" s="27">
        <f>Periodos!F61</f>
        <v>-2.8598427479251454E-2</v>
      </c>
    </row>
    <row r="426" spans="1:6" x14ac:dyDescent="0.3">
      <c r="A426" s="11" t="str">
        <f>Periodos!$A$6</f>
        <v>P1-B</v>
      </c>
      <c r="B426" s="15">
        <f>Periodos!A62</f>
        <v>46285</v>
      </c>
      <c r="C426" s="27">
        <f>Periodos!B62</f>
        <v>8.6004199911116075E-5</v>
      </c>
      <c r="D426" s="27">
        <f>Periodos!D62</f>
        <v>0.99107197616331766</v>
      </c>
      <c r="E426" s="27">
        <f>Periodos!E62</f>
        <v>1.0201617695238396</v>
      </c>
      <c r="F426" s="27">
        <f>Periodos!F62</f>
        <v>-2.8514882864214441E-2</v>
      </c>
    </row>
    <row r="427" spans="1:6" x14ac:dyDescent="0.3">
      <c r="A427" s="11" t="str">
        <f>Periodos!$A$6</f>
        <v>P1-B</v>
      </c>
      <c r="B427" s="15">
        <f>Periodos!A63</f>
        <v>46286</v>
      </c>
      <c r="C427" s="27">
        <f>Periodos!B63</f>
        <v>-1.6635011920466236E-2</v>
      </c>
      <c r="D427" s="27">
        <f>Periodos!D63</f>
        <v>0.97458548202580086</v>
      </c>
      <c r="E427" s="27">
        <f>Periodos!E63</f>
        <v>1.0201617695238396</v>
      </c>
      <c r="F427" s="27">
        <f>Periodos!F63</f>
        <v>-4.4675549368323741E-2</v>
      </c>
    </row>
    <row r="428" spans="1:6" x14ac:dyDescent="0.3">
      <c r="A428" s="11" t="str">
        <f>Periodos!$A$6</f>
        <v>P1-B</v>
      </c>
      <c r="B428" s="15">
        <f>Periodos!A64</f>
        <v>46287</v>
      </c>
      <c r="C428" s="27">
        <f>Periodos!B64</f>
        <v>-1.5193249037072531E-2</v>
      </c>
      <c r="D428" s="27">
        <f>Periodos!D64</f>
        <v>0.95977836208946754</v>
      </c>
      <c r="E428" s="27">
        <f>Periodos!E64</f>
        <v>1.0201617695238396</v>
      </c>
      <c r="F428" s="27">
        <f>Periodos!F64</f>
        <v>-5.9190031657975206E-2</v>
      </c>
    </row>
    <row r="429" spans="1:6" x14ac:dyDescent="0.3">
      <c r="A429" s="11" t="str">
        <f>Periodos!$A$6</f>
        <v>P1-B</v>
      </c>
      <c r="B429" s="15">
        <f>Periodos!A65</f>
        <v>46288</v>
      </c>
      <c r="C429" s="27">
        <f>Periodos!B65</f>
        <v>-8.0938137408352873E-3</v>
      </c>
      <c r="D429" s="27">
        <f>Periodos!D65</f>
        <v>0.95201009479423138</v>
      </c>
      <c r="E429" s="27">
        <f>Periodos!E65</f>
        <v>1.0201617695238396</v>
      </c>
      <c r="F429" s="27">
        <f>Periodos!F65</f>
        <v>-6.6804772307256788E-2</v>
      </c>
    </row>
    <row r="430" spans="1:6" x14ac:dyDescent="0.3">
      <c r="A430" s="11" t="str">
        <f>Periodos!$A$6</f>
        <v>P1-B</v>
      </c>
      <c r="B430" s="15">
        <f>Periodos!A66</f>
        <v>46289</v>
      </c>
      <c r="C430" s="27">
        <f>Periodos!B66</f>
        <v>1.1206198265381939E-2</v>
      </c>
      <c r="D430" s="27">
        <f>Periodos!D66</f>
        <v>0.96267850866714055</v>
      </c>
      <c r="E430" s="27">
        <f>Periodos!E66</f>
        <v>1.0201617695238396</v>
      </c>
      <c r="F430" s="27">
        <f>Periodos!F66</f>
        <v>-5.6347201565423721E-2</v>
      </c>
    </row>
    <row r="431" spans="1:6" x14ac:dyDescent="0.3">
      <c r="A431" s="11" t="str">
        <f>Periodos!$A$6</f>
        <v>P1-B</v>
      </c>
      <c r="B431" s="15">
        <f>Periodos!A67</f>
        <v>46290</v>
      </c>
      <c r="C431" s="27">
        <f>Periodos!B67</f>
        <v>1.4851319032215482E-2</v>
      </c>
      <c r="D431" s="27">
        <f>Periodos!D67</f>
        <v>0.97697555432481364</v>
      </c>
      <c r="E431" s="27">
        <f>Periodos!E67</f>
        <v>1.0201617695238396</v>
      </c>
      <c r="F431" s="27">
        <f>Periodos!F67</f>
        <v>-4.2332712800228878E-2</v>
      </c>
    </row>
    <row r="432" spans="1:6" x14ac:dyDescent="0.3">
      <c r="A432" s="11" t="str">
        <f>Periodos!$A$6</f>
        <v>P1-B</v>
      </c>
      <c r="B432" s="15">
        <f>Periodos!A68</f>
        <v>46291</v>
      </c>
      <c r="C432" s="27">
        <f>Periodos!B68</f>
        <v>1.0160139909576316E-4</v>
      </c>
      <c r="D432" s="27">
        <f>Periodos!D68</f>
        <v>0.97707481640801541</v>
      </c>
      <c r="E432" s="27">
        <f>Periodos!E68</f>
        <v>1.0201617695238396</v>
      </c>
      <c r="F432" s="27">
        <f>Periodos!F68</f>
        <v>-4.2235412463981103E-2</v>
      </c>
    </row>
    <row r="433" spans="1:6" x14ac:dyDescent="0.3">
      <c r="A433" s="11" t="str">
        <f>Periodos!$A$6</f>
        <v>P1-B</v>
      </c>
      <c r="B433" s="15">
        <f>Periodos!A69</f>
        <v>46292</v>
      </c>
      <c r="C433" s="27">
        <f>Periodos!B69</f>
        <v>1.0156480233836085E-4</v>
      </c>
      <c r="D433" s="27">
        <f>Periodos!D69</f>
        <v>0.97717405281861369</v>
      </c>
      <c r="E433" s="27">
        <f>Periodos!E69</f>
        <v>1.0201617695238396</v>
      </c>
      <c r="F433" s="27">
        <f>Periodos!F69</f>
        <v>-4.2138137292961342E-2</v>
      </c>
    </row>
    <row r="434" spans="1:6" x14ac:dyDescent="0.3">
      <c r="A434" s="11" t="str">
        <f>Periodos!$A$6</f>
        <v>P1-B</v>
      </c>
      <c r="B434" s="15">
        <f>Periodos!A70</f>
        <v>46293</v>
      </c>
      <c r="C434" s="27">
        <f>Periodos!B70</f>
        <v>1.5879098850227535E-2</v>
      </c>
      <c r="D434" s="27">
        <f>Periodos!D70</f>
        <v>0.99269069619719796</v>
      </c>
      <c r="E434" s="27">
        <f>Periodos!E70</f>
        <v>1.0201617695238396</v>
      </c>
      <c r="F434" s="27">
        <f>Periodos!F70</f>
        <v>-2.6928154090173129E-2</v>
      </c>
    </row>
    <row r="435" spans="1:6" x14ac:dyDescent="0.3">
      <c r="A435" s="11" t="str">
        <f>Periodos!$A$6</f>
        <v>P1-B</v>
      </c>
      <c r="B435" s="15">
        <f>Periodos!A71</f>
        <v>46294</v>
      </c>
      <c r="C435" s="27">
        <f>Periodos!B71</f>
        <v>1.5636455284405271E-2</v>
      </c>
      <c r="D435" s="27">
        <f>Periodos!D71</f>
        <v>1.0082128598795306</v>
      </c>
      <c r="E435" s="27">
        <f>Periodos!E71</f>
        <v>1.0201617695238396</v>
      </c>
      <c r="F435" s="27">
        <f>Periodos!F71</f>
        <v>-1.171275968309049E-2</v>
      </c>
    </row>
    <row r="436" spans="1:6" x14ac:dyDescent="0.3">
      <c r="A436" s="11" t="str">
        <f>Periodos!$A$6</f>
        <v>P1-B</v>
      </c>
      <c r="B436" s="15">
        <f>Periodos!A72</f>
        <v>46295</v>
      </c>
      <c r="C436" s="27">
        <f>Periodos!B72</f>
        <v>1.6695018056636091E-2</v>
      </c>
      <c r="D436" s="27">
        <f>Periodos!D72</f>
        <v>1.0250449917801521</v>
      </c>
      <c r="E436" s="27">
        <f>Periodos!E72</f>
        <v>1.0250449917801521</v>
      </c>
      <c r="F436" s="27">
        <f>Periodos!F72</f>
        <v>0</v>
      </c>
    </row>
    <row r="437" spans="1:6" x14ac:dyDescent="0.3">
      <c r="A437" s="11" t="str">
        <f>Periodos!$A$7</f>
        <v>P1-C</v>
      </c>
      <c r="B437" s="15">
        <f>Periodos!A77</f>
        <v>46296</v>
      </c>
      <c r="C437" s="27">
        <f>Periodos!B77</f>
        <v>-7.3298528784861983E-3</v>
      </c>
      <c r="D437" s="27">
        <f>Periodos!D77</f>
        <v>0.9926701471215138</v>
      </c>
      <c r="E437" s="27">
        <f>Periodos!E77</f>
        <v>1</v>
      </c>
      <c r="F437" s="27">
        <f>Periodos!F77</f>
        <v>-7.3298528784861983E-3</v>
      </c>
    </row>
    <row r="438" spans="1:6" x14ac:dyDescent="0.3">
      <c r="A438" s="11" t="str">
        <f>Periodos!$A$7</f>
        <v>P1-C</v>
      </c>
      <c r="B438" s="15">
        <f>Periodos!A78</f>
        <v>46297</v>
      </c>
      <c r="C438" s="27">
        <f>Periodos!B78</f>
        <v>-6.5922835406752034E-3</v>
      </c>
      <c r="D438" s="27">
        <f>Periodos!D78</f>
        <v>0.98612618404932506</v>
      </c>
      <c r="E438" s="27">
        <f>Periodos!E78</f>
        <v>1</v>
      </c>
      <c r="F438" s="27">
        <f>Periodos!F78</f>
        <v>-1.3873815950674939E-2</v>
      </c>
    </row>
    <row r="439" spans="1:6" x14ac:dyDescent="0.3">
      <c r="A439" s="11" t="str">
        <f>Periodos!$A$7</f>
        <v>P1-C</v>
      </c>
      <c r="B439" s="15">
        <f>Periodos!A79</f>
        <v>46298</v>
      </c>
      <c r="C439" s="27">
        <f>Periodos!B79</f>
        <v>1.0595175246264077E-4</v>
      </c>
      <c r="D439" s="27">
        <f>Periodos!D79</f>
        <v>0.9862306658466744</v>
      </c>
      <c r="E439" s="27">
        <f>Periodos!E79</f>
        <v>1</v>
      </c>
      <c r="F439" s="27">
        <f>Periodos!F79</f>
        <v>-1.3769334153325596E-2</v>
      </c>
    </row>
    <row r="440" spans="1:6" x14ac:dyDescent="0.3">
      <c r="A440" s="11" t="str">
        <f>Periodos!$A$7</f>
        <v>P1-C</v>
      </c>
      <c r="B440" s="15">
        <f>Periodos!A80</f>
        <v>46299</v>
      </c>
      <c r="C440" s="27">
        <f>Periodos!B80</f>
        <v>1.0586834929982025E-4</v>
      </c>
      <c r="D440" s="27">
        <f>Periodos!D80</f>
        <v>0.98633507645929641</v>
      </c>
      <c r="E440" s="27">
        <f>Periodos!E80</f>
        <v>1</v>
      </c>
      <c r="F440" s="27">
        <f>Periodos!F80</f>
        <v>-1.3664923540703589E-2</v>
      </c>
    </row>
    <row r="441" spans="1:6" x14ac:dyDescent="0.3">
      <c r="A441" s="11" t="str">
        <f>Periodos!$A$7</f>
        <v>P1-C</v>
      </c>
      <c r="B441" s="15">
        <f>Periodos!A81</f>
        <v>46300</v>
      </c>
      <c r="C441" s="27">
        <f>Periodos!B81</f>
        <v>-8.2582208125707712E-3</v>
      </c>
      <c r="D441" s="27">
        <f>Periodos!D81</f>
        <v>0.97818970360271162</v>
      </c>
      <c r="E441" s="27">
        <f>Periodos!E81</f>
        <v>1</v>
      </c>
      <c r="F441" s="27">
        <f>Periodos!F81</f>
        <v>-2.1810296397288376E-2</v>
      </c>
    </row>
    <row r="442" spans="1:6" x14ac:dyDescent="0.3">
      <c r="A442" s="11" t="str">
        <f>Periodos!$A$7</f>
        <v>P1-C</v>
      </c>
      <c r="B442" s="15">
        <f>Periodos!A82</f>
        <v>46301</v>
      </c>
      <c r="C442" s="27">
        <f>Periodos!B82</f>
        <v>4.8091408359374199E-3</v>
      </c>
      <c r="D442" s="27">
        <f>Periodos!D82</f>
        <v>0.98289395565160098</v>
      </c>
      <c r="E442" s="27">
        <f>Periodos!E82</f>
        <v>1</v>
      </c>
      <c r="F442" s="27">
        <f>Periodos!F82</f>
        <v>-1.7106044348399019E-2</v>
      </c>
    </row>
    <row r="443" spans="1:6" x14ac:dyDescent="0.3">
      <c r="A443" s="11" t="str">
        <f>Periodos!$A$7</f>
        <v>P1-C</v>
      </c>
      <c r="B443" s="15">
        <f>Periodos!A83</f>
        <v>46302</v>
      </c>
      <c r="C443" s="27">
        <f>Periodos!B83</f>
        <v>9.2940742153559963E-3</v>
      </c>
      <c r="D443" s="27">
        <f>Periodos!D83</f>
        <v>0.99202904502125178</v>
      </c>
      <c r="E443" s="27">
        <f>Periodos!E83</f>
        <v>1</v>
      </c>
      <c r="F443" s="27">
        <f>Periodos!F83</f>
        <v>-7.9709549787482237E-3</v>
      </c>
    </row>
    <row r="444" spans="1:6" x14ac:dyDescent="0.3">
      <c r="A444" s="11" t="str">
        <f>Periodos!$A$7</f>
        <v>P1-C</v>
      </c>
      <c r="B444" s="15">
        <f>Periodos!A84</f>
        <v>46303</v>
      </c>
      <c r="C444" s="27">
        <f>Periodos!B84</f>
        <v>7.4775277767780146E-3</v>
      </c>
      <c r="D444" s="27">
        <f>Periodos!D84</f>
        <v>0.99944696976076874</v>
      </c>
      <c r="E444" s="27">
        <f>Periodos!E84</f>
        <v>1</v>
      </c>
      <c r="F444" s="27">
        <f>Periodos!F84</f>
        <v>-5.5303023923125583E-4</v>
      </c>
    </row>
    <row r="445" spans="1:6" x14ac:dyDescent="0.3">
      <c r="A445" s="11" t="str">
        <f>Periodos!$A$7</f>
        <v>P1-C</v>
      </c>
      <c r="B445" s="15">
        <f>Periodos!A85</f>
        <v>46304</v>
      </c>
      <c r="C445" s="27">
        <f>Periodos!B85</f>
        <v>8.9369596153341391E-3</v>
      </c>
      <c r="D445" s="27">
        <f>Periodos!D85</f>
        <v>1.0083789869671889</v>
      </c>
      <c r="E445" s="27">
        <f>Periodos!E85</f>
        <v>1.0083789869671889</v>
      </c>
      <c r="F445" s="27">
        <f>Periodos!F85</f>
        <v>0</v>
      </c>
    </row>
    <row r="446" spans="1:6" x14ac:dyDescent="0.3">
      <c r="A446" s="11" t="str">
        <f>Periodos!$A$7</f>
        <v>P1-C</v>
      </c>
      <c r="B446" s="15">
        <f>Periodos!A86</f>
        <v>46305</v>
      </c>
      <c r="C446" s="27">
        <f>Periodos!B86</f>
        <v>7.8536272773099824E-5</v>
      </c>
      <c r="D446" s="27">
        <f>Periodos!D86</f>
        <v>1.008458181294368</v>
      </c>
      <c r="E446" s="27">
        <f>Periodos!E86</f>
        <v>1.008458181294368</v>
      </c>
      <c r="F446" s="27">
        <f>Periodos!F86</f>
        <v>0</v>
      </c>
    </row>
    <row r="447" spans="1:6" x14ac:dyDescent="0.3">
      <c r="A447" s="11" t="str">
        <f>Periodos!$A$7</f>
        <v>P1-C</v>
      </c>
      <c r="B447" s="15">
        <f>Periodos!A87</f>
        <v>46306</v>
      </c>
      <c r="C447" s="27">
        <f>Periodos!B87</f>
        <v>7.8451289928560541E-5</v>
      </c>
      <c r="D447" s="27">
        <f>Periodos!D87</f>
        <v>1.0085372961395296</v>
      </c>
      <c r="E447" s="27">
        <f>Periodos!E87</f>
        <v>1.0085372961395296</v>
      </c>
      <c r="F447" s="27">
        <f>Periodos!F87</f>
        <v>0</v>
      </c>
    </row>
    <row r="448" spans="1:6" x14ac:dyDescent="0.3">
      <c r="A448" s="11" t="str">
        <f>Periodos!$A$7</f>
        <v>P1-C</v>
      </c>
      <c r="B448" s="15">
        <f>Periodos!A88</f>
        <v>46307</v>
      </c>
      <c r="C448" s="27">
        <f>Periodos!B88</f>
        <v>5.8228708559371345E-3</v>
      </c>
      <c r="D448" s="27">
        <f>Periodos!D88</f>
        <v>1.0144098785683462</v>
      </c>
      <c r="E448" s="27">
        <f>Periodos!E88</f>
        <v>1.0144098785683462</v>
      </c>
      <c r="F448" s="27">
        <f>Periodos!F88</f>
        <v>0</v>
      </c>
    </row>
    <row r="449" spans="1:6" x14ac:dyDescent="0.3">
      <c r="A449" s="11" t="str">
        <f>Periodos!$A$7</f>
        <v>P1-C</v>
      </c>
      <c r="B449" s="15">
        <f>Periodos!A89</f>
        <v>46308</v>
      </c>
      <c r="C449" s="27">
        <f>Periodos!B89</f>
        <v>-5.1019777454953674E-3</v>
      </c>
      <c r="D449" s="27">
        <f>Periodos!D89</f>
        <v>1.0092343819430798</v>
      </c>
      <c r="E449" s="27">
        <f>Periodos!E89</f>
        <v>1.0144098785683462</v>
      </c>
      <c r="F449" s="27">
        <f>Periodos!F89</f>
        <v>-5.1019777454953674E-3</v>
      </c>
    </row>
    <row r="450" spans="1:6" x14ac:dyDescent="0.3">
      <c r="A450" s="11" t="str">
        <f>Periodos!$A$7</f>
        <v>P1-C</v>
      </c>
      <c r="B450" s="15">
        <f>Periodos!A90</f>
        <v>46309</v>
      </c>
      <c r="C450" s="27">
        <f>Periodos!B90</f>
        <v>9.1032753790420973E-3</v>
      </c>
      <c r="D450" s="27">
        <f>Periodos!D90</f>
        <v>1.018421720443905</v>
      </c>
      <c r="E450" s="27">
        <f>Periodos!E90</f>
        <v>1.018421720443905</v>
      </c>
      <c r="F450" s="27">
        <f>Periodos!F90</f>
        <v>0</v>
      </c>
    </row>
    <row r="451" spans="1:6" x14ac:dyDescent="0.3">
      <c r="A451" s="11" t="str">
        <f>Periodos!$A$8</f>
        <v>P1-D</v>
      </c>
      <c r="B451" s="15">
        <f>Periodos!A95</f>
        <v>46304</v>
      </c>
      <c r="C451" s="27">
        <f>Periodos!B95</f>
        <v>8.9369596153341391E-3</v>
      </c>
      <c r="D451" s="27">
        <f>Periodos!D95</f>
        <v>1.0089369596153341</v>
      </c>
      <c r="E451" s="27">
        <f>Periodos!E95</f>
        <v>1.0089369596153341</v>
      </c>
      <c r="F451" s="27">
        <f>Periodos!F95</f>
        <v>0</v>
      </c>
    </row>
    <row r="452" spans="1:6" x14ac:dyDescent="0.3">
      <c r="A452" s="11" t="str">
        <f>Periodos!$A$8</f>
        <v>P1-D</v>
      </c>
      <c r="B452" s="15">
        <f>Periodos!A96</f>
        <v>46305</v>
      </c>
      <c r="C452" s="27">
        <f>Periodos!B96</f>
        <v>7.8536272773099824E-5</v>
      </c>
      <c r="D452" s="27">
        <f>Periodos!D96</f>
        <v>1.0090161977636054</v>
      </c>
      <c r="E452" s="27">
        <f>Periodos!E96</f>
        <v>1.0090161977636054</v>
      </c>
      <c r="F452" s="27">
        <f>Periodos!F96</f>
        <v>0</v>
      </c>
    </row>
    <row r="453" spans="1:6" x14ac:dyDescent="0.3">
      <c r="A453" s="11" t="str">
        <f>Periodos!$A$8</f>
        <v>P1-D</v>
      </c>
      <c r="B453" s="15">
        <f>Periodos!A97</f>
        <v>46306</v>
      </c>
      <c r="C453" s="27">
        <f>Periodos!B97</f>
        <v>7.8451289928560541E-5</v>
      </c>
      <c r="D453" s="27">
        <f>Periodos!D97</f>
        <v>1.0090953563858787</v>
      </c>
      <c r="E453" s="27">
        <f>Periodos!E97</f>
        <v>1.0090953563858787</v>
      </c>
      <c r="F453" s="27">
        <f>Periodos!F97</f>
        <v>0</v>
      </c>
    </row>
    <row r="454" spans="1:6" x14ac:dyDescent="0.3">
      <c r="A454" s="11" t="str">
        <f>Periodos!$A$8</f>
        <v>P1-D</v>
      </c>
      <c r="B454" s="15">
        <f>Periodos!A98</f>
        <v>46307</v>
      </c>
      <c r="C454" s="27">
        <f>Periodos!B98</f>
        <v>5.8228708559371345E-3</v>
      </c>
      <c r="D454" s="27">
        <f>Periodos!D98</f>
        <v>1.0149711883274395</v>
      </c>
      <c r="E454" s="27">
        <f>Periodos!E98</f>
        <v>1.0149711883274395</v>
      </c>
      <c r="F454" s="27">
        <f>Periodos!F98</f>
        <v>0</v>
      </c>
    </row>
    <row r="455" spans="1:6" x14ac:dyDescent="0.3">
      <c r="A455" s="11" t="str">
        <f>Periodos!$A$9</f>
        <v>P2-A</v>
      </c>
      <c r="B455" s="15">
        <f>Periodos!A103</f>
        <v>46276</v>
      </c>
      <c r="C455" s="27">
        <f>Periodos!B103</f>
        <v>0</v>
      </c>
      <c r="D455" s="27">
        <f>Periodos!D103</f>
        <v>1</v>
      </c>
      <c r="E455" s="27">
        <f>Periodos!E103</f>
        <v>1</v>
      </c>
      <c r="F455" s="27">
        <f>Periodos!F103</f>
        <v>0</v>
      </c>
    </row>
    <row r="456" spans="1:6" x14ac:dyDescent="0.3">
      <c r="A456" s="11" t="str">
        <f>Periodos!$A$9</f>
        <v>P2-A</v>
      </c>
      <c r="B456" s="15">
        <f>Periodos!A104</f>
        <v>46277</v>
      </c>
      <c r="C456" s="27">
        <f>Periodos!B104</f>
        <v>0</v>
      </c>
      <c r="D456" s="27">
        <f>Periodos!D104</f>
        <v>1</v>
      </c>
      <c r="E456" s="27">
        <f>Periodos!E104</f>
        <v>1</v>
      </c>
      <c r="F456" s="27">
        <f>Periodos!F104</f>
        <v>0</v>
      </c>
    </row>
    <row r="457" spans="1:6" x14ac:dyDescent="0.3">
      <c r="A457" s="11" t="str">
        <f>Periodos!$A$9</f>
        <v>P2-A</v>
      </c>
      <c r="B457" s="15">
        <f>Periodos!A105</f>
        <v>46278</v>
      </c>
      <c r="C457" s="27">
        <f>Periodos!B105</f>
        <v>0</v>
      </c>
      <c r="D457" s="27">
        <f>Periodos!D105</f>
        <v>1</v>
      </c>
      <c r="E457" s="27">
        <f>Periodos!E105</f>
        <v>1</v>
      </c>
      <c r="F457" s="27">
        <f>Periodos!F105</f>
        <v>0</v>
      </c>
    </row>
    <row r="458" spans="1:6" x14ac:dyDescent="0.3">
      <c r="A458" s="11" t="str">
        <f>Periodos!$A$9</f>
        <v>P2-A</v>
      </c>
      <c r="B458" s="15">
        <f>Periodos!A106</f>
        <v>46279</v>
      </c>
      <c r="C458" s="27">
        <f>Periodos!B106</f>
        <v>-4.8167894016516444E-3</v>
      </c>
      <c r="D458" s="27">
        <f>Periodos!D106</f>
        <v>0.99518321059834836</v>
      </c>
      <c r="E458" s="27">
        <f>Periodos!E106</f>
        <v>1</v>
      </c>
      <c r="F458" s="27">
        <f>Periodos!F106</f>
        <v>-4.8167894016516444E-3</v>
      </c>
    </row>
    <row r="459" spans="1:6" x14ac:dyDescent="0.3">
      <c r="A459" s="11" t="str">
        <f>Periodos!$A$9</f>
        <v>P2-A</v>
      </c>
      <c r="B459" s="15">
        <f>Periodos!A107</f>
        <v>46280</v>
      </c>
      <c r="C459" s="27">
        <f>Periodos!B107</f>
        <v>1.3056092843326983E-2</v>
      </c>
      <c r="D459" s="27">
        <f>Periodos!D107</f>
        <v>1.0081764149920407</v>
      </c>
      <c r="E459" s="27">
        <f>Periodos!E107</f>
        <v>1.0081764149920407</v>
      </c>
      <c r="F459" s="27">
        <f>Periodos!F107</f>
        <v>0</v>
      </c>
    </row>
    <row r="460" spans="1:6" x14ac:dyDescent="0.3">
      <c r="A460" s="11" t="str">
        <f>Periodos!$A$9</f>
        <v>P2-A</v>
      </c>
      <c r="B460" s="15">
        <f>Periodos!A108</f>
        <v>46281</v>
      </c>
      <c r="C460" s="27">
        <f>Periodos!B108</f>
        <v>0</v>
      </c>
      <c r="D460" s="27">
        <f>Periodos!D108</f>
        <v>1.0081764149920407</v>
      </c>
      <c r="E460" s="27">
        <f>Periodos!E108</f>
        <v>1.0081764149920407</v>
      </c>
      <c r="F460" s="27">
        <f>Periodos!F108</f>
        <v>0</v>
      </c>
    </row>
    <row r="461" spans="1:6" x14ac:dyDescent="0.3">
      <c r="A461" s="11" t="str">
        <f>Periodos!$A$9</f>
        <v>P2-A</v>
      </c>
      <c r="B461" s="15">
        <f>Periodos!A109</f>
        <v>46282</v>
      </c>
      <c r="C461" s="27">
        <f>Periodos!B109</f>
        <v>-2.5298329355608606E-2</v>
      </c>
      <c r="D461" s="27">
        <f>Periodos!D109</f>
        <v>0.98267123599701534</v>
      </c>
      <c r="E461" s="27">
        <f>Periodos!E109</f>
        <v>1.0081764149920407</v>
      </c>
      <c r="F461" s="27">
        <f>Periodos!F109</f>
        <v>-2.5298329355608606E-2</v>
      </c>
    </row>
    <row r="462" spans="1:6" x14ac:dyDescent="0.3">
      <c r="A462" s="11" t="str">
        <f>Periodos!$A$9</f>
        <v>P2-A</v>
      </c>
      <c r="B462" s="15">
        <f>Periodos!A110</f>
        <v>46283</v>
      </c>
      <c r="C462" s="27">
        <f>Periodos!B110</f>
        <v>-3.3790401567091122E-2</v>
      </c>
      <c r="D462" s="27">
        <f>Periodos!D110</f>
        <v>0.94946638032424646</v>
      </c>
      <c r="E462" s="27">
        <f>Periodos!E110</f>
        <v>1.0081764149920407</v>
      </c>
      <c r="F462" s="27">
        <f>Periodos!F110</f>
        <v>-5.8233890214797079E-2</v>
      </c>
    </row>
    <row r="463" spans="1:6" x14ac:dyDescent="0.3">
      <c r="A463" s="11" t="str">
        <f>Periodos!$A$9</f>
        <v>P2-A</v>
      </c>
      <c r="B463" s="15">
        <f>Periodos!A111</f>
        <v>46284</v>
      </c>
      <c r="C463" s="27">
        <f>Periodos!B111</f>
        <v>0</v>
      </c>
      <c r="D463" s="27">
        <f>Periodos!D111</f>
        <v>0.94946638032424646</v>
      </c>
      <c r="E463" s="27">
        <f>Periodos!E111</f>
        <v>1.0081764149920407</v>
      </c>
      <c r="F463" s="27">
        <f>Periodos!F111</f>
        <v>-5.8233890214797079E-2</v>
      </c>
    </row>
    <row r="464" spans="1:6" x14ac:dyDescent="0.3">
      <c r="A464" s="11" t="str">
        <f>Periodos!$A$9</f>
        <v>P2-A</v>
      </c>
      <c r="B464" s="15">
        <f>Periodos!A112</f>
        <v>46285</v>
      </c>
      <c r="C464" s="27">
        <f>Periodos!B112</f>
        <v>0</v>
      </c>
      <c r="D464" s="27">
        <f>Periodos!D112</f>
        <v>0.94946638032424646</v>
      </c>
      <c r="E464" s="27">
        <f>Periodos!E112</f>
        <v>1.0081764149920407</v>
      </c>
      <c r="F464" s="27">
        <f>Periodos!F112</f>
        <v>-5.8233890214797079E-2</v>
      </c>
    </row>
    <row r="465" spans="1:6" x14ac:dyDescent="0.3">
      <c r="A465" s="11" t="str">
        <f>Periodos!$A$9</f>
        <v>P2-A</v>
      </c>
      <c r="B465" s="15">
        <f>Periodos!A113</f>
        <v>46286</v>
      </c>
      <c r="C465" s="27">
        <f>Periodos!B113</f>
        <v>-3.3958438925494216E-2</v>
      </c>
      <c r="D465" s="27">
        <f>Periodos!D113</f>
        <v>0.91722398423619544</v>
      </c>
      <c r="E465" s="27">
        <f>Periodos!E113</f>
        <v>1.0081764149920407</v>
      </c>
      <c r="F465" s="27">
        <f>Periodos!F113</f>
        <v>-9.0214797136038194E-2</v>
      </c>
    </row>
    <row r="466" spans="1:6" x14ac:dyDescent="0.3">
      <c r="A466" s="11" t="str">
        <f>Periodos!$A$9</f>
        <v>P2-A</v>
      </c>
      <c r="B466" s="15">
        <f>Periodos!A114</f>
        <v>46287</v>
      </c>
      <c r="C466" s="27">
        <f>Periodos!B114</f>
        <v>-3.305351521511013E-2</v>
      </c>
      <c r="D466" s="27">
        <f>Periodos!D114</f>
        <v>0.88690650731758047</v>
      </c>
      <c r="E466" s="27">
        <f>Periodos!E114</f>
        <v>1.0081764149920407</v>
      </c>
      <c r="F466" s="27">
        <f>Periodos!F114</f>
        <v>-0.12028639618138426</v>
      </c>
    </row>
    <row r="467" spans="1:6" x14ac:dyDescent="0.3">
      <c r="A467" s="11" t="str">
        <f>Periodos!$A$9</f>
        <v>P2-A</v>
      </c>
      <c r="B467" s="15">
        <f>Periodos!A115</f>
        <v>46288</v>
      </c>
      <c r="C467" s="27">
        <f>Periodos!B115</f>
        <v>-1.8719479110146486E-2</v>
      </c>
      <c r="D467" s="27">
        <f>Periodos!D115</f>
        <v>0.87030407948119604</v>
      </c>
      <c r="E467" s="27">
        <f>Periodos!E115</f>
        <v>1.0081764149920407</v>
      </c>
      <c r="F467" s="27">
        <f>Periodos!F115</f>
        <v>-0.13675417661097844</v>
      </c>
    </row>
    <row r="468" spans="1:6" x14ac:dyDescent="0.3">
      <c r="A468" s="11" t="str">
        <f>Periodos!$A$9</f>
        <v>P2-A</v>
      </c>
      <c r="B468" s="15">
        <f>Periodos!A116</f>
        <v>46289</v>
      </c>
      <c r="C468" s="27">
        <f>Periodos!B116</f>
        <v>2.6264860381531641E-2</v>
      </c>
      <c r="D468" s="27">
        <f>Periodos!D116</f>
        <v>0.89316249461824704</v>
      </c>
      <c r="E468" s="27">
        <f>Periodos!E116</f>
        <v>1.0081764149920407</v>
      </c>
      <c r="F468" s="27">
        <f>Periodos!F116</f>
        <v>-0.11408114558472549</v>
      </c>
    </row>
    <row r="469" spans="1:6" x14ac:dyDescent="0.3">
      <c r="A469" s="11" t="str">
        <f>Periodos!$A$9</f>
        <v>P2-A</v>
      </c>
      <c r="B469" s="15">
        <f>Periodos!A117</f>
        <v>46290</v>
      </c>
      <c r="C469" s="27">
        <f>Periodos!B117</f>
        <v>3.6099137931034475E-2</v>
      </c>
      <c r="D469" s="27">
        <f>Periodos!D117</f>
        <v>0.92540489070629794</v>
      </c>
      <c r="E469" s="27">
        <f>Periodos!E117</f>
        <v>1.0081764149920407</v>
      </c>
      <c r="F469" s="27">
        <f>Periodos!F117</f>
        <v>-8.2100238663484482E-2</v>
      </c>
    </row>
    <row r="470" spans="1:6" x14ac:dyDescent="0.3">
      <c r="A470" s="11" t="str">
        <f>Periodos!$A$9</f>
        <v>P2-A</v>
      </c>
      <c r="B470" s="15">
        <f>Periodos!A118</f>
        <v>46291</v>
      </c>
      <c r="C470" s="27">
        <f>Periodos!B118</f>
        <v>0</v>
      </c>
      <c r="D470" s="27">
        <f>Periodos!D118</f>
        <v>0.92540489070629794</v>
      </c>
      <c r="E470" s="27">
        <f>Periodos!E118</f>
        <v>1.0081764149920407</v>
      </c>
      <c r="F470" s="27">
        <f>Periodos!F118</f>
        <v>-8.2100238663484482E-2</v>
      </c>
    </row>
    <row r="471" spans="1:6" x14ac:dyDescent="0.3">
      <c r="A471" s="11" t="str">
        <f>Periodos!$A$9</f>
        <v>P2-A</v>
      </c>
      <c r="B471" s="15">
        <f>Periodos!A119</f>
        <v>46292</v>
      </c>
      <c r="C471" s="27">
        <f>Periodos!B119</f>
        <v>0</v>
      </c>
      <c r="D471" s="27">
        <f>Periodos!D119</f>
        <v>0.92540489070629794</v>
      </c>
      <c r="E471" s="27">
        <f>Periodos!E119</f>
        <v>1.0081764149920407</v>
      </c>
      <c r="F471" s="27">
        <f>Periodos!F119</f>
        <v>-8.2100238663484482E-2</v>
      </c>
    </row>
    <row r="472" spans="1:6" x14ac:dyDescent="0.3">
      <c r="A472" s="11" t="str">
        <f>Periodos!$A$9</f>
        <v>P2-A</v>
      </c>
      <c r="B472" s="15">
        <f>Periodos!A120</f>
        <v>46293</v>
      </c>
      <c r="C472" s="27">
        <f>Periodos!B120</f>
        <v>3.6921476859074431E-2</v>
      </c>
      <c r="D472" s="27">
        <f>Periodos!D120</f>
        <v>0.95957220596378479</v>
      </c>
      <c r="E472" s="27">
        <f>Periodos!E120</f>
        <v>1.0081764149920407</v>
      </c>
      <c r="F472" s="27">
        <f>Periodos!F120</f>
        <v>-4.8210023866348428E-2</v>
      </c>
    </row>
    <row r="473" spans="1:6" x14ac:dyDescent="0.3">
      <c r="A473" s="11" t="str">
        <f>Periodos!$A$9</f>
        <v>P2-A</v>
      </c>
      <c r="B473" s="15">
        <f>Periodos!A121</f>
        <v>46294</v>
      </c>
      <c r="C473" s="27">
        <f>Periodos!B121</f>
        <v>3.5606820461384192E-2</v>
      </c>
      <c r="D473" s="27">
        <f>Periodos!D121</f>
        <v>0.99373952122127163</v>
      </c>
      <c r="E473" s="27">
        <f>Periodos!E121</f>
        <v>1.0081764149920407</v>
      </c>
      <c r="F473" s="27">
        <f>Periodos!F121</f>
        <v>-1.4319809069212375E-2</v>
      </c>
    </row>
    <row r="474" spans="1:6" x14ac:dyDescent="0.3">
      <c r="A474" s="11" t="str">
        <f>Periodos!$A$9</f>
        <v>P2-A</v>
      </c>
      <c r="B474" s="15">
        <f>Periodos!A122</f>
        <v>46295</v>
      </c>
      <c r="C474" s="27">
        <f>Periodos!B122</f>
        <v>3.7288135593220417E-2</v>
      </c>
      <c r="D474" s="27">
        <f>Periodos!D122</f>
        <v>1.0307942152329124</v>
      </c>
      <c r="E474" s="27">
        <f>Periodos!E122</f>
        <v>1.0307942152329124</v>
      </c>
      <c r="F474" s="27">
        <f>Periodos!F122</f>
        <v>0</v>
      </c>
    </row>
    <row r="475" spans="1:6" x14ac:dyDescent="0.3">
      <c r="A475" s="11" t="str">
        <f>Periodos!$A$9</f>
        <v>P2-A</v>
      </c>
      <c r="B475" s="15">
        <f>Periodos!A123</f>
        <v>46296</v>
      </c>
      <c r="C475" s="27">
        <f>Periodos!B123</f>
        <v>-1.6339869281045805E-2</v>
      </c>
      <c r="D475" s="27">
        <f>Periodos!D123</f>
        <v>1.0139511725003485</v>
      </c>
      <c r="E475" s="27">
        <f>Periodos!E123</f>
        <v>1.0307942152329124</v>
      </c>
      <c r="F475" s="27">
        <f>Periodos!F123</f>
        <v>-1.6339869281045694E-2</v>
      </c>
    </row>
    <row r="476" spans="1:6" x14ac:dyDescent="0.3">
      <c r="A476" s="11" t="str">
        <f>Periodos!$A$9</f>
        <v>P2-A</v>
      </c>
      <c r="B476" s="15">
        <f>Periodos!A124</f>
        <v>46297</v>
      </c>
      <c r="C476" s="27">
        <f>Periodos!B124</f>
        <v>-1.3763644992880852E-2</v>
      </c>
      <c r="D476" s="27">
        <f>Periodos!D124</f>
        <v>0.99999550852193841</v>
      </c>
      <c r="E476" s="27">
        <f>Periodos!E124</f>
        <v>1.0307942152329124</v>
      </c>
      <c r="F476" s="27">
        <f>Periodos!F124</f>
        <v>-2.9878618113912125E-2</v>
      </c>
    </row>
    <row r="477" spans="1:6" x14ac:dyDescent="0.3">
      <c r="A477" s="11" t="str">
        <f>Periodos!$A$9</f>
        <v>P2-A</v>
      </c>
      <c r="B477" s="15">
        <f>Periodos!A125</f>
        <v>46298</v>
      </c>
      <c r="C477" s="27">
        <f>Periodos!B125</f>
        <v>0</v>
      </c>
      <c r="D477" s="27">
        <f>Periodos!D125</f>
        <v>0.99999550852193841</v>
      </c>
      <c r="E477" s="27">
        <f>Periodos!E125</f>
        <v>1.0307942152329124</v>
      </c>
      <c r="F477" s="27">
        <f>Periodos!F125</f>
        <v>-2.9878618113912125E-2</v>
      </c>
    </row>
    <row r="478" spans="1:6" x14ac:dyDescent="0.3">
      <c r="A478" s="11" t="str">
        <f>Periodos!$A$9</f>
        <v>P2-A</v>
      </c>
      <c r="B478" s="15">
        <f>Periodos!A126</f>
        <v>46299</v>
      </c>
      <c r="C478" s="27">
        <f>Periodos!B126</f>
        <v>0</v>
      </c>
      <c r="D478" s="27">
        <f>Periodos!D126</f>
        <v>0.99999550852193841</v>
      </c>
      <c r="E478" s="27">
        <f>Periodos!E126</f>
        <v>1.0307942152329124</v>
      </c>
      <c r="F478" s="27">
        <f>Periodos!F126</f>
        <v>-2.9878618113912125E-2</v>
      </c>
    </row>
    <row r="479" spans="1:6" x14ac:dyDescent="0.3">
      <c r="A479" s="11" t="str">
        <f>Periodos!$A$9</f>
        <v>P2-A</v>
      </c>
      <c r="B479" s="15">
        <f>Periodos!A127</f>
        <v>46300</v>
      </c>
      <c r="C479" s="27">
        <f>Periodos!B127</f>
        <v>-2.1655437921077936E-2</v>
      </c>
      <c r="D479" s="27">
        <f>Periodos!D127</f>
        <v>0.97834016786578482</v>
      </c>
      <c r="E479" s="27">
        <f>Periodos!E127</f>
        <v>1.0307942152329124</v>
      </c>
      <c r="F479" s="27">
        <f>Periodos!F127</f>
        <v>-5.08870214752567E-2</v>
      </c>
    </row>
    <row r="480" spans="1:6" x14ac:dyDescent="0.3">
      <c r="A480" s="11" t="str">
        <f>Periodos!$A$9</f>
        <v>P2-A</v>
      </c>
      <c r="B480" s="15">
        <f>Periodos!A128</f>
        <v>46301</v>
      </c>
      <c r="C480" s="27">
        <f>Periodos!B128</f>
        <v>1.1313330054107285E-2</v>
      </c>
      <c r="D480" s="27">
        <f>Periodos!D128</f>
        <v>0.98940845309004122</v>
      </c>
      <c r="E480" s="27">
        <f>Periodos!E128</f>
        <v>1.0307942152329124</v>
      </c>
      <c r="F480" s="27">
        <f>Periodos!F128</f>
        <v>-4.0149393090569307E-2</v>
      </c>
    </row>
    <row r="481" spans="1:6" x14ac:dyDescent="0.3">
      <c r="A481" s="11" t="str">
        <f>Periodos!$A$9</f>
        <v>P2-A</v>
      </c>
      <c r="B481" s="15">
        <f>Periodos!A129</f>
        <v>46302</v>
      </c>
      <c r="C481" s="27">
        <f>Periodos!B129</f>
        <v>2.0914396887159459E-2</v>
      </c>
      <c r="D481" s="27">
        <f>Periodos!D129</f>
        <v>1.0101013341614768</v>
      </c>
      <c r="E481" s="27">
        <f>Periodos!E129</f>
        <v>1.0307942152329124</v>
      </c>
      <c r="F481" s="27">
        <f>Periodos!F129</f>
        <v>-2.0074696545284598E-2</v>
      </c>
    </row>
    <row r="482" spans="1:6" x14ac:dyDescent="0.3">
      <c r="A482" s="11" t="str">
        <f>Periodos!$A$9</f>
        <v>P2-A</v>
      </c>
      <c r="B482" s="15">
        <f>Periodos!A130</f>
        <v>46303</v>
      </c>
      <c r="C482" s="27">
        <f>Periodos!B130</f>
        <v>2.3344449737970452E-2</v>
      </c>
      <c r="D482" s="27">
        <f>Periodos!D130</f>
        <v>1.0336815939870663</v>
      </c>
      <c r="E482" s="27">
        <f>Periodos!E130</f>
        <v>1.0336815939870663</v>
      </c>
      <c r="F482" s="27">
        <f>Periodos!F130</f>
        <v>0</v>
      </c>
    </row>
    <row r="483" spans="1:6" x14ac:dyDescent="0.3">
      <c r="A483" s="11" t="str">
        <f>Periodos!$A$9</f>
        <v>P2-A</v>
      </c>
      <c r="B483" s="15">
        <f>Periodos!A131</f>
        <v>46304</v>
      </c>
      <c r="C483" s="27">
        <f>Periodos!B131</f>
        <v>1.6294227188081933E-2</v>
      </c>
      <c r="D483" s="27">
        <f>Periodos!D131</f>
        <v>1.0505246367196301</v>
      </c>
      <c r="E483" s="27">
        <f>Periodos!E131</f>
        <v>1.0505246367196301</v>
      </c>
      <c r="F483" s="27">
        <f>Periodos!F131</f>
        <v>0</v>
      </c>
    </row>
    <row r="484" spans="1:6" x14ac:dyDescent="0.3">
      <c r="A484" s="11" t="str">
        <f>Periodos!$A$9</f>
        <v>P2-A</v>
      </c>
      <c r="B484" s="15">
        <f>Periodos!A132</f>
        <v>46305</v>
      </c>
      <c r="C484" s="27">
        <f>Periodos!B132</f>
        <v>0</v>
      </c>
      <c r="D484" s="27">
        <f>Periodos!D132</f>
        <v>1.0505246367196301</v>
      </c>
      <c r="E484" s="27">
        <f>Periodos!E132</f>
        <v>1.0505246367196301</v>
      </c>
      <c r="F484" s="27">
        <f>Periodos!F132</f>
        <v>0</v>
      </c>
    </row>
    <row r="485" spans="1:6" x14ac:dyDescent="0.3">
      <c r="A485" s="11" t="str">
        <f>Periodos!$A$9</f>
        <v>P2-A</v>
      </c>
      <c r="B485" s="15">
        <f>Periodos!A133</f>
        <v>46306</v>
      </c>
      <c r="C485" s="27">
        <f>Periodos!B133</f>
        <v>0</v>
      </c>
      <c r="D485" s="27">
        <f>Periodos!D133</f>
        <v>1.0505246367196301</v>
      </c>
      <c r="E485" s="27">
        <f>Periodos!E133</f>
        <v>1.0505246367196301</v>
      </c>
      <c r="F485" s="27">
        <f>Periodos!F133</f>
        <v>0</v>
      </c>
    </row>
    <row r="486" spans="1:6" x14ac:dyDescent="0.3">
      <c r="A486" s="11" t="str">
        <f>Periodos!$A$9</f>
        <v>P2-A</v>
      </c>
      <c r="B486" s="15">
        <f>Periodos!A134</f>
        <v>46307</v>
      </c>
      <c r="C486" s="27">
        <f>Periodos!B134</f>
        <v>1.0535959688501961E-2</v>
      </c>
      <c r="D486" s="27">
        <f>Periodos!D134</f>
        <v>1.0615929219438864</v>
      </c>
      <c r="E486" s="27">
        <f>Periodos!E134</f>
        <v>1.0615929219438864</v>
      </c>
      <c r="F486" s="27">
        <f>Periodos!F134</f>
        <v>0</v>
      </c>
    </row>
    <row r="487" spans="1:6" x14ac:dyDescent="0.3">
      <c r="A487" s="11" t="str">
        <f>Periodos!$A$9</f>
        <v>P2-A</v>
      </c>
      <c r="B487" s="15">
        <f>Periodos!A135</f>
        <v>46308</v>
      </c>
      <c r="C487" s="27">
        <f>Periodos!B135</f>
        <v>-9.9728014505893192E-3</v>
      </c>
      <c r="D487" s="27">
        <f>Periodos!D135</f>
        <v>1.051005866511989</v>
      </c>
      <c r="E487" s="27">
        <f>Periodos!E135</f>
        <v>1.0615929219438864</v>
      </c>
      <c r="F487" s="27">
        <f>Periodos!F135</f>
        <v>-9.9728014505894302E-3</v>
      </c>
    </row>
    <row r="488" spans="1:6" x14ac:dyDescent="0.3">
      <c r="A488" s="11" t="str">
        <f>Periodos!$A$9</f>
        <v>P2-A</v>
      </c>
      <c r="B488" s="15">
        <f>Periodos!A136</f>
        <v>46309</v>
      </c>
      <c r="C488" s="27">
        <f>Periodos!B136</f>
        <v>1.6941391941391881E-2</v>
      </c>
      <c r="D488" s="27">
        <f>Periodos!D136</f>
        <v>1.0688113688292709</v>
      </c>
      <c r="E488" s="27">
        <f>Periodos!E136</f>
        <v>1.0688113688292709</v>
      </c>
      <c r="F488" s="27">
        <f>Periodos!F136</f>
        <v>0</v>
      </c>
    </row>
    <row r="489" spans="1:6" x14ac:dyDescent="0.3">
      <c r="A489" s="11" t="str">
        <f>Periodos!$A$10</f>
        <v>P2-C</v>
      </c>
      <c r="B489" s="15">
        <f>Periodos!A141</f>
        <v>46296</v>
      </c>
      <c r="C489" s="27">
        <f>Periodos!B141</f>
        <v>-1.6339869281045805E-2</v>
      </c>
      <c r="D489" s="27">
        <f>Periodos!D141</f>
        <v>0.9836601307189542</v>
      </c>
      <c r="E489" s="27">
        <f>Periodos!E141</f>
        <v>1</v>
      </c>
      <c r="F489" s="27">
        <f>Periodos!F141</f>
        <v>-1.6339869281045805E-2</v>
      </c>
    </row>
    <row r="490" spans="1:6" x14ac:dyDescent="0.3">
      <c r="A490" s="11" t="str">
        <f>Periodos!$A$10</f>
        <v>P2-C</v>
      </c>
      <c r="B490" s="15">
        <f>Periodos!A142</f>
        <v>46297</v>
      </c>
      <c r="C490" s="27">
        <f>Periodos!B142</f>
        <v>-1.3763644992880852E-2</v>
      </c>
      <c r="D490" s="27">
        <f>Periodos!D142</f>
        <v>0.97012138188608776</v>
      </c>
      <c r="E490" s="27">
        <f>Periodos!E142</f>
        <v>1</v>
      </c>
      <c r="F490" s="27">
        <f>Periodos!F142</f>
        <v>-2.9878618113912236E-2</v>
      </c>
    </row>
    <row r="491" spans="1:6" x14ac:dyDescent="0.3">
      <c r="A491" s="11" t="str">
        <f>Periodos!$A$10</f>
        <v>P2-C</v>
      </c>
      <c r="B491" s="15">
        <f>Periodos!A143</f>
        <v>46298</v>
      </c>
      <c r="C491" s="27">
        <f>Periodos!B143</f>
        <v>0</v>
      </c>
      <c r="D491" s="27">
        <f>Periodos!D143</f>
        <v>0.97012138188608776</v>
      </c>
      <c r="E491" s="27">
        <f>Periodos!E143</f>
        <v>1</v>
      </c>
      <c r="F491" s="27">
        <f>Periodos!F143</f>
        <v>-2.9878618113912236E-2</v>
      </c>
    </row>
    <row r="492" spans="1:6" x14ac:dyDescent="0.3">
      <c r="A492" s="11" t="str">
        <f>Periodos!$A$10</f>
        <v>P2-C</v>
      </c>
      <c r="B492" s="15">
        <f>Periodos!A144</f>
        <v>46299</v>
      </c>
      <c r="C492" s="27">
        <f>Periodos!B144</f>
        <v>0</v>
      </c>
      <c r="D492" s="27">
        <f>Periodos!D144</f>
        <v>0.97012138188608776</v>
      </c>
      <c r="E492" s="27">
        <f>Periodos!E144</f>
        <v>1</v>
      </c>
      <c r="F492" s="27">
        <f>Periodos!F144</f>
        <v>-2.9878618113912236E-2</v>
      </c>
    </row>
    <row r="493" spans="1:6" x14ac:dyDescent="0.3">
      <c r="A493" s="11" t="str">
        <f>Periodos!$A$10</f>
        <v>P2-C</v>
      </c>
      <c r="B493" s="15">
        <f>Periodos!A145</f>
        <v>46300</v>
      </c>
      <c r="C493" s="27">
        <f>Periodos!B145</f>
        <v>-2.1655437921077936E-2</v>
      </c>
      <c r="D493" s="27">
        <f>Periodos!D145</f>
        <v>0.9491129785247433</v>
      </c>
      <c r="E493" s="27">
        <f>Periodos!E145</f>
        <v>1</v>
      </c>
      <c r="F493" s="27">
        <f>Periodos!F145</f>
        <v>-5.08870214752567E-2</v>
      </c>
    </row>
    <row r="494" spans="1:6" x14ac:dyDescent="0.3">
      <c r="A494" s="11" t="str">
        <f>Periodos!$A$10</f>
        <v>P2-C</v>
      </c>
      <c r="B494" s="15">
        <f>Periodos!A146</f>
        <v>46301</v>
      </c>
      <c r="C494" s="27">
        <f>Periodos!B146</f>
        <v>1.1313330054107285E-2</v>
      </c>
      <c r="D494" s="27">
        <f>Periodos!D146</f>
        <v>0.95985060690943058</v>
      </c>
      <c r="E494" s="27">
        <f>Periodos!E146</f>
        <v>1</v>
      </c>
      <c r="F494" s="27">
        <f>Periodos!F146</f>
        <v>-4.0149393090569419E-2</v>
      </c>
    </row>
    <row r="495" spans="1:6" x14ac:dyDescent="0.3">
      <c r="A495" s="11" t="str">
        <f>Periodos!$A$10</f>
        <v>P2-C</v>
      </c>
      <c r="B495" s="15">
        <f>Periodos!A147</f>
        <v>46302</v>
      </c>
      <c r="C495" s="27">
        <f>Periodos!B147</f>
        <v>2.0914396887159459E-2</v>
      </c>
      <c r="D495" s="27">
        <f>Periodos!D147</f>
        <v>0.97992530345471529</v>
      </c>
      <c r="E495" s="27">
        <f>Periodos!E147</f>
        <v>1</v>
      </c>
      <c r="F495" s="27">
        <f>Periodos!F147</f>
        <v>-2.0074696545284709E-2</v>
      </c>
    </row>
    <row r="496" spans="1:6" x14ac:dyDescent="0.3">
      <c r="A496" s="11" t="str">
        <f>Periodos!$A$10</f>
        <v>P2-C</v>
      </c>
      <c r="B496" s="15">
        <f>Periodos!A148</f>
        <v>46303</v>
      </c>
      <c r="C496" s="27">
        <f>Periodos!B148</f>
        <v>2.3344449737970452E-2</v>
      </c>
      <c r="D496" s="27">
        <f>Periodos!D148</f>
        <v>1.0028011204481793</v>
      </c>
      <c r="E496" s="27">
        <f>Periodos!E148</f>
        <v>1.0028011204481793</v>
      </c>
      <c r="F496" s="27">
        <f>Periodos!F148</f>
        <v>0</v>
      </c>
    </row>
    <row r="497" spans="1:16" x14ac:dyDescent="0.3">
      <c r="A497" s="11" t="str">
        <f>Periodos!$A$10</f>
        <v>P2-C</v>
      </c>
      <c r="B497" s="15">
        <f>Periodos!A149</f>
        <v>46304</v>
      </c>
      <c r="C497" s="27">
        <f>Periodos!B149</f>
        <v>1.6294227188081933E-2</v>
      </c>
      <c r="D497" s="27">
        <f>Periodos!D149</f>
        <v>1.019140989729225</v>
      </c>
      <c r="E497" s="27">
        <f>Periodos!E149</f>
        <v>1.019140989729225</v>
      </c>
      <c r="F497" s="27">
        <f>Periodos!F149</f>
        <v>0</v>
      </c>
    </row>
    <row r="498" spans="1:16" x14ac:dyDescent="0.3">
      <c r="A498" s="11" t="str">
        <f>Periodos!$A$10</f>
        <v>P2-C</v>
      </c>
      <c r="B498" s="15">
        <f>Periodos!A150</f>
        <v>46305</v>
      </c>
      <c r="C498" s="27">
        <f>Periodos!B150</f>
        <v>0</v>
      </c>
      <c r="D498" s="27">
        <f>Periodos!D150</f>
        <v>1.019140989729225</v>
      </c>
      <c r="E498" s="27">
        <f>Periodos!E150</f>
        <v>1.019140989729225</v>
      </c>
      <c r="F498" s="27">
        <f>Periodos!F150</f>
        <v>0</v>
      </c>
    </row>
    <row r="499" spans="1:16" x14ac:dyDescent="0.3">
      <c r="A499" s="11" t="str">
        <f>Periodos!$A$10</f>
        <v>P2-C</v>
      </c>
      <c r="B499" s="15">
        <f>Periodos!A151</f>
        <v>46306</v>
      </c>
      <c r="C499" s="27">
        <f>Periodos!B151</f>
        <v>0</v>
      </c>
      <c r="D499" s="27">
        <f>Periodos!D151</f>
        <v>1.019140989729225</v>
      </c>
      <c r="E499" s="27">
        <f>Periodos!E151</f>
        <v>1.019140989729225</v>
      </c>
      <c r="F499" s="27">
        <f>Periodos!F151</f>
        <v>0</v>
      </c>
    </row>
    <row r="500" spans="1:16" x14ac:dyDescent="0.3">
      <c r="A500" s="11" t="str">
        <f>Periodos!$A$10</f>
        <v>P2-C</v>
      </c>
      <c r="B500" s="15">
        <f>Periodos!A152</f>
        <v>46307</v>
      </c>
      <c r="C500" s="27">
        <f>Periodos!B152</f>
        <v>1.0535959688501961E-2</v>
      </c>
      <c r="D500" s="27">
        <f>Periodos!D152</f>
        <v>1.0298786181139121</v>
      </c>
      <c r="E500" s="27">
        <f>Periodos!E152</f>
        <v>1.0298786181139121</v>
      </c>
      <c r="F500" s="27">
        <f>Periodos!F152</f>
        <v>0</v>
      </c>
    </row>
    <row r="501" spans="1:16" x14ac:dyDescent="0.3">
      <c r="A501" s="11" t="str">
        <f>Periodos!$A$10</f>
        <v>P2-C</v>
      </c>
      <c r="B501" s="15">
        <f>Periodos!A153</f>
        <v>46308</v>
      </c>
      <c r="C501" s="27">
        <f>Periodos!B153</f>
        <v>-9.9728014505893192E-3</v>
      </c>
      <c r="D501" s="27">
        <f>Periodos!D153</f>
        <v>1.0196078431372548</v>
      </c>
      <c r="E501" s="27">
        <f>Periodos!E153</f>
        <v>1.0298786181139121</v>
      </c>
      <c r="F501" s="27">
        <f>Periodos!F153</f>
        <v>-9.9728014505893192E-3</v>
      </c>
    </row>
    <row r="502" spans="1:16" x14ac:dyDescent="0.3">
      <c r="A502" s="11" t="str">
        <f>Periodos!$A$10</f>
        <v>P2-C</v>
      </c>
      <c r="B502" s="15">
        <f>Periodos!A154</f>
        <v>46309</v>
      </c>
      <c r="C502" s="27">
        <f>Periodos!B154</f>
        <v>1.6941391941391881E-2</v>
      </c>
      <c r="D502" s="27">
        <f>Periodos!D154</f>
        <v>1.0368814192343603</v>
      </c>
      <c r="E502" s="27">
        <f>Periodos!E154</f>
        <v>1.0368814192343603</v>
      </c>
      <c r="F502" s="27">
        <f>Periodos!F154</f>
        <v>0</v>
      </c>
    </row>
    <row r="504" spans="1:16" x14ac:dyDescent="0.3">
      <c r="A504" s="7" t="s">
        <v>576</v>
      </c>
    </row>
    <row r="505" spans="1:16" ht="26.4" x14ac:dyDescent="0.3">
      <c r="A505" s="8" t="s">
        <v>88</v>
      </c>
      <c r="B505" s="8" t="s">
        <v>319</v>
      </c>
      <c r="C505" s="8" t="s">
        <v>90</v>
      </c>
      <c r="D505" s="8" t="s">
        <v>91</v>
      </c>
      <c r="E505" s="8" t="s">
        <v>577</v>
      </c>
      <c r="F505" s="8" t="s">
        <v>578</v>
      </c>
      <c r="G505" s="8" t="s">
        <v>579</v>
      </c>
      <c r="H505" s="8" t="s">
        <v>580</v>
      </c>
      <c r="I505" s="8" t="s">
        <v>581</v>
      </c>
      <c r="J505" s="8" t="s">
        <v>582</v>
      </c>
      <c r="K505" s="8" t="s">
        <v>583</v>
      </c>
      <c r="L505" s="8" t="s">
        <v>584</v>
      </c>
      <c r="M505" s="8" t="s">
        <v>585</v>
      </c>
      <c r="N505" s="8" t="s">
        <v>586</v>
      </c>
      <c r="O505" s="8" t="s">
        <v>587</v>
      </c>
      <c r="P505" s="8" t="s">
        <v>588</v>
      </c>
    </row>
    <row r="506" spans="1:16" x14ac:dyDescent="0.3">
      <c r="A506" s="11" t="str">
        <f>Periodos!A5</f>
        <v>P1-A</v>
      </c>
      <c r="B506" s="11" t="str">
        <f>Periodos!B5</f>
        <v>Principal</v>
      </c>
      <c r="C506" s="15">
        <f>Periodos!C5</f>
        <v>46276</v>
      </c>
      <c r="D506" s="15">
        <f>Periodos!D5</f>
        <v>46309</v>
      </c>
      <c r="E506" s="15">
        <f>Periodos!E5</f>
        <v>46275</v>
      </c>
      <c r="F506" s="14">
        <f>Periodos!F5</f>
        <v>34</v>
      </c>
      <c r="G506" s="17">
        <f>Periodos!G5</f>
        <v>49929.06</v>
      </c>
      <c r="H506" s="17">
        <f>Periodos!H5</f>
        <v>58940.878199999999</v>
      </c>
      <c r="I506" s="17">
        <f>Periodos!I5</f>
        <v>56307.888299999999</v>
      </c>
      <c r="J506" s="17">
        <f>Periodos!J5</f>
        <v>2632.9898999999987</v>
      </c>
      <c r="K506" s="27">
        <f>Periodos!K5</f>
        <v>4.3928084061150674E-2</v>
      </c>
      <c r="L506" s="26">
        <f>Periodos!M5</f>
        <v>4.3928084061150674</v>
      </c>
      <c r="M506" s="27">
        <f>Periodos!N5</f>
        <v>-6.6804772307256788E-2</v>
      </c>
      <c r="N506" s="26">
        <f>Periodos!O5</f>
        <v>-6.6804772307256783</v>
      </c>
      <c r="O506" s="15">
        <f>Periodos!R5</f>
        <v>46281</v>
      </c>
      <c r="P506" s="15">
        <f>Periodos!P5</f>
        <v>46288</v>
      </c>
    </row>
    <row r="507" spans="1:16" x14ac:dyDescent="0.3">
      <c r="A507" s="11" t="str">
        <f>Periodos!A6</f>
        <v>P1-B</v>
      </c>
      <c r="B507" s="11" t="str">
        <f>Periodos!B6</f>
        <v>Principal</v>
      </c>
      <c r="C507" s="15">
        <f>Periodos!C6</f>
        <v>46276</v>
      </c>
      <c r="D507" s="15">
        <f>Periodos!D6</f>
        <v>46295</v>
      </c>
      <c r="E507" s="15">
        <f>Periodos!E6</f>
        <v>46275</v>
      </c>
      <c r="F507" s="14">
        <f>Periodos!F6</f>
        <v>20</v>
      </c>
      <c r="G507" s="17">
        <f>Periodos!G6</f>
        <v>49929.06</v>
      </c>
      <c r="H507" s="17">
        <f>Periodos!H6</f>
        <v>73866.025550000006</v>
      </c>
      <c r="I507" s="17">
        <f>Periodos!I6</f>
        <v>71908.289699999994</v>
      </c>
      <c r="J507" s="17">
        <f>Periodos!J6</f>
        <v>1957.7358499999987</v>
      </c>
      <c r="K507" s="27">
        <f>Periodos!K6</f>
        <v>2.5044991780152071E-2</v>
      </c>
      <c r="L507" s="26">
        <f>Periodos!M6</f>
        <v>2.5044991780152071</v>
      </c>
      <c r="M507" s="27">
        <f>Periodos!N6</f>
        <v>-6.6804772307256788E-2</v>
      </c>
      <c r="N507" s="26">
        <f>Periodos!O6</f>
        <v>-6.6804772307256783</v>
      </c>
      <c r="O507" s="15">
        <f>Periodos!R6</f>
        <v>46281</v>
      </c>
      <c r="P507" s="15">
        <f>Periodos!P6</f>
        <v>46288</v>
      </c>
    </row>
    <row r="508" spans="1:16" x14ac:dyDescent="0.3">
      <c r="A508" s="11" t="str">
        <f>Periodos!A7</f>
        <v>P1-C</v>
      </c>
      <c r="B508" s="11" t="str">
        <f>Periodos!B7</f>
        <v>Principal</v>
      </c>
      <c r="C508" s="15">
        <f>Periodos!C7</f>
        <v>46296</v>
      </c>
      <c r="D508" s="15">
        <f>Periodos!D7</f>
        <v>46309</v>
      </c>
      <c r="E508" s="15">
        <f>Periodos!E7</f>
        <v>46295</v>
      </c>
      <c r="F508" s="14">
        <f>Periodos!F7</f>
        <v>14</v>
      </c>
      <c r="G508" s="17">
        <f>Periodos!G7</f>
        <v>73866.025550000006</v>
      </c>
      <c r="H508" s="17">
        <f>Periodos!H7</f>
        <v>58940.878199999999</v>
      </c>
      <c r="I508" s="17">
        <f>Periodos!I7</f>
        <v>56307.888299999999</v>
      </c>
      <c r="J508" s="17">
        <f>Periodos!J7</f>
        <v>2632.9898999999987</v>
      </c>
      <c r="K508" s="27">
        <f>Periodos!K7</f>
        <v>1.8421720443904999E-2</v>
      </c>
      <c r="L508" s="26">
        <f>Periodos!M7</f>
        <v>1.8421720443904999</v>
      </c>
      <c r="M508" s="27">
        <f>Periodos!N7</f>
        <v>-2.1810296397288376E-2</v>
      </c>
      <c r="N508" s="26">
        <f>Periodos!O7</f>
        <v>-2.1810296397288376</v>
      </c>
      <c r="O508" s="15">
        <f>Periodos!R7</f>
        <v>46295</v>
      </c>
      <c r="P508" s="15">
        <f>Periodos!P7</f>
        <v>46300</v>
      </c>
    </row>
    <row r="509" spans="1:16" x14ac:dyDescent="0.3">
      <c r="A509" s="11" t="str">
        <f>Periodos!A8</f>
        <v>P1-D</v>
      </c>
      <c r="B509" s="11" t="str">
        <f>Periodos!B8</f>
        <v>Principal</v>
      </c>
      <c r="C509" s="15">
        <f>Periodos!C8</f>
        <v>46304</v>
      </c>
      <c r="D509" s="15">
        <f>Periodos!D8</f>
        <v>46307</v>
      </c>
      <c r="E509" s="15">
        <f>Periodos!E8</f>
        <v>46303</v>
      </c>
      <c r="F509" s="14">
        <f>Periodos!F8</f>
        <v>4</v>
      </c>
      <c r="G509" s="17">
        <f>Periodos!G8</f>
        <v>57842.719700000009</v>
      </c>
      <c r="H509" s="17">
        <f>Periodos!H8</f>
        <v>58708.693950000001</v>
      </c>
      <c r="I509" s="17">
        <f>Periodos!I8</f>
        <v>56307.888299999999</v>
      </c>
      <c r="J509" s="17">
        <f>Periodos!J8</f>
        <v>2400.8056500000012</v>
      </c>
      <c r="K509" s="27">
        <f>Periodos!K8</f>
        <v>1.4971188327439489E-2</v>
      </c>
      <c r="L509" s="26">
        <f>Periodos!M8</f>
        <v>1.4971188327439489</v>
      </c>
      <c r="M509" s="27">
        <f>Periodos!N8</f>
        <v>0</v>
      </c>
      <c r="N509" s="26">
        <f>Periodos!O8</f>
        <v>0</v>
      </c>
      <c r="O509" s="15" t="str">
        <f>Periodos!R8</f>
        <v/>
      </c>
      <c r="P509" s="15" t="str">
        <f>Periodos!P8</f>
        <v/>
      </c>
    </row>
    <row r="510" spans="1:16" x14ac:dyDescent="0.3">
      <c r="A510" s="11" t="str">
        <f>Periodos!A9</f>
        <v>P2-A</v>
      </c>
      <c r="B510" s="11" t="str">
        <f>Periodos!B9</f>
        <v>Secundario</v>
      </c>
      <c r="C510" s="15">
        <f>Periodos!C9</f>
        <v>46276</v>
      </c>
      <c r="D510" s="15">
        <f>Periodos!D9</f>
        <v>46309</v>
      </c>
      <c r="E510" s="15">
        <f>Periodos!E9</f>
        <v>46275</v>
      </c>
      <c r="F510" s="14">
        <f>Periodos!F9</f>
        <v>34</v>
      </c>
      <c r="G510" s="17">
        <f>Periodos!G9</f>
        <v>0</v>
      </c>
      <c r="H510" s="17">
        <f>Periodos!H9</f>
        <v>16657.5</v>
      </c>
      <c r="I510" s="17">
        <f>Periodos!I9</f>
        <v>15585.07</v>
      </c>
      <c r="J510" s="17">
        <f>Periodos!J9</f>
        <v>1072.4300000000003</v>
      </c>
      <c r="K510" s="27">
        <f>Periodos!K9</f>
        <v>6.8811368829270858E-2</v>
      </c>
      <c r="L510" s="26">
        <f>Periodos!M9</f>
        <v>6.8811368829270858</v>
      </c>
      <c r="M510" s="27">
        <f>Periodos!N9</f>
        <v>-0.13675417661097844</v>
      </c>
      <c r="N510" s="26">
        <f>Periodos!O9</f>
        <v>-13.675417661097844</v>
      </c>
      <c r="O510" s="15">
        <f>Periodos!R9</f>
        <v>46280</v>
      </c>
      <c r="P510" s="15">
        <f>Periodos!P9</f>
        <v>46288</v>
      </c>
    </row>
    <row r="511" spans="1:16" x14ac:dyDescent="0.3">
      <c r="A511" s="11" t="str">
        <f>Periodos!A10</f>
        <v>P2-C</v>
      </c>
      <c r="B511" s="11" t="str">
        <f>Periodos!B10</f>
        <v>Secundario</v>
      </c>
      <c r="C511" s="15">
        <f>Periodos!C10</f>
        <v>46296</v>
      </c>
      <c r="D511" s="15">
        <f>Periodos!D10</f>
        <v>46309</v>
      </c>
      <c r="E511" s="15">
        <f>Periodos!E10</f>
        <v>46295</v>
      </c>
      <c r="F511" s="14">
        <f>Periodos!F10</f>
        <v>14</v>
      </c>
      <c r="G511" s="17">
        <f>Periodos!G10</f>
        <v>16065</v>
      </c>
      <c r="H511" s="17">
        <f>Periodos!H10</f>
        <v>16657.5</v>
      </c>
      <c r="I511" s="17">
        <f>Periodos!I10</f>
        <v>15585.07</v>
      </c>
      <c r="J511" s="17">
        <f>Periodos!J10</f>
        <v>1072.4300000000003</v>
      </c>
      <c r="K511" s="27">
        <f>Periodos!K10</f>
        <v>3.688141923436028E-2</v>
      </c>
      <c r="L511" s="26">
        <f>Periodos!M10</f>
        <v>3.688141923436028</v>
      </c>
      <c r="M511" s="27">
        <f>Periodos!N10</f>
        <v>-5.08870214752567E-2</v>
      </c>
      <c r="N511" s="26">
        <f>Periodos!O10</f>
        <v>-5.0887021475256695</v>
      </c>
      <c r="O511" s="15">
        <f>Periodos!R10</f>
        <v>46295</v>
      </c>
      <c r="P511" s="15">
        <f>Periodos!P10</f>
        <v>46300</v>
      </c>
    </row>
    <row r="513" spans="1:7" x14ac:dyDescent="0.3">
      <c r="A513" s="7" t="s">
        <v>589</v>
      </c>
    </row>
    <row r="514" spans="1:7" ht="26.4" x14ac:dyDescent="0.3">
      <c r="A514" s="8" t="s">
        <v>394</v>
      </c>
      <c r="B514" s="8" t="s">
        <v>405</v>
      </c>
      <c r="C514" s="8" t="s">
        <v>404</v>
      </c>
      <c r="D514" s="8" t="s">
        <v>406</v>
      </c>
      <c r="E514" s="8" t="s">
        <v>407</v>
      </c>
    </row>
    <row r="515" spans="1:7" x14ac:dyDescent="0.3">
      <c r="A515" s="11" t="str">
        <f>Rechazos!A5</f>
        <v>N1</v>
      </c>
      <c r="B515" s="11" t="str">
        <f>Rechazos!AM5</f>
        <v>rechazar</v>
      </c>
      <c r="C515" s="11" t="str">
        <f>Rechazos!AL5</f>
        <v>RF-28: deja negativo el saldo del instrumento con el intermediario dentro del portafolio</v>
      </c>
      <c r="D515" s="15">
        <f>Rechazos!AN5</f>
        <v>46283</v>
      </c>
      <c r="E515" s="14">
        <f>Rechazos!AO5</f>
        <v>-50</v>
      </c>
    </row>
    <row r="516" spans="1:7" x14ac:dyDescent="0.3">
      <c r="A516" s="11" t="str">
        <f>Rechazos!A6</f>
        <v>N2</v>
      </c>
      <c r="B516" s="11" t="str">
        <f>Rechazos!AM6</f>
        <v>rechazar</v>
      </c>
      <c r="C516" s="11" t="str">
        <f>Rechazos!AL6</f>
        <v>RF-28: deja negativo el saldo del instrumento con el intermediario dentro del portafolio</v>
      </c>
      <c r="D516" s="15">
        <f>Rechazos!AN6</f>
        <v>46287</v>
      </c>
      <c r="E516" s="14">
        <f>Rechazos!AO6</f>
        <v>-100</v>
      </c>
    </row>
    <row r="517" spans="1:7" x14ac:dyDescent="0.3">
      <c r="A517" s="11" t="str">
        <f>Rechazos!A7</f>
        <v>N3</v>
      </c>
      <c r="B517" s="11" t="str">
        <f>Rechazos!AM7</f>
        <v>rechazar</v>
      </c>
      <c r="C517" s="11" t="str">
        <f>Rechazos!AL7</f>
        <v>RF-28: deja negativo el saldo del instrumento con el intermediario dentro del portafolio</v>
      </c>
      <c r="D517" s="15">
        <f>Rechazos!AN7</f>
        <v>46304</v>
      </c>
      <c r="E517" s="14">
        <f>Rechazos!AO7</f>
        <v>-30</v>
      </c>
    </row>
    <row r="518" spans="1:7" x14ac:dyDescent="0.3">
      <c r="A518" s="11" t="str">
        <f>Rechazos!A8</f>
        <v>N4</v>
      </c>
      <c r="B518" s="11" t="str">
        <f>Rechazos!AM8</f>
        <v>rechazar</v>
      </c>
      <c r="C518" s="11" t="str">
        <f>Rechazos!AL8</f>
        <v>criterio 2 de RF-26a: fecha igual o posterior al vencimiento de la emision</v>
      </c>
      <c r="D518" s="15" t="str">
        <f>Rechazos!AN8</f>
        <v/>
      </c>
      <c r="E518" s="14" t="str">
        <f>Rechazos!AO8</f>
        <v/>
      </c>
    </row>
    <row r="519" spans="1:7" x14ac:dyDescent="0.3">
      <c r="A519" s="11" t="str">
        <f>Rechazos!A9</f>
        <v>N5</v>
      </c>
      <c r="B519" s="11" t="str">
        <f>Rechazos!AM9</f>
        <v>rechazar</v>
      </c>
      <c r="C519" s="11" t="str">
        <f>Rechazos!AL9</f>
        <v>RD-07 y criterio 3 de RF-05: fecha fuera del intervalo de las semillas</v>
      </c>
      <c r="D519" s="15" t="str">
        <f>Rechazos!AN9</f>
        <v/>
      </c>
      <c r="E519" s="14" t="str">
        <f>Rechazos!AO9</f>
        <v/>
      </c>
    </row>
    <row r="520" spans="1:7" x14ac:dyDescent="0.3">
      <c r="A520" s="11" t="str">
        <f>Rechazos!A10</f>
        <v>N6</v>
      </c>
      <c r="B520" s="11" t="str">
        <f>Rechazos!AM10</f>
        <v>rechazar</v>
      </c>
      <c r="C520" s="11" t="str">
        <f>Rechazos!AL10</f>
        <v>RD-07 y criterio 3 de RF-05: fecha fuera del intervalo de las semillas</v>
      </c>
      <c r="D520" s="15" t="str">
        <f>Rechazos!AN10</f>
        <v/>
      </c>
      <c r="E520" s="14" t="str">
        <f>Rechazos!AO10</f>
        <v/>
      </c>
    </row>
    <row r="521" spans="1:7" x14ac:dyDescent="0.3">
      <c r="A521" s="11" t="str">
        <f>Rechazos!A11</f>
        <v>N7</v>
      </c>
      <c r="B521" s="11" t="str">
        <f>Rechazos!AM11</f>
        <v>rechazar</v>
      </c>
      <c r="C521" s="11" t="str">
        <f>Rechazos!AL11</f>
        <v>criterio 3 de RF-09: fecha final anterior a la inicial</v>
      </c>
      <c r="D521" s="15" t="str">
        <f>Rechazos!AN11</f>
        <v/>
      </c>
      <c r="E521" s="14" t="str">
        <f>Rechazos!AO11</f>
        <v/>
      </c>
    </row>
    <row r="522" spans="1:7" x14ac:dyDescent="0.3">
      <c r="A522" s="11" t="str">
        <f>Rechazos!A12</f>
        <v>N8</v>
      </c>
      <c r="B522" s="11" t="str">
        <f>Rechazos!AM12</f>
        <v>rechazar</v>
      </c>
      <c r="C522" s="11" t="str">
        <f>Rechazos!AL12</f>
        <v>criterio 3 de RF-09: fechas fuera de las semillas</v>
      </c>
      <c r="D522" s="15" t="str">
        <f>Rechazos!AN12</f>
        <v/>
      </c>
      <c r="E522" s="14" t="str">
        <f>Rechazos!AO12</f>
        <v/>
      </c>
    </row>
    <row r="524" spans="1:7" x14ac:dyDescent="0.3">
      <c r="A524" s="7" t="s">
        <v>590</v>
      </c>
    </row>
    <row r="525" spans="1:7" ht="39.6" x14ac:dyDescent="0.3">
      <c r="A525" s="8" t="s">
        <v>394</v>
      </c>
      <c r="B525" s="8" t="s">
        <v>433</v>
      </c>
      <c r="C525" s="8" t="s">
        <v>434</v>
      </c>
      <c r="D525" s="8" t="s">
        <v>435</v>
      </c>
      <c r="E525" s="8" t="s">
        <v>407</v>
      </c>
      <c r="F525" s="8" t="s">
        <v>436</v>
      </c>
      <c r="G525" s="8" t="s">
        <v>405</v>
      </c>
    </row>
    <row r="526" spans="1:7" x14ac:dyDescent="0.3">
      <c r="A526" s="11" t="str">
        <f>Rechazos!A17</f>
        <v>C1</v>
      </c>
      <c r="B526" s="14">
        <f>Rechazos!J17</f>
        <v>100</v>
      </c>
      <c r="C526" s="14">
        <f>Rechazos!K17</f>
        <v>60</v>
      </c>
      <c r="D526" s="14">
        <f>Rechazos!L17</f>
        <v>120</v>
      </c>
      <c r="E526" s="14">
        <f>Rechazos!M17</f>
        <v>40</v>
      </c>
      <c r="F526" s="14">
        <f>Rechazos!N17</f>
        <v>-20</v>
      </c>
      <c r="G526" s="11" t="str">
        <f>Rechazos!O17</f>
        <v>aceptar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Léeme</vt:lpstr>
      <vt:lpstr>Entradas</vt:lpstr>
      <vt:lpstr>Transacciones</vt:lpstr>
      <vt:lpstr>Precios</vt:lpstr>
      <vt:lpstr>Tasas</vt:lpstr>
      <vt:lpstr>CETES</vt:lpstr>
      <vt:lpstr>Valuación diaria</vt:lpstr>
      <vt:lpstr>Posiciones</vt:lpstr>
      <vt:lpstr>Serie</vt:lpstr>
      <vt:lpstr>Periodos</vt:lpstr>
      <vt:lpstr>Rechazos</vt:lpstr>
      <vt:lpstr>Comprobaciones</vt:lpstr>
      <vt:lpstr>Esperados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Renm 015</cp:lastModifiedBy>
  <dcterms:created xsi:type="dcterms:W3CDTF">2026-10-16T01:16:18Z</dcterms:created>
  <dcterms:modified xsi:type="dcterms:W3CDTF">2026-10-16T01:37:25Z</dcterms:modified>
</cp:coreProperties>
</file>